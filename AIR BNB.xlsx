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6C0223F7-BE93-4D9E-891F-13CA5299FEA7}" xr6:coauthVersionLast="47" xr6:coauthVersionMax="47" xr10:uidLastSave="{00000000-0000-0000-0000-000000000000}"/>
  <bookViews>
    <workbookView xWindow="-120" yWindow="-120" windowWidth="24240" windowHeight="13140" xr2:uid="{75C10505-62B3-4EB9-B4C3-DBABB5980A4B}"/>
  </bookViews>
  <sheets>
    <sheet name="Pivot Table" sheetId="6" r:id="rId1"/>
    <sheet name="Visualization" sheetId="8" r:id="rId2"/>
    <sheet name="Inquiries (2)" sheetId="3" r:id="rId3"/>
    <sheet name="Inquiries" sheetId="1" r:id="rId4"/>
    <sheet name="Task" sheetId="2" r:id="rId5"/>
  </sheets>
  <definedNames>
    <definedName name="_xlnm._FilterDatabase" localSheetId="3" hidden="1">Inquiries!$A$1:$Q$1001</definedName>
    <definedName name="_xlnm._FilterDatabase" localSheetId="2" hidden="1">'Inquiries (2)'!$A$1:$N$950</definedName>
    <definedName name="_Hlk62668597" localSheetId="4">Task!#REF!</definedName>
    <definedName name="Guests">#REF!</definedName>
    <definedName name="Slicer_Booked">#N/A</definedName>
    <definedName name="Slicer_Rental">#N/A</definedName>
    <definedName name="Slicer_Sourc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2" l="1"/>
  <c r="C17" i="2"/>
  <c r="C15" i="2"/>
  <c r="C14" i="2"/>
  <c r="C13" i="2"/>
  <c r="C10" i="2"/>
  <c r="C9" i="2"/>
  <c r="C12" i="2"/>
  <c r="C11" i="2"/>
  <c r="C8" i="2"/>
  <c r="Q20" i="3" a="1"/>
  <c r="Q20" i="3" s="1"/>
  <c r="R20" i="3" s="1"/>
  <c r="Q11" i="3" a="1"/>
  <c r="Q11" i="3" s="1"/>
  <c r="U11" i="3" s="1"/>
  <c r="P950" i="3"/>
  <c r="O950" i="3"/>
  <c r="P949" i="3"/>
  <c r="O949" i="3"/>
  <c r="P948" i="3"/>
  <c r="O948" i="3"/>
  <c r="P947" i="3"/>
  <c r="O947" i="3"/>
  <c r="P946" i="3"/>
  <c r="O946" i="3"/>
  <c r="P945" i="3"/>
  <c r="O945" i="3"/>
  <c r="P944" i="3"/>
  <c r="O944" i="3"/>
  <c r="P943" i="3"/>
  <c r="O943" i="3"/>
  <c r="P942" i="3"/>
  <c r="O942" i="3"/>
  <c r="P941" i="3"/>
  <c r="O941" i="3"/>
  <c r="P940" i="3"/>
  <c r="O940" i="3"/>
  <c r="P939" i="3"/>
  <c r="O939" i="3"/>
  <c r="P938" i="3"/>
  <c r="O938" i="3"/>
  <c r="P937" i="3"/>
  <c r="O937" i="3"/>
  <c r="P936" i="3"/>
  <c r="O936" i="3"/>
  <c r="P935" i="3"/>
  <c r="O935" i="3"/>
  <c r="P934" i="3"/>
  <c r="O934" i="3"/>
  <c r="P933" i="3"/>
  <c r="O933" i="3"/>
  <c r="P932" i="3"/>
  <c r="O932" i="3"/>
  <c r="P931" i="3"/>
  <c r="O931" i="3"/>
  <c r="P930" i="3"/>
  <c r="O930" i="3"/>
  <c r="P929" i="3"/>
  <c r="O929" i="3"/>
  <c r="P928" i="3"/>
  <c r="O928" i="3"/>
  <c r="P927" i="3"/>
  <c r="O927" i="3"/>
  <c r="P926" i="3"/>
  <c r="O926" i="3"/>
  <c r="P925" i="3"/>
  <c r="O925" i="3"/>
  <c r="P924" i="3"/>
  <c r="O924" i="3"/>
  <c r="P923" i="3"/>
  <c r="O923" i="3"/>
  <c r="P922" i="3"/>
  <c r="O922" i="3"/>
  <c r="P921" i="3"/>
  <c r="O921" i="3"/>
  <c r="P920" i="3"/>
  <c r="O920" i="3"/>
  <c r="P919" i="3"/>
  <c r="O919" i="3"/>
  <c r="P918" i="3"/>
  <c r="O918" i="3"/>
  <c r="P917" i="3"/>
  <c r="O917" i="3"/>
  <c r="P916" i="3"/>
  <c r="O916" i="3"/>
  <c r="P915" i="3"/>
  <c r="O915" i="3"/>
  <c r="P914" i="3"/>
  <c r="O914" i="3"/>
  <c r="P913" i="3"/>
  <c r="O913" i="3"/>
  <c r="P912" i="3"/>
  <c r="O912" i="3"/>
  <c r="P911" i="3"/>
  <c r="O911" i="3"/>
  <c r="P910" i="3"/>
  <c r="O910" i="3"/>
  <c r="P909" i="3"/>
  <c r="O909" i="3"/>
  <c r="P908" i="3"/>
  <c r="O908" i="3"/>
  <c r="P907" i="3"/>
  <c r="O907" i="3"/>
  <c r="P906" i="3"/>
  <c r="O906" i="3"/>
  <c r="P905" i="3"/>
  <c r="O905" i="3"/>
  <c r="P904" i="3"/>
  <c r="O904" i="3"/>
  <c r="P903" i="3"/>
  <c r="O903" i="3"/>
  <c r="P902" i="3"/>
  <c r="O902" i="3"/>
  <c r="P901" i="3"/>
  <c r="O901" i="3"/>
  <c r="P900" i="3"/>
  <c r="O900" i="3"/>
  <c r="P899" i="3"/>
  <c r="O899" i="3"/>
  <c r="P898" i="3"/>
  <c r="O898" i="3"/>
  <c r="P897" i="3"/>
  <c r="O897" i="3"/>
  <c r="P896" i="3"/>
  <c r="O896" i="3"/>
  <c r="P895" i="3"/>
  <c r="O895" i="3"/>
  <c r="P894" i="3"/>
  <c r="O894" i="3"/>
  <c r="P893" i="3"/>
  <c r="O893" i="3"/>
  <c r="P892" i="3"/>
  <c r="O892" i="3"/>
  <c r="P891" i="3"/>
  <c r="O891" i="3"/>
  <c r="P890" i="3"/>
  <c r="O890" i="3"/>
  <c r="P889" i="3"/>
  <c r="O889" i="3"/>
  <c r="P888" i="3"/>
  <c r="O888" i="3"/>
  <c r="P887" i="3"/>
  <c r="O887" i="3"/>
  <c r="P886" i="3"/>
  <c r="O886" i="3"/>
  <c r="P885" i="3"/>
  <c r="O885" i="3"/>
  <c r="P884" i="3"/>
  <c r="O884" i="3"/>
  <c r="P883" i="3"/>
  <c r="O883" i="3"/>
  <c r="P882" i="3"/>
  <c r="O882" i="3"/>
  <c r="P881" i="3"/>
  <c r="O881" i="3"/>
  <c r="P880" i="3"/>
  <c r="O880" i="3"/>
  <c r="P879" i="3"/>
  <c r="O879" i="3"/>
  <c r="P878" i="3"/>
  <c r="O878" i="3"/>
  <c r="P877" i="3"/>
  <c r="O877" i="3"/>
  <c r="P876" i="3"/>
  <c r="O876" i="3"/>
  <c r="P875" i="3"/>
  <c r="O875" i="3"/>
  <c r="P874" i="3"/>
  <c r="O874" i="3"/>
  <c r="P873" i="3"/>
  <c r="O873" i="3"/>
  <c r="P872" i="3"/>
  <c r="O872" i="3"/>
  <c r="P871" i="3"/>
  <c r="O871" i="3"/>
  <c r="P870" i="3"/>
  <c r="O870" i="3"/>
  <c r="P869" i="3"/>
  <c r="O869" i="3"/>
  <c r="P868" i="3"/>
  <c r="O868" i="3"/>
  <c r="P867" i="3"/>
  <c r="O867" i="3"/>
  <c r="P866" i="3"/>
  <c r="O866" i="3"/>
  <c r="P865" i="3"/>
  <c r="O865" i="3"/>
  <c r="P864" i="3"/>
  <c r="O864" i="3"/>
  <c r="P863" i="3"/>
  <c r="O863" i="3"/>
  <c r="P862" i="3"/>
  <c r="O862" i="3"/>
  <c r="P861" i="3"/>
  <c r="O861" i="3"/>
  <c r="P860" i="3"/>
  <c r="O860" i="3"/>
  <c r="P859" i="3"/>
  <c r="O859" i="3"/>
  <c r="P858" i="3"/>
  <c r="O858" i="3"/>
  <c r="P857" i="3"/>
  <c r="O857" i="3"/>
  <c r="P856" i="3"/>
  <c r="O856" i="3"/>
  <c r="P855" i="3"/>
  <c r="O855" i="3"/>
  <c r="P854" i="3"/>
  <c r="O854" i="3"/>
  <c r="P853" i="3"/>
  <c r="O853" i="3"/>
  <c r="P852" i="3"/>
  <c r="O852" i="3"/>
  <c r="P851" i="3"/>
  <c r="O851" i="3"/>
  <c r="P850" i="3"/>
  <c r="O850" i="3"/>
  <c r="P849" i="3"/>
  <c r="O849" i="3"/>
  <c r="P848" i="3"/>
  <c r="O848" i="3"/>
  <c r="P847" i="3"/>
  <c r="O847" i="3"/>
  <c r="P846" i="3"/>
  <c r="O846" i="3"/>
  <c r="P845" i="3"/>
  <c r="O845" i="3"/>
  <c r="P844" i="3"/>
  <c r="O844" i="3"/>
  <c r="P843" i="3"/>
  <c r="O843" i="3"/>
  <c r="P842" i="3"/>
  <c r="O842" i="3"/>
  <c r="P841" i="3"/>
  <c r="O841" i="3"/>
  <c r="P840" i="3"/>
  <c r="O840" i="3"/>
  <c r="P839" i="3"/>
  <c r="O839" i="3"/>
  <c r="P838" i="3"/>
  <c r="O838" i="3"/>
  <c r="P837" i="3"/>
  <c r="O837" i="3"/>
  <c r="P836" i="3"/>
  <c r="O836" i="3"/>
  <c r="P835" i="3"/>
  <c r="O835" i="3"/>
  <c r="P834" i="3"/>
  <c r="O834" i="3"/>
  <c r="P833" i="3"/>
  <c r="O833" i="3"/>
  <c r="P832" i="3"/>
  <c r="O832" i="3"/>
  <c r="P831" i="3"/>
  <c r="O831" i="3"/>
  <c r="P830" i="3"/>
  <c r="O830" i="3"/>
  <c r="P829" i="3"/>
  <c r="O829" i="3"/>
  <c r="P828" i="3"/>
  <c r="O828" i="3"/>
  <c r="P827" i="3"/>
  <c r="O827" i="3"/>
  <c r="P826" i="3"/>
  <c r="O826" i="3"/>
  <c r="P825" i="3"/>
  <c r="O825" i="3"/>
  <c r="P824" i="3"/>
  <c r="O824" i="3"/>
  <c r="P823" i="3"/>
  <c r="O823" i="3"/>
  <c r="P822" i="3"/>
  <c r="O822" i="3"/>
  <c r="P821" i="3"/>
  <c r="O821" i="3"/>
  <c r="P820" i="3"/>
  <c r="O820" i="3"/>
  <c r="P819" i="3"/>
  <c r="O819" i="3"/>
  <c r="P818" i="3"/>
  <c r="O818" i="3"/>
  <c r="P817" i="3"/>
  <c r="O817" i="3"/>
  <c r="P816" i="3"/>
  <c r="O816" i="3"/>
  <c r="P815" i="3"/>
  <c r="O815" i="3"/>
  <c r="P814" i="3"/>
  <c r="O814" i="3"/>
  <c r="P813" i="3"/>
  <c r="O813" i="3"/>
  <c r="P812" i="3"/>
  <c r="O812" i="3"/>
  <c r="P811" i="3"/>
  <c r="O811" i="3"/>
  <c r="P810" i="3"/>
  <c r="O810" i="3"/>
  <c r="P809" i="3"/>
  <c r="O809" i="3"/>
  <c r="P808" i="3"/>
  <c r="O808" i="3"/>
  <c r="P807" i="3"/>
  <c r="O807" i="3"/>
  <c r="P806" i="3"/>
  <c r="O806" i="3"/>
  <c r="P805" i="3"/>
  <c r="O805" i="3"/>
  <c r="P804" i="3"/>
  <c r="O804" i="3"/>
  <c r="P803" i="3"/>
  <c r="O803" i="3"/>
  <c r="P802" i="3"/>
  <c r="O802" i="3"/>
  <c r="P801" i="3"/>
  <c r="O801" i="3"/>
  <c r="P800" i="3"/>
  <c r="O800" i="3"/>
  <c r="P799" i="3"/>
  <c r="O799" i="3"/>
  <c r="P798" i="3"/>
  <c r="O798" i="3"/>
  <c r="P797" i="3"/>
  <c r="O797" i="3"/>
  <c r="P796" i="3"/>
  <c r="O796" i="3"/>
  <c r="P795" i="3"/>
  <c r="O795" i="3"/>
  <c r="P794" i="3"/>
  <c r="O794" i="3"/>
  <c r="P793" i="3"/>
  <c r="O793" i="3"/>
  <c r="P792" i="3"/>
  <c r="O792" i="3"/>
  <c r="P791" i="3"/>
  <c r="O791" i="3"/>
  <c r="P790" i="3"/>
  <c r="O790" i="3"/>
  <c r="P789" i="3"/>
  <c r="O789" i="3"/>
  <c r="P788" i="3"/>
  <c r="O788" i="3"/>
  <c r="P787" i="3"/>
  <c r="O787" i="3"/>
  <c r="P786" i="3"/>
  <c r="O786" i="3"/>
  <c r="P785" i="3"/>
  <c r="O785" i="3"/>
  <c r="P784" i="3"/>
  <c r="O784" i="3"/>
  <c r="P783" i="3"/>
  <c r="O783" i="3"/>
  <c r="P782" i="3"/>
  <c r="O782" i="3"/>
  <c r="P781" i="3"/>
  <c r="O781" i="3"/>
  <c r="P780" i="3"/>
  <c r="O780" i="3"/>
  <c r="P779" i="3"/>
  <c r="O779" i="3"/>
  <c r="P778" i="3"/>
  <c r="O778" i="3"/>
  <c r="P777" i="3"/>
  <c r="O777" i="3"/>
  <c r="P776" i="3"/>
  <c r="O776" i="3"/>
  <c r="P775" i="3"/>
  <c r="O775" i="3"/>
  <c r="P774" i="3"/>
  <c r="O774" i="3"/>
  <c r="P773" i="3"/>
  <c r="O773" i="3"/>
  <c r="P772" i="3"/>
  <c r="O772" i="3"/>
  <c r="P771" i="3"/>
  <c r="O771" i="3"/>
  <c r="P770" i="3"/>
  <c r="O770" i="3"/>
  <c r="P769" i="3"/>
  <c r="O769" i="3"/>
  <c r="P768" i="3"/>
  <c r="O768" i="3"/>
  <c r="P767" i="3"/>
  <c r="O767" i="3"/>
  <c r="P766" i="3"/>
  <c r="O766" i="3"/>
  <c r="P765" i="3"/>
  <c r="O765" i="3"/>
  <c r="P764" i="3"/>
  <c r="O764" i="3"/>
  <c r="P763" i="3"/>
  <c r="O763" i="3"/>
  <c r="P762" i="3"/>
  <c r="O762" i="3"/>
  <c r="P761" i="3"/>
  <c r="O761" i="3"/>
  <c r="P760" i="3"/>
  <c r="O760" i="3"/>
  <c r="P759" i="3"/>
  <c r="O759" i="3"/>
  <c r="P758" i="3"/>
  <c r="O758" i="3"/>
  <c r="P757" i="3"/>
  <c r="O757" i="3"/>
  <c r="P756" i="3"/>
  <c r="O756" i="3"/>
  <c r="P755" i="3"/>
  <c r="O755" i="3"/>
  <c r="P754" i="3"/>
  <c r="O754" i="3"/>
  <c r="P753" i="3"/>
  <c r="O753" i="3"/>
  <c r="P752" i="3"/>
  <c r="O752" i="3"/>
  <c r="P751" i="3"/>
  <c r="O751" i="3"/>
  <c r="P750" i="3"/>
  <c r="O750" i="3"/>
  <c r="P749" i="3"/>
  <c r="O749" i="3"/>
  <c r="P748" i="3"/>
  <c r="O748" i="3"/>
  <c r="P747" i="3"/>
  <c r="O747" i="3"/>
  <c r="P746" i="3"/>
  <c r="O746" i="3"/>
  <c r="P745" i="3"/>
  <c r="O745" i="3"/>
  <c r="P744" i="3"/>
  <c r="O744" i="3"/>
  <c r="P743" i="3"/>
  <c r="O743" i="3"/>
  <c r="P742" i="3"/>
  <c r="O742" i="3"/>
  <c r="P741" i="3"/>
  <c r="O741" i="3"/>
  <c r="P740" i="3"/>
  <c r="O740" i="3"/>
  <c r="P739" i="3"/>
  <c r="O739" i="3"/>
  <c r="P738" i="3"/>
  <c r="O738" i="3"/>
  <c r="P737" i="3"/>
  <c r="O737" i="3"/>
  <c r="P736" i="3"/>
  <c r="O736" i="3"/>
  <c r="P735" i="3"/>
  <c r="O735" i="3"/>
  <c r="P734" i="3"/>
  <c r="O734" i="3"/>
  <c r="P733" i="3"/>
  <c r="O733" i="3"/>
  <c r="P732" i="3"/>
  <c r="O732" i="3"/>
  <c r="P731" i="3"/>
  <c r="O731" i="3"/>
  <c r="P730" i="3"/>
  <c r="O730" i="3"/>
  <c r="P729" i="3"/>
  <c r="O729" i="3"/>
  <c r="P728" i="3"/>
  <c r="O728" i="3"/>
  <c r="P727" i="3"/>
  <c r="O727" i="3"/>
  <c r="P726" i="3"/>
  <c r="O726" i="3"/>
  <c r="P725" i="3"/>
  <c r="O725" i="3"/>
  <c r="P724" i="3"/>
  <c r="O724" i="3"/>
  <c r="P723" i="3"/>
  <c r="O723" i="3"/>
  <c r="P722" i="3"/>
  <c r="O722" i="3"/>
  <c r="P721" i="3"/>
  <c r="O721" i="3"/>
  <c r="P720" i="3"/>
  <c r="O720" i="3"/>
  <c r="P719" i="3"/>
  <c r="O719" i="3"/>
  <c r="P718" i="3"/>
  <c r="O718" i="3"/>
  <c r="P717" i="3"/>
  <c r="O717" i="3"/>
  <c r="P716" i="3"/>
  <c r="O716" i="3"/>
  <c r="P715" i="3"/>
  <c r="O715" i="3"/>
  <c r="P714" i="3"/>
  <c r="O714" i="3"/>
  <c r="P713" i="3"/>
  <c r="O713" i="3"/>
  <c r="P712" i="3"/>
  <c r="O712" i="3"/>
  <c r="P711" i="3"/>
  <c r="O711" i="3"/>
  <c r="P710" i="3"/>
  <c r="O710" i="3"/>
  <c r="P709" i="3"/>
  <c r="O709" i="3"/>
  <c r="P708" i="3"/>
  <c r="O708" i="3"/>
  <c r="P707" i="3"/>
  <c r="O707" i="3"/>
  <c r="P706" i="3"/>
  <c r="O706" i="3"/>
  <c r="P705" i="3"/>
  <c r="O705" i="3"/>
  <c r="P704" i="3"/>
  <c r="O704" i="3"/>
  <c r="P703" i="3"/>
  <c r="O703" i="3"/>
  <c r="P702" i="3"/>
  <c r="O702" i="3"/>
  <c r="P701" i="3"/>
  <c r="O701" i="3"/>
  <c r="P700" i="3"/>
  <c r="O700" i="3"/>
  <c r="P699" i="3"/>
  <c r="O699" i="3"/>
  <c r="P698" i="3"/>
  <c r="O698" i="3"/>
  <c r="P697" i="3"/>
  <c r="O697" i="3"/>
  <c r="P696" i="3"/>
  <c r="O696" i="3"/>
  <c r="P695" i="3"/>
  <c r="O695" i="3"/>
  <c r="P694" i="3"/>
  <c r="O694" i="3"/>
  <c r="P693" i="3"/>
  <c r="O693" i="3"/>
  <c r="P692" i="3"/>
  <c r="O692" i="3"/>
  <c r="P691" i="3"/>
  <c r="O691" i="3"/>
  <c r="P690" i="3"/>
  <c r="O690" i="3"/>
  <c r="P689" i="3"/>
  <c r="O689" i="3"/>
  <c r="P688" i="3"/>
  <c r="O688" i="3"/>
  <c r="P687" i="3"/>
  <c r="O687" i="3"/>
  <c r="P686" i="3"/>
  <c r="O686" i="3"/>
  <c r="P685" i="3"/>
  <c r="O685" i="3"/>
  <c r="P684" i="3"/>
  <c r="O684" i="3"/>
  <c r="P683" i="3"/>
  <c r="O683" i="3"/>
  <c r="P682" i="3"/>
  <c r="O682" i="3"/>
  <c r="P681" i="3"/>
  <c r="O681" i="3"/>
  <c r="P680" i="3"/>
  <c r="O680" i="3"/>
  <c r="P679" i="3"/>
  <c r="O679" i="3"/>
  <c r="P678" i="3"/>
  <c r="O678" i="3"/>
  <c r="P677" i="3"/>
  <c r="O677" i="3"/>
  <c r="P676" i="3"/>
  <c r="O676" i="3"/>
  <c r="P675" i="3"/>
  <c r="O675" i="3"/>
  <c r="P674" i="3"/>
  <c r="O674" i="3"/>
  <c r="P673" i="3"/>
  <c r="O673" i="3"/>
  <c r="P672" i="3"/>
  <c r="O672" i="3"/>
  <c r="P671" i="3"/>
  <c r="O671" i="3"/>
  <c r="P670" i="3"/>
  <c r="O670" i="3"/>
  <c r="P669" i="3"/>
  <c r="O669" i="3"/>
  <c r="P668" i="3"/>
  <c r="O668" i="3"/>
  <c r="P667" i="3"/>
  <c r="O667" i="3"/>
  <c r="P666" i="3"/>
  <c r="O666" i="3"/>
  <c r="P665" i="3"/>
  <c r="O665" i="3"/>
  <c r="P664" i="3"/>
  <c r="O664" i="3"/>
  <c r="P663" i="3"/>
  <c r="O663" i="3"/>
  <c r="P662" i="3"/>
  <c r="O662" i="3"/>
  <c r="P661" i="3"/>
  <c r="O661" i="3"/>
  <c r="P660" i="3"/>
  <c r="O660" i="3"/>
  <c r="P659" i="3"/>
  <c r="O659" i="3"/>
  <c r="P658" i="3"/>
  <c r="O658" i="3"/>
  <c r="P657" i="3"/>
  <c r="O657" i="3"/>
  <c r="P656" i="3"/>
  <c r="O656" i="3"/>
  <c r="P655" i="3"/>
  <c r="O655" i="3"/>
  <c r="P654" i="3"/>
  <c r="O654" i="3"/>
  <c r="P653" i="3"/>
  <c r="O653" i="3"/>
  <c r="P652" i="3"/>
  <c r="O652" i="3"/>
  <c r="P651" i="3"/>
  <c r="O651" i="3"/>
  <c r="P650" i="3"/>
  <c r="O650" i="3"/>
  <c r="P649" i="3"/>
  <c r="O649" i="3"/>
  <c r="P648" i="3"/>
  <c r="O648" i="3"/>
  <c r="P647" i="3"/>
  <c r="O647" i="3"/>
  <c r="P646" i="3"/>
  <c r="O646" i="3"/>
  <c r="P645" i="3"/>
  <c r="O645" i="3"/>
  <c r="P644" i="3"/>
  <c r="O644" i="3"/>
  <c r="P643" i="3"/>
  <c r="O643" i="3"/>
  <c r="P642" i="3"/>
  <c r="O642" i="3"/>
  <c r="P641" i="3"/>
  <c r="O641" i="3"/>
  <c r="P640" i="3"/>
  <c r="O640" i="3"/>
  <c r="P639" i="3"/>
  <c r="O639" i="3"/>
  <c r="P638" i="3"/>
  <c r="O638" i="3"/>
  <c r="P637" i="3"/>
  <c r="O637" i="3"/>
  <c r="P636" i="3"/>
  <c r="O636" i="3"/>
  <c r="P635" i="3"/>
  <c r="O635" i="3"/>
  <c r="P634" i="3"/>
  <c r="O634" i="3"/>
  <c r="P633" i="3"/>
  <c r="O633" i="3"/>
  <c r="P632" i="3"/>
  <c r="O632" i="3"/>
  <c r="P631" i="3"/>
  <c r="O631" i="3"/>
  <c r="P630" i="3"/>
  <c r="O630" i="3"/>
  <c r="P629" i="3"/>
  <c r="O629" i="3"/>
  <c r="P628" i="3"/>
  <c r="O628" i="3"/>
  <c r="P627" i="3"/>
  <c r="O627" i="3"/>
  <c r="P626" i="3"/>
  <c r="O626" i="3"/>
  <c r="P625" i="3"/>
  <c r="O625" i="3"/>
  <c r="P624" i="3"/>
  <c r="O624" i="3"/>
  <c r="P623" i="3"/>
  <c r="O623" i="3"/>
  <c r="P622" i="3"/>
  <c r="O622" i="3"/>
  <c r="P621" i="3"/>
  <c r="O621" i="3"/>
  <c r="P620" i="3"/>
  <c r="O620" i="3"/>
  <c r="P619" i="3"/>
  <c r="O619" i="3"/>
  <c r="P618" i="3"/>
  <c r="O618" i="3"/>
  <c r="P617" i="3"/>
  <c r="O617" i="3"/>
  <c r="P616" i="3"/>
  <c r="O616" i="3"/>
  <c r="P615" i="3"/>
  <c r="O615" i="3"/>
  <c r="P614" i="3"/>
  <c r="O614" i="3"/>
  <c r="P613" i="3"/>
  <c r="O613" i="3"/>
  <c r="P612" i="3"/>
  <c r="O612" i="3"/>
  <c r="P611" i="3"/>
  <c r="O611" i="3"/>
  <c r="P610" i="3"/>
  <c r="O610" i="3"/>
  <c r="P609" i="3"/>
  <c r="O609" i="3"/>
  <c r="P608" i="3"/>
  <c r="O608" i="3"/>
  <c r="P607" i="3"/>
  <c r="O607" i="3"/>
  <c r="P606" i="3"/>
  <c r="O606" i="3"/>
  <c r="P605" i="3"/>
  <c r="O605" i="3"/>
  <c r="P604" i="3"/>
  <c r="O604" i="3"/>
  <c r="P603" i="3"/>
  <c r="O603" i="3"/>
  <c r="P602" i="3"/>
  <c r="O602" i="3"/>
  <c r="P601" i="3"/>
  <c r="O601" i="3"/>
  <c r="P600" i="3"/>
  <c r="O600" i="3"/>
  <c r="P599" i="3"/>
  <c r="O599" i="3"/>
  <c r="P598" i="3"/>
  <c r="O598" i="3"/>
  <c r="P597" i="3"/>
  <c r="O597" i="3"/>
  <c r="P596" i="3"/>
  <c r="O596" i="3"/>
  <c r="P595" i="3"/>
  <c r="O595" i="3"/>
  <c r="P594" i="3"/>
  <c r="O594" i="3"/>
  <c r="P593" i="3"/>
  <c r="O593" i="3"/>
  <c r="P592" i="3"/>
  <c r="O592" i="3"/>
  <c r="P591" i="3"/>
  <c r="O591" i="3"/>
  <c r="P590" i="3"/>
  <c r="O590" i="3"/>
  <c r="P589" i="3"/>
  <c r="O589" i="3"/>
  <c r="P588" i="3"/>
  <c r="O588" i="3"/>
  <c r="P587" i="3"/>
  <c r="O587" i="3"/>
  <c r="P586" i="3"/>
  <c r="O586" i="3"/>
  <c r="P585" i="3"/>
  <c r="O585" i="3"/>
  <c r="P584" i="3"/>
  <c r="O584" i="3"/>
  <c r="P583" i="3"/>
  <c r="O583" i="3"/>
  <c r="P582" i="3"/>
  <c r="O582" i="3"/>
  <c r="P581" i="3"/>
  <c r="O581" i="3"/>
  <c r="P580" i="3"/>
  <c r="O580" i="3"/>
  <c r="P579" i="3"/>
  <c r="O579" i="3"/>
  <c r="P578" i="3"/>
  <c r="O578" i="3"/>
  <c r="P577" i="3"/>
  <c r="O577" i="3"/>
  <c r="P576" i="3"/>
  <c r="O576" i="3"/>
  <c r="P575" i="3"/>
  <c r="O575" i="3"/>
  <c r="P574" i="3"/>
  <c r="O574" i="3"/>
  <c r="P573" i="3"/>
  <c r="O573" i="3"/>
  <c r="P572" i="3"/>
  <c r="O572" i="3"/>
  <c r="P571" i="3"/>
  <c r="O571" i="3"/>
  <c r="P570" i="3"/>
  <c r="O570" i="3"/>
  <c r="P569" i="3"/>
  <c r="O569" i="3"/>
  <c r="P568" i="3"/>
  <c r="O568" i="3"/>
  <c r="P567" i="3"/>
  <c r="O567" i="3"/>
  <c r="P566" i="3"/>
  <c r="O566" i="3"/>
  <c r="P565" i="3"/>
  <c r="O565" i="3"/>
  <c r="P564" i="3"/>
  <c r="O564" i="3"/>
  <c r="P563" i="3"/>
  <c r="O563" i="3"/>
  <c r="P562" i="3"/>
  <c r="O562" i="3"/>
  <c r="P561" i="3"/>
  <c r="O561" i="3"/>
  <c r="P560" i="3"/>
  <c r="O560" i="3"/>
  <c r="P559" i="3"/>
  <c r="O559" i="3"/>
  <c r="P558" i="3"/>
  <c r="O558" i="3"/>
  <c r="P557" i="3"/>
  <c r="O557" i="3"/>
  <c r="P556" i="3"/>
  <c r="O556" i="3"/>
  <c r="P555" i="3"/>
  <c r="O555" i="3"/>
  <c r="P554" i="3"/>
  <c r="O554" i="3"/>
  <c r="P553" i="3"/>
  <c r="O553" i="3"/>
  <c r="P552" i="3"/>
  <c r="O552" i="3"/>
  <c r="P551" i="3"/>
  <c r="O551" i="3"/>
  <c r="P550" i="3"/>
  <c r="O550" i="3"/>
  <c r="P549" i="3"/>
  <c r="O549" i="3"/>
  <c r="P548" i="3"/>
  <c r="O548" i="3"/>
  <c r="P547" i="3"/>
  <c r="O547" i="3"/>
  <c r="P546" i="3"/>
  <c r="O546" i="3"/>
  <c r="P545" i="3"/>
  <c r="O545" i="3"/>
  <c r="P544" i="3"/>
  <c r="O544" i="3"/>
  <c r="P543" i="3"/>
  <c r="O543" i="3"/>
  <c r="P542" i="3"/>
  <c r="O542" i="3"/>
  <c r="P541" i="3"/>
  <c r="O541" i="3"/>
  <c r="P540" i="3"/>
  <c r="O540" i="3"/>
  <c r="P539" i="3"/>
  <c r="O539" i="3"/>
  <c r="P538" i="3"/>
  <c r="O538" i="3"/>
  <c r="P537" i="3"/>
  <c r="O537" i="3"/>
  <c r="P536" i="3"/>
  <c r="O536" i="3"/>
  <c r="P535" i="3"/>
  <c r="O535" i="3"/>
  <c r="P534" i="3"/>
  <c r="O534" i="3"/>
  <c r="P533" i="3"/>
  <c r="O533" i="3"/>
  <c r="P532" i="3"/>
  <c r="O532" i="3"/>
  <c r="P531" i="3"/>
  <c r="O531" i="3"/>
  <c r="P530" i="3"/>
  <c r="O530" i="3"/>
  <c r="P529" i="3"/>
  <c r="O529" i="3"/>
  <c r="P528" i="3"/>
  <c r="O528" i="3"/>
  <c r="P527" i="3"/>
  <c r="O527" i="3"/>
  <c r="P526" i="3"/>
  <c r="O526" i="3"/>
  <c r="P525" i="3"/>
  <c r="O525" i="3"/>
  <c r="P524" i="3"/>
  <c r="O524" i="3"/>
  <c r="P523" i="3"/>
  <c r="O523" i="3"/>
  <c r="P522" i="3"/>
  <c r="O522" i="3"/>
  <c r="P521" i="3"/>
  <c r="O521" i="3"/>
  <c r="P520" i="3"/>
  <c r="O520" i="3"/>
  <c r="P519" i="3"/>
  <c r="O519" i="3"/>
  <c r="P518" i="3"/>
  <c r="O518" i="3"/>
  <c r="P517" i="3"/>
  <c r="O517" i="3"/>
  <c r="P516" i="3"/>
  <c r="O516" i="3"/>
  <c r="P515" i="3"/>
  <c r="O515" i="3"/>
  <c r="P514" i="3"/>
  <c r="O514" i="3"/>
  <c r="P513" i="3"/>
  <c r="O513" i="3"/>
  <c r="P512" i="3"/>
  <c r="O512" i="3"/>
  <c r="P511" i="3"/>
  <c r="O511" i="3"/>
  <c r="P510" i="3"/>
  <c r="O510" i="3"/>
  <c r="P509" i="3"/>
  <c r="O509" i="3"/>
  <c r="P508" i="3"/>
  <c r="O508" i="3"/>
  <c r="P507" i="3"/>
  <c r="O507" i="3"/>
  <c r="P506" i="3"/>
  <c r="O506" i="3"/>
  <c r="P505" i="3"/>
  <c r="O505" i="3"/>
  <c r="P504" i="3"/>
  <c r="O504" i="3"/>
  <c r="P503" i="3"/>
  <c r="O503" i="3"/>
  <c r="P502" i="3"/>
  <c r="O502" i="3"/>
  <c r="P501" i="3"/>
  <c r="O501" i="3"/>
  <c r="P500" i="3"/>
  <c r="O500" i="3"/>
  <c r="P499" i="3"/>
  <c r="O499" i="3"/>
  <c r="P498" i="3"/>
  <c r="O498" i="3"/>
  <c r="P497" i="3"/>
  <c r="O497" i="3"/>
  <c r="P496" i="3"/>
  <c r="O496" i="3"/>
  <c r="P495" i="3"/>
  <c r="O495" i="3"/>
  <c r="P494" i="3"/>
  <c r="O494" i="3"/>
  <c r="P493" i="3"/>
  <c r="O493" i="3"/>
  <c r="P492" i="3"/>
  <c r="O492" i="3"/>
  <c r="P491" i="3"/>
  <c r="O491" i="3"/>
  <c r="P490" i="3"/>
  <c r="O490" i="3"/>
  <c r="P489" i="3"/>
  <c r="O489" i="3"/>
  <c r="P488" i="3"/>
  <c r="O488" i="3"/>
  <c r="P487" i="3"/>
  <c r="O487" i="3"/>
  <c r="P486" i="3"/>
  <c r="O486" i="3"/>
  <c r="P485" i="3"/>
  <c r="O485" i="3"/>
  <c r="P484" i="3"/>
  <c r="O484" i="3"/>
  <c r="P483" i="3"/>
  <c r="O483" i="3"/>
  <c r="P482" i="3"/>
  <c r="O482" i="3"/>
  <c r="P481" i="3"/>
  <c r="O481" i="3"/>
  <c r="P480" i="3"/>
  <c r="O480" i="3"/>
  <c r="P479" i="3"/>
  <c r="O479" i="3"/>
  <c r="P478" i="3"/>
  <c r="O478" i="3"/>
  <c r="P477" i="3"/>
  <c r="O477" i="3"/>
  <c r="P476" i="3"/>
  <c r="O476" i="3"/>
  <c r="P475" i="3"/>
  <c r="O475" i="3"/>
  <c r="P474" i="3"/>
  <c r="O474" i="3"/>
  <c r="P473" i="3"/>
  <c r="O473" i="3"/>
  <c r="P472" i="3"/>
  <c r="O472" i="3"/>
  <c r="P471" i="3"/>
  <c r="O471" i="3"/>
  <c r="P470" i="3"/>
  <c r="O470" i="3"/>
  <c r="P469" i="3"/>
  <c r="O469" i="3"/>
  <c r="P468" i="3"/>
  <c r="O468" i="3"/>
  <c r="P467" i="3"/>
  <c r="O467" i="3"/>
  <c r="P466" i="3"/>
  <c r="O466" i="3"/>
  <c r="P465" i="3"/>
  <c r="O465" i="3"/>
  <c r="P464" i="3"/>
  <c r="O464" i="3"/>
  <c r="P463" i="3"/>
  <c r="O463" i="3"/>
  <c r="P462" i="3"/>
  <c r="O462" i="3"/>
  <c r="P461" i="3"/>
  <c r="O461" i="3"/>
  <c r="P460" i="3"/>
  <c r="O460" i="3"/>
  <c r="P459" i="3"/>
  <c r="O459" i="3"/>
  <c r="P458" i="3"/>
  <c r="O458" i="3"/>
  <c r="P457" i="3"/>
  <c r="O457" i="3"/>
  <c r="P456" i="3"/>
  <c r="O456" i="3"/>
  <c r="P455" i="3"/>
  <c r="O455" i="3"/>
  <c r="P454" i="3"/>
  <c r="O454" i="3"/>
  <c r="P453" i="3"/>
  <c r="O453" i="3"/>
  <c r="P452" i="3"/>
  <c r="O452" i="3"/>
  <c r="P451" i="3"/>
  <c r="O451" i="3"/>
  <c r="P450" i="3"/>
  <c r="O450" i="3"/>
  <c r="P449" i="3"/>
  <c r="O449" i="3"/>
  <c r="P448" i="3"/>
  <c r="O448" i="3"/>
  <c r="P447" i="3"/>
  <c r="O447" i="3"/>
  <c r="P446" i="3"/>
  <c r="O446" i="3"/>
  <c r="P445" i="3"/>
  <c r="O445" i="3"/>
  <c r="P444" i="3"/>
  <c r="O444" i="3"/>
  <c r="P443" i="3"/>
  <c r="O443" i="3"/>
  <c r="P442" i="3"/>
  <c r="O442" i="3"/>
  <c r="P441" i="3"/>
  <c r="O441" i="3"/>
  <c r="P440" i="3"/>
  <c r="O440" i="3"/>
  <c r="P439" i="3"/>
  <c r="O439" i="3"/>
  <c r="P438" i="3"/>
  <c r="O438" i="3"/>
  <c r="P437" i="3"/>
  <c r="O437" i="3"/>
  <c r="P436" i="3"/>
  <c r="O436" i="3"/>
  <c r="P435" i="3"/>
  <c r="O435" i="3"/>
  <c r="P434" i="3"/>
  <c r="O434" i="3"/>
  <c r="P433" i="3"/>
  <c r="O433" i="3"/>
  <c r="P432" i="3"/>
  <c r="O432" i="3"/>
  <c r="P431" i="3"/>
  <c r="O431" i="3"/>
  <c r="P430" i="3"/>
  <c r="O430" i="3"/>
  <c r="P429" i="3"/>
  <c r="O429" i="3"/>
  <c r="P428" i="3"/>
  <c r="O428" i="3"/>
  <c r="P427" i="3"/>
  <c r="O427" i="3"/>
  <c r="P426" i="3"/>
  <c r="O426" i="3"/>
  <c r="P425" i="3"/>
  <c r="O425" i="3"/>
  <c r="P424" i="3"/>
  <c r="O424" i="3"/>
  <c r="P423" i="3"/>
  <c r="O423" i="3"/>
  <c r="P422" i="3"/>
  <c r="O422" i="3"/>
  <c r="P421" i="3"/>
  <c r="O421" i="3"/>
  <c r="P420" i="3"/>
  <c r="O420" i="3"/>
  <c r="P419" i="3"/>
  <c r="O419" i="3"/>
  <c r="P418" i="3"/>
  <c r="O418" i="3"/>
  <c r="P417" i="3"/>
  <c r="O417" i="3"/>
  <c r="P416" i="3"/>
  <c r="O416" i="3"/>
  <c r="P415" i="3"/>
  <c r="O415" i="3"/>
  <c r="P414" i="3"/>
  <c r="O414" i="3"/>
  <c r="P413" i="3"/>
  <c r="O413" i="3"/>
  <c r="P412" i="3"/>
  <c r="O412" i="3"/>
  <c r="P411" i="3"/>
  <c r="O411" i="3"/>
  <c r="P410" i="3"/>
  <c r="O410" i="3"/>
  <c r="P409" i="3"/>
  <c r="O409" i="3"/>
  <c r="P408" i="3"/>
  <c r="O408" i="3"/>
  <c r="P407" i="3"/>
  <c r="O407" i="3"/>
  <c r="P406" i="3"/>
  <c r="O406" i="3"/>
  <c r="P405" i="3"/>
  <c r="O405" i="3"/>
  <c r="P404" i="3"/>
  <c r="O404" i="3"/>
  <c r="P403" i="3"/>
  <c r="O403" i="3"/>
  <c r="P402" i="3"/>
  <c r="O402" i="3"/>
  <c r="P401" i="3"/>
  <c r="O401" i="3"/>
  <c r="P400" i="3"/>
  <c r="O400" i="3"/>
  <c r="P399" i="3"/>
  <c r="O399" i="3"/>
  <c r="P398" i="3"/>
  <c r="O398" i="3"/>
  <c r="P397" i="3"/>
  <c r="O397" i="3"/>
  <c r="P396" i="3"/>
  <c r="O396" i="3"/>
  <c r="P395" i="3"/>
  <c r="O395" i="3"/>
  <c r="P394" i="3"/>
  <c r="O394" i="3"/>
  <c r="P393" i="3"/>
  <c r="O393" i="3"/>
  <c r="P392" i="3"/>
  <c r="O392" i="3"/>
  <c r="P391" i="3"/>
  <c r="O391" i="3"/>
  <c r="P390" i="3"/>
  <c r="O390" i="3"/>
  <c r="P389" i="3"/>
  <c r="O389" i="3"/>
  <c r="P388" i="3"/>
  <c r="O388" i="3"/>
  <c r="P387" i="3"/>
  <c r="O387" i="3"/>
  <c r="P386" i="3"/>
  <c r="O386" i="3"/>
  <c r="P385" i="3"/>
  <c r="O385" i="3"/>
  <c r="P384" i="3"/>
  <c r="O384" i="3"/>
  <c r="P383" i="3"/>
  <c r="O383" i="3"/>
  <c r="P382" i="3"/>
  <c r="O382" i="3"/>
  <c r="P381" i="3"/>
  <c r="O381" i="3"/>
  <c r="P380" i="3"/>
  <c r="O380" i="3"/>
  <c r="P379" i="3"/>
  <c r="O379" i="3"/>
  <c r="P378" i="3"/>
  <c r="O378" i="3"/>
  <c r="P377" i="3"/>
  <c r="O377" i="3"/>
  <c r="P376" i="3"/>
  <c r="O376" i="3"/>
  <c r="P375" i="3"/>
  <c r="O375" i="3"/>
  <c r="P374" i="3"/>
  <c r="O374" i="3"/>
  <c r="P373" i="3"/>
  <c r="O373" i="3"/>
  <c r="P372" i="3"/>
  <c r="O372" i="3"/>
  <c r="P371" i="3"/>
  <c r="O371" i="3"/>
  <c r="P370" i="3"/>
  <c r="O370" i="3"/>
  <c r="P369" i="3"/>
  <c r="O369" i="3"/>
  <c r="P368" i="3"/>
  <c r="O368" i="3"/>
  <c r="P367" i="3"/>
  <c r="O367" i="3"/>
  <c r="P366" i="3"/>
  <c r="O366" i="3"/>
  <c r="P365" i="3"/>
  <c r="O365" i="3"/>
  <c r="P364" i="3"/>
  <c r="O364" i="3"/>
  <c r="P363" i="3"/>
  <c r="O363" i="3"/>
  <c r="P362" i="3"/>
  <c r="O362" i="3"/>
  <c r="P361" i="3"/>
  <c r="O361" i="3"/>
  <c r="P360" i="3"/>
  <c r="O360" i="3"/>
  <c r="P359" i="3"/>
  <c r="O359" i="3"/>
  <c r="P358" i="3"/>
  <c r="O358" i="3"/>
  <c r="P357" i="3"/>
  <c r="O357" i="3"/>
  <c r="P356" i="3"/>
  <c r="O356" i="3"/>
  <c r="P355" i="3"/>
  <c r="O355" i="3"/>
  <c r="P354" i="3"/>
  <c r="O354" i="3"/>
  <c r="P353" i="3"/>
  <c r="O353" i="3"/>
  <c r="P352" i="3"/>
  <c r="O352" i="3"/>
  <c r="P351" i="3"/>
  <c r="O351" i="3"/>
  <c r="P350" i="3"/>
  <c r="O350" i="3"/>
  <c r="P349" i="3"/>
  <c r="O349" i="3"/>
  <c r="P348" i="3"/>
  <c r="O348" i="3"/>
  <c r="P347" i="3"/>
  <c r="O347" i="3"/>
  <c r="P346" i="3"/>
  <c r="O346" i="3"/>
  <c r="P345" i="3"/>
  <c r="O345" i="3"/>
  <c r="P344" i="3"/>
  <c r="O344" i="3"/>
  <c r="P343" i="3"/>
  <c r="O343" i="3"/>
  <c r="P342" i="3"/>
  <c r="O342" i="3"/>
  <c r="P341" i="3"/>
  <c r="O341" i="3"/>
  <c r="P340" i="3"/>
  <c r="O340" i="3"/>
  <c r="P339" i="3"/>
  <c r="O339" i="3"/>
  <c r="P338" i="3"/>
  <c r="O338" i="3"/>
  <c r="P337" i="3"/>
  <c r="O337" i="3"/>
  <c r="P336" i="3"/>
  <c r="O336" i="3"/>
  <c r="P335" i="3"/>
  <c r="O335" i="3"/>
  <c r="P334" i="3"/>
  <c r="O334" i="3"/>
  <c r="P333" i="3"/>
  <c r="O333" i="3"/>
  <c r="P332" i="3"/>
  <c r="O332" i="3"/>
  <c r="P331" i="3"/>
  <c r="O331" i="3"/>
  <c r="P330" i="3"/>
  <c r="O330" i="3"/>
  <c r="P329" i="3"/>
  <c r="O329" i="3"/>
  <c r="P328" i="3"/>
  <c r="O328" i="3"/>
  <c r="P327" i="3"/>
  <c r="O327" i="3"/>
  <c r="P326" i="3"/>
  <c r="O326" i="3"/>
  <c r="P325" i="3"/>
  <c r="O325" i="3"/>
  <c r="P324" i="3"/>
  <c r="O324" i="3"/>
  <c r="P323" i="3"/>
  <c r="O323" i="3"/>
  <c r="P322" i="3"/>
  <c r="O322" i="3"/>
  <c r="P321" i="3"/>
  <c r="O321" i="3"/>
  <c r="P320" i="3"/>
  <c r="O320" i="3"/>
  <c r="P319" i="3"/>
  <c r="O319" i="3"/>
  <c r="P318" i="3"/>
  <c r="O318" i="3"/>
  <c r="P317" i="3"/>
  <c r="O317" i="3"/>
  <c r="P316" i="3"/>
  <c r="O316" i="3"/>
  <c r="P315" i="3"/>
  <c r="O315" i="3"/>
  <c r="P314" i="3"/>
  <c r="O314" i="3"/>
  <c r="P313" i="3"/>
  <c r="O313" i="3"/>
  <c r="P312" i="3"/>
  <c r="O312" i="3"/>
  <c r="P311" i="3"/>
  <c r="O311" i="3"/>
  <c r="P310" i="3"/>
  <c r="O310" i="3"/>
  <c r="P309" i="3"/>
  <c r="O309" i="3"/>
  <c r="P308" i="3"/>
  <c r="O308" i="3"/>
  <c r="P307" i="3"/>
  <c r="O307" i="3"/>
  <c r="P306" i="3"/>
  <c r="O306" i="3"/>
  <c r="P305" i="3"/>
  <c r="O305" i="3"/>
  <c r="P304" i="3"/>
  <c r="O304" i="3"/>
  <c r="P303" i="3"/>
  <c r="O303" i="3"/>
  <c r="P302" i="3"/>
  <c r="O302" i="3"/>
  <c r="P301" i="3"/>
  <c r="O301" i="3"/>
  <c r="P300" i="3"/>
  <c r="O300" i="3"/>
  <c r="P299" i="3"/>
  <c r="O299" i="3"/>
  <c r="P298" i="3"/>
  <c r="O298" i="3"/>
  <c r="P297" i="3"/>
  <c r="O297" i="3"/>
  <c r="P296" i="3"/>
  <c r="O296" i="3"/>
  <c r="P295" i="3"/>
  <c r="O295" i="3"/>
  <c r="P294" i="3"/>
  <c r="O294" i="3"/>
  <c r="P293" i="3"/>
  <c r="O293" i="3"/>
  <c r="P292" i="3"/>
  <c r="O292" i="3"/>
  <c r="P291" i="3"/>
  <c r="O291" i="3"/>
  <c r="P290" i="3"/>
  <c r="O290" i="3"/>
  <c r="P289" i="3"/>
  <c r="O289" i="3"/>
  <c r="P288" i="3"/>
  <c r="O288" i="3"/>
  <c r="P287" i="3"/>
  <c r="O287" i="3"/>
  <c r="P286" i="3"/>
  <c r="O286" i="3"/>
  <c r="P285" i="3"/>
  <c r="O285" i="3"/>
  <c r="P284" i="3"/>
  <c r="O284" i="3"/>
  <c r="P283" i="3"/>
  <c r="O283" i="3"/>
  <c r="P282" i="3"/>
  <c r="O282" i="3"/>
  <c r="P281" i="3"/>
  <c r="O281" i="3"/>
  <c r="P280" i="3"/>
  <c r="O280" i="3"/>
  <c r="P279" i="3"/>
  <c r="O279" i="3"/>
  <c r="P278" i="3"/>
  <c r="O278" i="3"/>
  <c r="P277" i="3"/>
  <c r="O277" i="3"/>
  <c r="P276" i="3"/>
  <c r="O276" i="3"/>
  <c r="P275" i="3"/>
  <c r="O275" i="3"/>
  <c r="P274" i="3"/>
  <c r="O274" i="3"/>
  <c r="P273" i="3"/>
  <c r="O273" i="3"/>
  <c r="P272" i="3"/>
  <c r="O272" i="3"/>
  <c r="P271" i="3"/>
  <c r="O271" i="3"/>
  <c r="P270" i="3"/>
  <c r="O270" i="3"/>
  <c r="P269" i="3"/>
  <c r="O269" i="3"/>
  <c r="P268" i="3"/>
  <c r="O268" i="3"/>
  <c r="P267" i="3"/>
  <c r="O267" i="3"/>
  <c r="P266" i="3"/>
  <c r="O266" i="3"/>
  <c r="P265" i="3"/>
  <c r="O265" i="3"/>
  <c r="P264" i="3"/>
  <c r="O264" i="3"/>
  <c r="P263" i="3"/>
  <c r="O263" i="3"/>
  <c r="P262" i="3"/>
  <c r="O262" i="3"/>
  <c r="P261" i="3"/>
  <c r="O261" i="3"/>
  <c r="P260" i="3"/>
  <c r="O260" i="3"/>
  <c r="P259" i="3"/>
  <c r="O259" i="3"/>
  <c r="P258" i="3"/>
  <c r="O258" i="3"/>
  <c r="P257" i="3"/>
  <c r="O257" i="3"/>
  <c r="P256" i="3"/>
  <c r="O256" i="3"/>
  <c r="P255" i="3"/>
  <c r="O255" i="3"/>
  <c r="P254" i="3"/>
  <c r="O254" i="3"/>
  <c r="P253" i="3"/>
  <c r="O253" i="3"/>
  <c r="P252" i="3"/>
  <c r="O252" i="3"/>
  <c r="P251" i="3"/>
  <c r="O251" i="3"/>
  <c r="P250" i="3"/>
  <c r="O250" i="3"/>
  <c r="P249" i="3"/>
  <c r="O249" i="3"/>
  <c r="P248" i="3"/>
  <c r="O248" i="3"/>
  <c r="P247" i="3"/>
  <c r="O247" i="3"/>
  <c r="P246" i="3"/>
  <c r="O246" i="3"/>
  <c r="P245" i="3"/>
  <c r="O245" i="3"/>
  <c r="P244" i="3"/>
  <c r="O244" i="3"/>
  <c r="P243" i="3"/>
  <c r="O243" i="3"/>
  <c r="P242" i="3"/>
  <c r="O242" i="3"/>
  <c r="P241" i="3"/>
  <c r="O241" i="3"/>
  <c r="P240" i="3"/>
  <c r="O240" i="3"/>
  <c r="P239" i="3"/>
  <c r="O239" i="3"/>
  <c r="P238" i="3"/>
  <c r="O238" i="3"/>
  <c r="P237" i="3"/>
  <c r="O237" i="3"/>
  <c r="P236" i="3"/>
  <c r="O236" i="3"/>
  <c r="P235" i="3"/>
  <c r="O235" i="3"/>
  <c r="P234" i="3"/>
  <c r="O234" i="3"/>
  <c r="P233" i="3"/>
  <c r="O233" i="3"/>
  <c r="P232" i="3"/>
  <c r="O232" i="3"/>
  <c r="P231" i="3"/>
  <c r="O231" i="3"/>
  <c r="P230" i="3"/>
  <c r="O230" i="3"/>
  <c r="P229" i="3"/>
  <c r="O229" i="3"/>
  <c r="P228" i="3"/>
  <c r="O228" i="3"/>
  <c r="P227" i="3"/>
  <c r="O227" i="3"/>
  <c r="P226" i="3"/>
  <c r="O226" i="3"/>
  <c r="P225" i="3"/>
  <c r="O225" i="3"/>
  <c r="P224" i="3"/>
  <c r="O224" i="3"/>
  <c r="P223" i="3"/>
  <c r="O223" i="3"/>
  <c r="P222" i="3"/>
  <c r="O222" i="3"/>
  <c r="P221" i="3"/>
  <c r="O221" i="3"/>
  <c r="P220" i="3"/>
  <c r="O220" i="3"/>
  <c r="P219" i="3"/>
  <c r="O219" i="3"/>
  <c r="P218" i="3"/>
  <c r="O218" i="3"/>
  <c r="P217" i="3"/>
  <c r="O217" i="3"/>
  <c r="P216" i="3"/>
  <c r="O216" i="3"/>
  <c r="P215" i="3"/>
  <c r="O215" i="3"/>
  <c r="P214" i="3"/>
  <c r="O214" i="3"/>
  <c r="P213" i="3"/>
  <c r="O213" i="3"/>
  <c r="P212" i="3"/>
  <c r="O212" i="3"/>
  <c r="P211" i="3"/>
  <c r="O211" i="3"/>
  <c r="P210" i="3"/>
  <c r="O210" i="3"/>
  <c r="P209" i="3"/>
  <c r="O209" i="3"/>
  <c r="P208" i="3"/>
  <c r="O208" i="3"/>
  <c r="P207" i="3"/>
  <c r="O207" i="3"/>
  <c r="P206" i="3"/>
  <c r="O206" i="3"/>
  <c r="P205" i="3"/>
  <c r="O205" i="3"/>
  <c r="P204" i="3"/>
  <c r="O204" i="3"/>
  <c r="P203" i="3"/>
  <c r="O203" i="3"/>
  <c r="P202" i="3"/>
  <c r="O202" i="3"/>
  <c r="P201" i="3"/>
  <c r="O201" i="3"/>
  <c r="P200" i="3"/>
  <c r="O200" i="3"/>
  <c r="P199" i="3"/>
  <c r="O199" i="3"/>
  <c r="P198" i="3"/>
  <c r="O198" i="3"/>
  <c r="P197" i="3"/>
  <c r="O197" i="3"/>
  <c r="P196" i="3"/>
  <c r="O196" i="3"/>
  <c r="P195" i="3"/>
  <c r="O195" i="3"/>
  <c r="P194" i="3"/>
  <c r="O194" i="3"/>
  <c r="P193" i="3"/>
  <c r="O193" i="3"/>
  <c r="P192" i="3"/>
  <c r="O192" i="3"/>
  <c r="P191" i="3"/>
  <c r="O191" i="3"/>
  <c r="P190" i="3"/>
  <c r="O190" i="3"/>
  <c r="P189" i="3"/>
  <c r="O189" i="3"/>
  <c r="P188" i="3"/>
  <c r="O188" i="3"/>
  <c r="P187" i="3"/>
  <c r="O187" i="3"/>
  <c r="P186" i="3"/>
  <c r="O186" i="3"/>
  <c r="P185" i="3"/>
  <c r="O185" i="3"/>
  <c r="P184" i="3"/>
  <c r="O184" i="3"/>
  <c r="P183" i="3"/>
  <c r="O183" i="3"/>
  <c r="P182" i="3"/>
  <c r="O182" i="3"/>
  <c r="P181" i="3"/>
  <c r="O181" i="3"/>
  <c r="P180" i="3"/>
  <c r="O180" i="3"/>
  <c r="P179" i="3"/>
  <c r="O179" i="3"/>
  <c r="P178" i="3"/>
  <c r="O178" i="3"/>
  <c r="P177" i="3"/>
  <c r="O177" i="3"/>
  <c r="P176" i="3"/>
  <c r="O176" i="3"/>
  <c r="P175" i="3"/>
  <c r="O175" i="3"/>
  <c r="P174" i="3"/>
  <c r="O174" i="3"/>
  <c r="P173" i="3"/>
  <c r="O173" i="3"/>
  <c r="P172" i="3"/>
  <c r="O172" i="3"/>
  <c r="P171" i="3"/>
  <c r="O171" i="3"/>
  <c r="P170" i="3"/>
  <c r="O170" i="3"/>
  <c r="P169" i="3"/>
  <c r="O169" i="3"/>
  <c r="P168" i="3"/>
  <c r="O168" i="3"/>
  <c r="P167" i="3"/>
  <c r="O167" i="3"/>
  <c r="P166" i="3"/>
  <c r="O166" i="3"/>
  <c r="P165" i="3"/>
  <c r="O165" i="3"/>
  <c r="P164" i="3"/>
  <c r="O164" i="3"/>
  <c r="P163" i="3"/>
  <c r="O163" i="3"/>
  <c r="P162" i="3"/>
  <c r="O162" i="3"/>
  <c r="P161" i="3"/>
  <c r="O161" i="3"/>
  <c r="P160" i="3"/>
  <c r="O160" i="3"/>
  <c r="P159" i="3"/>
  <c r="O159" i="3"/>
  <c r="P158" i="3"/>
  <c r="O158" i="3"/>
  <c r="P157" i="3"/>
  <c r="O157" i="3"/>
  <c r="P156" i="3"/>
  <c r="O156" i="3"/>
  <c r="P155" i="3"/>
  <c r="O155" i="3"/>
  <c r="P154" i="3"/>
  <c r="O154" i="3"/>
  <c r="P153" i="3"/>
  <c r="O153" i="3"/>
  <c r="P152" i="3"/>
  <c r="O152" i="3"/>
  <c r="P151" i="3"/>
  <c r="O151" i="3"/>
  <c r="P150" i="3"/>
  <c r="O150" i="3"/>
  <c r="P149" i="3"/>
  <c r="O149" i="3"/>
  <c r="P148" i="3"/>
  <c r="O148" i="3"/>
  <c r="P147" i="3"/>
  <c r="O147" i="3"/>
  <c r="P146" i="3"/>
  <c r="O146" i="3"/>
  <c r="P145" i="3"/>
  <c r="O145" i="3"/>
  <c r="P144" i="3"/>
  <c r="O144" i="3"/>
  <c r="P143" i="3"/>
  <c r="O143" i="3"/>
  <c r="P142" i="3"/>
  <c r="O142" i="3"/>
  <c r="P141" i="3"/>
  <c r="O141" i="3"/>
  <c r="P140" i="3"/>
  <c r="O140" i="3"/>
  <c r="P139" i="3"/>
  <c r="O139" i="3"/>
  <c r="P138" i="3"/>
  <c r="O138" i="3"/>
  <c r="P137" i="3"/>
  <c r="O137" i="3"/>
  <c r="P136" i="3"/>
  <c r="O136" i="3"/>
  <c r="P135" i="3"/>
  <c r="O135" i="3"/>
  <c r="P134" i="3"/>
  <c r="O134" i="3"/>
  <c r="P133" i="3"/>
  <c r="O133" i="3"/>
  <c r="P132" i="3"/>
  <c r="O132" i="3"/>
  <c r="P131" i="3"/>
  <c r="O131" i="3"/>
  <c r="P130" i="3"/>
  <c r="O130" i="3"/>
  <c r="P129" i="3"/>
  <c r="O129" i="3"/>
  <c r="P128" i="3"/>
  <c r="O128" i="3"/>
  <c r="P127" i="3"/>
  <c r="O127" i="3"/>
  <c r="P126" i="3"/>
  <c r="O126" i="3"/>
  <c r="P125" i="3"/>
  <c r="O125" i="3"/>
  <c r="P124" i="3"/>
  <c r="O124" i="3"/>
  <c r="P123" i="3"/>
  <c r="O123" i="3"/>
  <c r="P122" i="3"/>
  <c r="O122" i="3"/>
  <c r="P121" i="3"/>
  <c r="O121" i="3"/>
  <c r="P120" i="3"/>
  <c r="O120" i="3"/>
  <c r="P119" i="3"/>
  <c r="O119" i="3"/>
  <c r="P118" i="3"/>
  <c r="O118" i="3"/>
  <c r="P117" i="3"/>
  <c r="O117" i="3"/>
  <c r="P116" i="3"/>
  <c r="O116" i="3"/>
  <c r="P115" i="3"/>
  <c r="O115" i="3"/>
  <c r="P114" i="3"/>
  <c r="O114" i="3"/>
  <c r="P113" i="3"/>
  <c r="O113" i="3"/>
  <c r="P112" i="3"/>
  <c r="O112" i="3"/>
  <c r="P111" i="3"/>
  <c r="O111" i="3"/>
  <c r="P110" i="3"/>
  <c r="O110" i="3"/>
  <c r="P109" i="3"/>
  <c r="O109" i="3"/>
  <c r="P108" i="3"/>
  <c r="O108" i="3"/>
  <c r="P107" i="3"/>
  <c r="O107" i="3"/>
  <c r="P106" i="3"/>
  <c r="O106" i="3"/>
  <c r="P105" i="3"/>
  <c r="O105" i="3"/>
  <c r="P104" i="3"/>
  <c r="O104" i="3"/>
  <c r="P103" i="3"/>
  <c r="O103" i="3"/>
  <c r="P102" i="3"/>
  <c r="O102" i="3"/>
  <c r="P101" i="3"/>
  <c r="O101" i="3"/>
  <c r="P100" i="3"/>
  <c r="O100" i="3"/>
  <c r="P99" i="3"/>
  <c r="O99" i="3"/>
  <c r="P98" i="3"/>
  <c r="O98" i="3"/>
  <c r="P97" i="3"/>
  <c r="O97" i="3"/>
  <c r="P96" i="3"/>
  <c r="O96" i="3"/>
  <c r="P95" i="3"/>
  <c r="O95" i="3"/>
  <c r="P94" i="3"/>
  <c r="O94" i="3"/>
  <c r="P93" i="3"/>
  <c r="O93" i="3"/>
  <c r="P92" i="3"/>
  <c r="O92" i="3"/>
  <c r="P91" i="3"/>
  <c r="O91" i="3"/>
  <c r="P90" i="3"/>
  <c r="O90" i="3"/>
  <c r="P89" i="3"/>
  <c r="O89" i="3"/>
  <c r="P88" i="3"/>
  <c r="O88" i="3"/>
  <c r="P87" i="3"/>
  <c r="O87" i="3"/>
  <c r="P86" i="3"/>
  <c r="O86" i="3"/>
  <c r="P85" i="3"/>
  <c r="O85" i="3"/>
  <c r="P84" i="3"/>
  <c r="O84" i="3"/>
  <c r="P83" i="3"/>
  <c r="O83" i="3"/>
  <c r="P82" i="3"/>
  <c r="O82" i="3"/>
  <c r="P81" i="3"/>
  <c r="O81" i="3"/>
  <c r="P80" i="3"/>
  <c r="O80" i="3"/>
  <c r="P79" i="3"/>
  <c r="O79" i="3"/>
  <c r="P78" i="3"/>
  <c r="O78" i="3"/>
  <c r="P77" i="3"/>
  <c r="O77" i="3"/>
  <c r="P76" i="3"/>
  <c r="O76" i="3"/>
  <c r="P75" i="3"/>
  <c r="O75" i="3"/>
  <c r="P74" i="3"/>
  <c r="O74" i="3"/>
  <c r="P73" i="3"/>
  <c r="O73" i="3"/>
  <c r="P72" i="3"/>
  <c r="O72" i="3"/>
  <c r="P71" i="3"/>
  <c r="O71" i="3"/>
  <c r="P70" i="3"/>
  <c r="O70" i="3"/>
  <c r="P69" i="3"/>
  <c r="O69" i="3"/>
  <c r="P68" i="3"/>
  <c r="O68" i="3"/>
  <c r="P67" i="3"/>
  <c r="O67" i="3"/>
  <c r="P66" i="3"/>
  <c r="O66" i="3"/>
  <c r="P65" i="3"/>
  <c r="O65" i="3"/>
  <c r="P64" i="3"/>
  <c r="O64" i="3"/>
  <c r="P63" i="3"/>
  <c r="O63" i="3"/>
  <c r="P62" i="3"/>
  <c r="O62" i="3"/>
  <c r="P61" i="3"/>
  <c r="O61" i="3"/>
  <c r="P60" i="3"/>
  <c r="O60" i="3"/>
  <c r="P59" i="3"/>
  <c r="O59" i="3"/>
  <c r="P58" i="3"/>
  <c r="O58" i="3"/>
  <c r="P57" i="3"/>
  <c r="O57" i="3"/>
  <c r="P56" i="3"/>
  <c r="O56" i="3"/>
  <c r="P55" i="3"/>
  <c r="O55" i="3"/>
  <c r="P54" i="3"/>
  <c r="O54" i="3"/>
  <c r="P53" i="3"/>
  <c r="O53" i="3"/>
  <c r="P52" i="3"/>
  <c r="O52" i="3"/>
  <c r="P51" i="3"/>
  <c r="O51" i="3"/>
  <c r="P50" i="3"/>
  <c r="O50" i="3"/>
  <c r="P49" i="3"/>
  <c r="O49" i="3"/>
  <c r="P48" i="3"/>
  <c r="O48" i="3"/>
  <c r="P47" i="3"/>
  <c r="O47" i="3"/>
  <c r="P46" i="3"/>
  <c r="O46" i="3"/>
  <c r="P45" i="3"/>
  <c r="O45" i="3"/>
  <c r="P44" i="3"/>
  <c r="O44" i="3"/>
  <c r="P43" i="3"/>
  <c r="O43" i="3"/>
  <c r="P42" i="3"/>
  <c r="O42" i="3"/>
  <c r="P41" i="3"/>
  <c r="O41" i="3"/>
  <c r="P40" i="3"/>
  <c r="O40" i="3"/>
  <c r="P39" i="3"/>
  <c r="O39" i="3"/>
  <c r="P38" i="3"/>
  <c r="O38" i="3"/>
  <c r="P37" i="3"/>
  <c r="O37" i="3"/>
  <c r="P36" i="3"/>
  <c r="O36" i="3"/>
  <c r="P35" i="3"/>
  <c r="O35" i="3"/>
  <c r="P34" i="3"/>
  <c r="O34" i="3"/>
  <c r="P33" i="3"/>
  <c r="O33" i="3"/>
  <c r="P32" i="3"/>
  <c r="O32" i="3"/>
  <c r="P31" i="3"/>
  <c r="O31" i="3"/>
  <c r="P30" i="3"/>
  <c r="O30" i="3"/>
  <c r="P29" i="3"/>
  <c r="O29" i="3"/>
  <c r="P28" i="3"/>
  <c r="O28" i="3"/>
  <c r="P27" i="3"/>
  <c r="O27" i="3"/>
  <c r="P26" i="3"/>
  <c r="O26" i="3"/>
  <c r="P25" i="3"/>
  <c r="O25" i="3"/>
  <c r="P24" i="3"/>
  <c r="O24" i="3"/>
  <c r="P23" i="3"/>
  <c r="O23" i="3"/>
  <c r="P22" i="3"/>
  <c r="O22" i="3"/>
  <c r="P21" i="3"/>
  <c r="O21" i="3"/>
  <c r="P20" i="3"/>
  <c r="O20" i="3"/>
  <c r="P19" i="3"/>
  <c r="O19" i="3"/>
  <c r="P18" i="3"/>
  <c r="O18" i="3"/>
  <c r="P17" i="3"/>
  <c r="O17" i="3"/>
  <c r="P16" i="3"/>
  <c r="O16" i="3"/>
  <c r="P15" i="3"/>
  <c r="O15" i="3"/>
  <c r="P14" i="3"/>
  <c r="O14" i="3"/>
  <c r="P13" i="3"/>
  <c r="O13" i="3"/>
  <c r="P12" i="3"/>
  <c r="O12" i="3"/>
  <c r="P11" i="3"/>
  <c r="O11" i="3"/>
  <c r="P10" i="3"/>
  <c r="O10" i="3"/>
  <c r="P9" i="3"/>
  <c r="O9" i="3"/>
  <c r="P8" i="3"/>
  <c r="O8" i="3"/>
  <c r="P7" i="3"/>
  <c r="O7" i="3"/>
  <c r="P6" i="3"/>
  <c r="O6" i="3"/>
  <c r="P5" i="3"/>
  <c r="O5" i="3"/>
  <c r="P4" i="3"/>
  <c r="O4" i="3"/>
  <c r="P3" i="3"/>
  <c r="O3" i="3"/>
  <c r="P2" i="3"/>
  <c r="O2" i="3"/>
  <c r="T11" i="3" l="1"/>
  <c r="S11" i="3"/>
  <c r="S15" i="3"/>
  <c r="S14" i="3"/>
  <c r="S18" i="3"/>
  <c r="V11" i="3"/>
  <c r="U15" i="3"/>
  <c r="V15" i="3" s="1"/>
  <c r="U18" i="3"/>
  <c r="U14" i="3"/>
  <c r="U17" i="3"/>
  <c r="U13" i="3"/>
  <c r="U16" i="3"/>
  <c r="U12" i="3"/>
  <c r="T15" i="3"/>
  <c r="T12" i="3"/>
  <c r="T16" i="3"/>
  <c r="T13" i="3"/>
  <c r="T17" i="3"/>
  <c r="T14" i="3"/>
  <c r="T18" i="3"/>
  <c r="S17" i="3"/>
  <c r="S13" i="3"/>
  <c r="S16" i="3"/>
  <c r="S12" i="3"/>
  <c r="R21" i="3"/>
  <c r="R15" i="3"/>
  <c r="R18" i="3"/>
  <c r="R14" i="3"/>
  <c r="R24" i="3"/>
  <c r="R17" i="3"/>
  <c r="R13" i="3"/>
  <c r="R23" i="3"/>
  <c r="R16" i="3"/>
  <c r="R12" i="3"/>
  <c r="R22" i="3"/>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3" i="1"/>
  <c r="F4" i="1"/>
  <c r="F5" i="1"/>
  <c r="F6" i="1"/>
  <c r="F7" i="1"/>
  <c r="F8" i="1"/>
  <c r="F9" i="1"/>
  <c r="F10" i="1"/>
  <c r="F11" i="1"/>
  <c r="F12" i="1"/>
  <c r="F13" i="1"/>
  <c r="F14" i="1"/>
  <c r="F2" i="1"/>
  <c r="V12" i="3" l="1"/>
  <c r="V14" i="3"/>
  <c r="V16" i="3"/>
  <c r="V18" i="3"/>
  <c r="V13" i="3"/>
  <c r="V17" i="3"/>
  <c r="C16"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S5" i="1" l="1"/>
  <c r="S11" i="1"/>
  <c r="S931" i="1"/>
  <c r="S14" i="1"/>
  <c r="S15" i="1"/>
  <c r="S12" i="1"/>
  <c r="S77" i="1"/>
  <c r="S16" i="1"/>
  <c r="S26" i="1"/>
  <c r="S19" i="1"/>
  <c r="S17" i="1"/>
  <c r="S27" i="1"/>
  <c r="S29" i="1"/>
  <c r="S18" i="1"/>
  <c r="S260" i="1"/>
  <c r="S60" i="1"/>
  <c r="S20" i="1"/>
  <c r="S21" i="1"/>
  <c r="S28" i="1"/>
  <c r="S44" i="1"/>
  <c r="S24" i="1"/>
  <c r="S31" i="1"/>
  <c r="S22" i="1"/>
  <c r="S41" i="1"/>
  <c r="S110" i="1"/>
  <c r="S30" i="1"/>
  <c r="S32" i="1"/>
  <c r="S23" i="1"/>
  <c r="S38" i="1"/>
  <c r="S93" i="1"/>
  <c r="S25" i="1"/>
  <c r="S33" i="1"/>
  <c r="S358" i="1"/>
  <c r="S231" i="1"/>
  <c r="S254" i="1"/>
  <c r="S232" i="1"/>
  <c r="S34" i="1"/>
  <c r="S147" i="1"/>
  <c r="S35" i="1"/>
  <c r="S43" i="1"/>
  <c r="S10" i="1"/>
  <c r="S36" i="1"/>
  <c r="S109" i="1"/>
  <c r="S39" i="1"/>
  <c r="S97" i="1"/>
  <c r="S144" i="1"/>
  <c r="S121" i="1"/>
  <c r="S42" i="1"/>
  <c r="S40" i="1"/>
  <c r="S108" i="1"/>
  <c r="S45" i="1"/>
  <c r="S943" i="1"/>
  <c r="S953" i="1"/>
  <c r="S954" i="1"/>
  <c r="S955" i="1"/>
  <c r="S46" i="1"/>
  <c r="S54" i="1"/>
  <c r="S61" i="1"/>
  <c r="S53" i="1"/>
  <c r="S52" i="1"/>
  <c r="S57" i="1"/>
  <c r="S55" i="1"/>
  <c r="S65" i="1"/>
  <c r="S56" i="1"/>
  <c r="S86" i="1"/>
  <c r="S148" i="1"/>
  <c r="S140" i="1"/>
  <c r="S956" i="1"/>
  <c r="S181" i="1"/>
  <c r="S100" i="1"/>
  <c r="S129" i="1"/>
  <c r="S99" i="1"/>
  <c r="S62" i="1"/>
  <c r="S74" i="1"/>
  <c r="S58" i="1"/>
  <c r="S68" i="1"/>
  <c r="S47" i="1"/>
  <c r="S66" i="1"/>
  <c r="S89" i="1"/>
  <c r="S63" i="1"/>
  <c r="S67" i="1"/>
  <c r="S59" i="1"/>
  <c r="S71" i="1"/>
  <c r="S120" i="1"/>
  <c r="S141" i="1"/>
  <c r="S72" i="1"/>
  <c r="S69" i="1"/>
  <c r="S64" i="1"/>
  <c r="S70" i="1"/>
  <c r="S87" i="1"/>
  <c r="S73" i="1"/>
  <c r="S75" i="1"/>
  <c r="S83" i="1"/>
  <c r="S90" i="1"/>
  <c r="S151" i="1"/>
  <c r="S78" i="1"/>
  <c r="S91" i="1"/>
  <c r="S79" i="1"/>
  <c r="S80" i="1"/>
  <c r="S81" i="1"/>
  <c r="S85" i="1"/>
  <c r="S82" i="1"/>
  <c r="S88" i="1"/>
  <c r="S106" i="1"/>
  <c r="S84" i="1"/>
  <c r="S104" i="1"/>
  <c r="S94" i="1"/>
  <c r="S134" i="1"/>
  <c r="S132" i="1"/>
  <c r="S95" i="1"/>
  <c r="S92" i="1"/>
  <c r="S98" i="1"/>
  <c r="S122" i="1"/>
  <c r="S290" i="1"/>
  <c r="S101" i="1"/>
  <c r="S76" i="1"/>
  <c r="S107" i="1"/>
  <c r="S102" i="1"/>
  <c r="S105" i="1"/>
  <c r="S13" i="1"/>
  <c r="S6" i="1"/>
  <c r="S96" i="1"/>
  <c r="S103" i="1"/>
  <c r="S127" i="1"/>
  <c r="S113" i="1"/>
  <c r="S123" i="1"/>
  <c r="S124" i="1"/>
  <c r="S135" i="1"/>
  <c r="S266" i="1"/>
  <c r="S125" i="1"/>
  <c r="S126" i="1"/>
  <c r="S114" i="1"/>
  <c r="S128" i="1"/>
  <c r="S130" i="1"/>
  <c r="S131" i="1"/>
  <c r="S136" i="1"/>
  <c r="S142" i="1"/>
  <c r="S133" i="1"/>
  <c r="S137" i="1"/>
  <c r="S145" i="1"/>
  <c r="S143" i="1"/>
  <c r="S146" i="1"/>
  <c r="S138" i="1"/>
  <c r="S139" i="1"/>
  <c r="S149" i="1"/>
  <c r="S4" i="1"/>
  <c r="S3" i="1"/>
  <c r="S157" i="1"/>
  <c r="S152" i="1"/>
  <c r="S176" i="1"/>
  <c r="S161" i="1"/>
  <c r="S158" i="1"/>
  <c r="S169" i="1"/>
  <c r="S225" i="1"/>
  <c r="S370" i="1"/>
  <c r="S213" i="1"/>
  <c r="S961" i="1"/>
  <c r="S188" i="1"/>
  <c r="S189" i="1"/>
  <c r="S281" i="1"/>
  <c r="S190" i="1"/>
  <c r="S261" i="1"/>
  <c r="S173" i="1"/>
  <c r="S170" i="1"/>
  <c r="S191" i="1"/>
  <c r="S209" i="1"/>
  <c r="S162" i="1"/>
  <c r="S163" i="1"/>
  <c r="S185" i="1"/>
  <c r="S177" i="1"/>
  <c r="S178" i="1"/>
  <c r="S262" i="1"/>
  <c r="S164" i="1"/>
  <c r="S211" i="1"/>
  <c r="S616" i="1"/>
  <c r="S203" i="1"/>
  <c r="S207" i="1"/>
  <c r="S208" i="1"/>
  <c r="S204" i="1"/>
  <c r="S196" i="1"/>
  <c r="S197" i="1"/>
  <c r="S182" i="1"/>
  <c r="S834" i="1"/>
  <c r="S221" i="1"/>
  <c r="S192" i="1"/>
  <c r="S193" i="1"/>
  <c r="S194" i="1"/>
  <c r="S198" i="1"/>
  <c r="S222" i="1"/>
  <c r="S218" i="1"/>
  <c r="S219" i="1"/>
  <c r="S727" i="1"/>
  <c r="S223" i="1"/>
  <c r="S224" i="1"/>
  <c r="S327" i="1"/>
  <c r="S214" i="1"/>
  <c r="S216" i="1"/>
  <c r="S220" i="1"/>
  <c r="S167" i="1"/>
  <c r="S159" i="1"/>
  <c r="S165" i="1"/>
  <c r="S171" i="1"/>
  <c r="S174" i="1"/>
  <c r="S179" i="1"/>
  <c r="S183" i="1"/>
  <c r="S155" i="1"/>
  <c r="S153" i="1"/>
  <c r="S255" i="1"/>
  <c r="S186" i="1"/>
  <c r="S160" i="1"/>
  <c r="S166" i="1"/>
  <c r="S168" i="1"/>
  <c r="S172" i="1"/>
  <c r="S175" i="1"/>
  <c r="S180" i="1"/>
  <c r="S184" i="1"/>
  <c r="S205" i="1"/>
  <c r="S226" i="1"/>
  <c r="S256" i="1"/>
  <c r="S244" i="1"/>
  <c r="S263" i="1"/>
  <c r="S259" i="1"/>
  <c r="S150" i="1"/>
  <c r="S229" i="1"/>
  <c r="S236" i="1"/>
  <c r="S252" i="1"/>
  <c r="S230" i="1"/>
  <c r="S233" i="1"/>
  <c r="S253" i="1"/>
  <c r="S212" i="1"/>
  <c r="S217" i="1"/>
  <c r="S277" i="1"/>
  <c r="S265" i="1"/>
  <c r="S195" i="1"/>
  <c r="S210" i="1"/>
  <c r="S248" i="1"/>
  <c r="S452" i="1"/>
  <c r="S245" i="1"/>
  <c r="S272" i="1"/>
  <c r="S932" i="1"/>
  <c r="S267" i="1"/>
  <c r="S237" i="1"/>
  <c r="S238" i="1"/>
  <c r="S234" i="1"/>
  <c r="S962" i="1"/>
  <c r="S249" i="1"/>
  <c r="S273" i="1"/>
  <c r="S246" i="1"/>
  <c r="S247" i="1"/>
  <c r="S228" i="1"/>
  <c r="S250" i="1"/>
  <c r="S336" i="1"/>
  <c r="S201" i="1"/>
  <c r="S690" i="1"/>
  <c r="S215" i="1"/>
  <c r="S227" i="1"/>
  <c r="S353" i="1"/>
  <c r="S278" i="1"/>
  <c r="S235" i="1"/>
  <c r="S292" i="1"/>
  <c r="S271" i="1"/>
  <c r="S607" i="1"/>
  <c r="S268" i="1"/>
  <c r="S199" i="1"/>
  <c r="S202" i="1"/>
  <c r="S315" i="1"/>
  <c r="S279" i="1"/>
  <c r="S274" i="1"/>
  <c r="S526" i="1"/>
  <c r="S239" i="1"/>
  <c r="S275" i="1"/>
  <c r="S240" i="1"/>
  <c r="S241" i="1"/>
  <c r="S242" i="1"/>
  <c r="S320" i="1"/>
  <c r="S257" i="1"/>
  <c r="S347" i="1"/>
  <c r="S276" i="1"/>
  <c r="S337" i="1"/>
  <c r="S338" i="1"/>
  <c r="S957" i="1"/>
  <c r="S251" i="1"/>
  <c r="S264" i="1"/>
  <c r="S297" i="1"/>
  <c r="S505" i="1"/>
  <c r="S269" i="1"/>
  <c r="S270" i="1"/>
  <c r="S300" i="1"/>
  <c r="S305" i="1"/>
  <c r="S592" i="1"/>
  <c r="S293" i="1"/>
  <c r="S316" i="1"/>
  <c r="S317" i="1"/>
  <c r="S349" i="1"/>
  <c r="S318" i="1"/>
  <c r="S557" i="1"/>
  <c r="S286" i="1"/>
  <c r="S359" i="1"/>
  <c r="S364" i="1"/>
  <c r="S243" i="1"/>
  <c r="S282" i="1"/>
  <c r="S324" i="1"/>
  <c r="S350" i="1"/>
  <c r="S280" i="1"/>
  <c r="S344" i="1"/>
  <c r="S325" i="1"/>
  <c r="S322" i="1"/>
  <c r="S354" i="1"/>
  <c r="S355" i="1"/>
  <c r="S333" i="1"/>
  <c r="S379" i="1"/>
  <c r="S360" i="1"/>
  <c r="S375" i="1"/>
  <c r="S351" i="1"/>
  <c r="S312" i="1"/>
  <c r="S294" i="1"/>
  <c r="S295" i="1"/>
  <c r="S298" i="1"/>
  <c r="S283" i="1"/>
  <c r="S299" i="1"/>
  <c r="S296" i="1"/>
  <c r="S306" i="1"/>
  <c r="S340" i="1"/>
  <c r="S309" i="1"/>
  <c r="S291" i="1"/>
  <c r="S310" i="1"/>
  <c r="S328" i="1"/>
  <c r="S437" i="1"/>
  <c r="S345" i="1"/>
  <c r="S313" i="1"/>
  <c r="S307" i="1"/>
  <c r="S311" i="1"/>
  <c r="S287" i="1"/>
  <c r="S288" i="1"/>
  <c r="S289" i="1"/>
  <c r="S301" i="1"/>
  <c r="S438" i="1"/>
  <c r="S329" i="1"/>
  <c r="S439" i="1"/>
  <c r="S440" i="1"/>
  <c r="S330" i="1"/>
  <c r="S356" i="1"/>
  <c r="S319" i="1"/>
  <c r="S314" i="1"/>
  <c r="S335" i="1"/>
  <c r="S331" i="1"/>
  <c r="S341" i="1"/>
  <c r="S332" i="1"/>
  <c r="S386" i="1"/>
  <c r="S392" i="1"/>
  <c r="S387" i="1"/>
  <c r="S393" i="1"/>
  <c r="S394" i="1"/>
  <c r="S321" i="1"/>
  <c r="S284" i="1"/>
  <c r="S308" i="1"/>
  <c r="S796" i="1"/>
  <c r="S365" i="1"/>
  <c r="S187" i="1"/>
  <c r="S323" i="1"/>
  <c r="S357" i="1"/>
  <c r="S326" i="1"/>
  <c r="S334" i="1"/>
  <c r="S339" i="1"/>
  <c r="S510" i="1"/>
  <c r="S342" i="1"/>
  <c r="S361" i="1"/>
  <c r="S471" i="1"/>
  <c r="S490" i="1"/>
  <c r="S491" i="1"/>
  <c r="S527" i="1"/>
  <c r="S343" i="1"/>
  <c r="S285" i="1"/>
  <c r="S346" i="1"/>
  <c r="S348" i="1"/>
  <c r="S366" i="1"/>
  <c r="S371" i="1"/>
  <c r="S441" i="1"/>
  <c r="S367" i="1"/>
  <c r="S388" i="1"/>
  <c r="S434" i="1"/>
  <c r="S472" i="1"/>
  <c r="S443" i="1"/>
  <c r="S368" i="1"/>
  <c r="S372" i="1"/>
  <c r="S398" i="1"/>
  <c r="S462" i="1"/>
  <c r="S463" i="1"/>
  <c r="S399" i="1"/>
  <c r="S444" i="1"/>
  <c r="S373" i="1"/>
  <c r="S258" i="1"/>
  <c r="S456" i="1"/>
  <c r="S400" i="1"/>
  <c r="S431" i="1"/>
  <c r="S376" i="1"/>
  <c r="S377" i="1"/>
  <c r="S378" i="1"/>
  <c r="S362" i="1"/>
  <c r="S352" i="1"/>
  <c r="S395" i="1"/>
  <c r="S380" i="1"/>
  <c r="S389" i="1"/>
  <c r="S363" i="1"/>
  <c r="S374" i="1"/>
  <c r="S369" i="1"/>
  <c r="S442" i="1"/>
  <c r="S435" i="1"/>
  <c r="S506" i="1"/>
  <c r="S492" i="1"/>
  <c r="S412" i="1"/>
  <c r="S406" i="1"/>
  <c r="S407" i="1"/>
  <c r="S381" i="1"/>
  <c r="S382" i="1"/>
  <c r="S383" i="1"/>
  <c r="S384" i="1"/>
  <c r="S396" i="1"/>
  <c r="S385" i="1"/>
  <c r="S499" i="1"/>
  <c r="S500" i="1"/>
  <c r="S450" i="1"/>
  <c r="S566" i="1"/>
  <c r="S464" i="1"/>
  <c r="S586" i="1"/>
  <c r="S447" i="1"/>
  <c r="S445" i="1"/>
  <c r="S401" i="1"/>
  <c r="S402" i="1"/>
  <c r="S397" i="1"/>
  <c r="S390" i="1"/>
  <c r="S408" i="1"/>
  <c r="S409" i="1"/>
  <c r="S403" i="1"/>
  <c r="S501" i="1"/>
  <c r="S391" i="1"/>
  <c r="S485" i="1"/>
  <c r="S476" i="1"/>
  <c r="S404" i="1"/>
  <c r="S465" i="1"/>
  <c r="S457" i="1"/>
  <c r="S405" i="1"/>
  <c r="S413" i="1"/>
  <c r="S414" i="1"/>
  <c r="S415" i="1"/>
  <c r="S432" i="1"/>
  <c r="S436" i="1"/>
  <c r="S416" i="1"/>
  <c r="S410" i="1"/>
  <c r="S411" i="1"/>
  <c r="S466" i="1"/>
  <c r="S156" i="1"/>
  <c r="S154" i="1"/>
  <c r="S446" i="1"/>
  <c r="S486" i="1"/>
  <c r="S468" i="1"/>
  <c r="S433" i="1"/>
  <c r="S980" i="1"/>
  <c r="S417" i="1"/>
  <c r="S487" i="1"/>
  <c r="S448" i="1"/>
  <c r="S511" i="1"/>
  <c r="S587" i="1"/>
  <c r="S919" i="1"/>
  <c r="S507" i="1"/>
  <c r="S508" i="1"/>
  <c r="S588" i="1"/>
  <c r="S469" i="1"/>
  <c r="S451" i="1"/>
  <c r="S453" i="1"/>
  <c r="S449" i="1"/>
  <c r="S454" i="1"/>
  <c r="S455" i="1"/>
  <c r="S493" i="1"/>
  <c r="S477" i="1"/>
  <c r="S458" i="1"/>
  <c r="S467" i="1"/>
  <c r="S473" i="1"/>
  <c r="S478" i="1"/>
  <c r="S482" i="1"/>
  <c r="S474" i="1"/>
  <c r="S459" i="1"/>
  <c r="S576" i="1"/>
  <c r="S577" i="1"/>
  <c r="S479" i="1"/>
  <c r="S571" i="1"/>
  <c r="S488" i="1"/>
  <c r="S534" i="1"/>
  <c r="S480" i="1"/>
  <c r="S460" i="1"/>
  <c r="S535" i="1"/>
  <c r="S974" i="1"/>
  <c r="S470" i="1"/>
  <c r="S593" i="1"/>
  <c r="S536" i="1"/>
  <c r="S483" i="1"/>
  <c r="S481" i="1"/>
  <c r="S509" i="1"/>
  <c r="S564" i="1"/>
  <c r="S712" i="1"/>
  <c r="S610" i="1"/>
  <c r="S925" i="1"/>
  <c r="S502" i="1"/>
  <c r="S926" i="1"/>
  <c r="S484" i="1"/>
  <c r="S504" i="1"/>
  <c r="S489" i="1"/>
  <c r="S646" i="1"/>
  <c r="S475" i="1"/>
  <c r="S558" i="1"/>
  <c r="S494" i="1"/>
  <c r="S497" i="1"/>
  <c r="S498" i="1"/>
  <c r="S503" i="1"/>
  <c r="S495" i="1"/>
  <c r="S496" i="1"/>
  <c r="S528" i="1"/>
  <c r="S529" i="1"/>
  <c r="S580" i="1"/>
  <c r="S546" i="1"/>
  <c r="S549" i="1"/>
  <c r="S614" i="1"/>
  <c r="S615" i="1"/>
  <c r="S537" i="1"/>
  <c r="S559" i="1"/>
  <c r="S512" i="1"/>
  <c r="S513" i="1"/>
  <c r="S523" i="1"/>
  <c r="S550" i="1"/>
  <c r="S206" i="1"/>
  <c r="S530" i="1"/>
  <c r="S514" i="1"/>
  <c r="S691" i="1"/>
  <c r="S589" i="1"/>
  <c r="S611" i="1"/>
  <c r="S612" i="1"/>
  <c r="S551" i="1"/>
  <c r="S515" i="1"/>
  <c r="S567" i="1"/>
  <c r="S531" i="1"/>
  <c r="S572" i="1"/>
  <c r="S560" i="1"/>
  <c r="S594" i="1"/>
  <c r="S516" i="1"/>
  <c r="S532" i="1"/>
  <c r="S524" i="1"/>
  <c r="S517" i="1"/>
  <c r="S518" i="1"/>
  <c r="S519" i="1"/>
  <c r="S461" i="1"/>
  <c r="S525" i="1"/>
  <c r="S538" i="1"/>
  <c r="S539" i="1"/>
  <c r="S542" i="1"/>
  <c r="S540" i="1"/>
  <c r="S520" i="1"/>
  <c r="S590" i="1"/>
  <c r="S552" i="1"/>
  <c r="S565" i="1"/>
  <c r="S568" i="1"/>
  <c r="S600" i="1"/>
  <c r="S601" i="1"/>
  <c r="S617" i="1"/>
  <c r="S547" i="1"/>
  <c r="S553" i="1"/>
  <c r="S543" i="1"/>
  <c r="S548" i="1"/>
  <c r="S533" i="1"/>
  <c r="S541" i="1"/>
  <c r="S544" i="1"/>
  <c r="S521" i="1"/>
  <c r="S522" i="1"/>
  <c r="S653" i="1"/>
  <c r="S654" i="1"/>
  <c r="S595" i="1"/>
  <c r="S569" i="1"/>
  <c r="S664" i="1"/>
  <c r="S890" i="1"/>
  <c r="S922" i="1"/>
  <c r="S964" i="1"/>
  <c r="S721" i="1"/>
  <c r="S596" i="1"/>
  <c r="S561" i="1"/>
  <c r="S554" i="1"/>
  <c r="S581" i="1"/>
  <c r="S597" i="1"/>
  <c r="S636" i="1"/>
  <c r="S699" i="1"/>
  <c r="S714" i="1"/>
  <c r="S655" i="1"/>
  <c r="S656" i="1"/>
  <c r="S555" i="1"/>
  <c r="S570" i="1"/>
  <c r="S602" i="1"/>
  <c r="S604" i="1"/>
  <c r="S605" i="1"/>
  <c r="S556" i="1"/>
  <c r="S619" i="1"/>
  <c r="S933" i="1"/>
  <c r="S679" i="1"/>
  <c r="S583" i="1"/>
  <c r="S591" i="1"/>
  <c r="S622" i="1"/>
  <c r="S573" i="1"/>
  <c r="S958" i="1"/>
  <c r="S562" i="1"/>
  <c r="S563" i="1"/>
  <c r="S606" i="1"/>
  <c r="S574" i="1"/>
  <c r="S575" i="1"/>
  <c r="S578" i="1"/>
  <c r="S579" i="1"/>
  <c r="S584" i="1"/>
  <c r="S598" i="1"/>
  <c r="S829" i="1"/>
  <c r="S855" i="1"/>
  <c r="S657" i="1"/>
  <c r="S585" i="1"/>
  <c r="S582" i="1"/>
  <c r="S599" i="1"/>
  <c r="S629" i="1"/>
  <c r="S637" i="1"/>
  <c r="S680" i="1"/>
  <c r="S927" i="1"/>
  <c r="S681" i="1"/>
  <c r="S603" i="1"/>
  <c r="S977" i="1"/>
  <c r="S979" i="1"/>
  <c r="S37" i="1"/>
  <c r="S545" i="1"/>
  <c r="S682" i="1"/>
  <c r="S759" i="1"/>
  <c r="S620" i="1"/>
  <c r="S608" i="1"/>
  <c r="S631" i="1"/>
  <c r="S638" i="1"/>
  <c r="S639" i="1"/>
  <c r="S613" i="1"/>
  <c r="S621" i="1"/>
  <c r="S609" i="1"/>
  <c r="S626" i="1"/>
  <c r="S618" i="1"/>
  <c r="S640" i="1"/>
  <c r="S658" i="1"/>
  <c r="S627" i="1"/>
  <c r="S632" i="1"/>
  <c r="S623" i="1"/>
  <c r="S647" i="1"/>
  <c r="S669" i="1"/>
  <c r="S633" i="1"/>
  <c r="S700" i="1"/>
  <c r="S659" i="1"/>
  <c r="S967" i="1"/>
  <c r="S624" i="1"/>
  <c r="S625" i="1"/>
  <c r="S978" i="1"/>
  <c r="S660" i="1"/>
  <c r="S665" i="1"/>
  <c r="S630" i="1"/>
  <c r="S628" i="1"/>
  <c r="S708" i="1"/>
  <c r="S649" i="1"/>
  <c r="S634" i="1"/>
  <c r="S901" i="1"/>
  <c r="S920" i="1"/>
  <c r="S921" i="1"/>
  <c r="S635" i="1"/>
  <c r="S641" i="1"/>
  <c r="S667" i="1"/>
  <c r="S642" i="1"/>
  <c r="S733" i="1"/>
  <c r="S734" i="1"/>
  <c r="S683" i="1"/>
  <c r="S684" i="1"/>
  <c r="S737" i="1"/>
  <c r="S643" i="1"/>
  <c r="S738" i="1"/>
  <c r="S650" i="1"/>
  <c r="S661" i="1"/>
  <c r="S662" i="1"/>
  <c r="S648" i="1"/>
  <c r="S644" i="1"/>
  <c r="S645" i="1"/>
  <c r="S668" i="1"/>
  <c r="S651" i="1"/>
  <c r="S809" i="1"/>
  <c r="S670" i="1"/>
  <c r="S717" i="1"/>
  <c r="S776" i="1"/>
  <c r="S692" i="1"/>
  <c r="S663" i="1"/>
  <c r="S674" i="1"/>
  <c r="S675" i="1"/>
  <c r="S666" i="1"/>
  <c r="S701" i="1"/>
  <c r="S722" i="1"/>
  <c r="S787" i="1"/>
  <c r="S944" i="1"/>
  <c r="S671" i="1"/>
  <c r="S672" i="1"/>
  <c r="S810" i="1"/>
  <c r="S685" i="1"/>
  <c r="S686" i="1"/>
  <c r="S677" i="1"/>
  <c r="S718" i="1"/>
  <c r="S735" i="1"/>
  <c r="S728" i="1"/>
  <c r="S702" i="1"/>
  <c r="S709" i="1"/>
  <c r="S676" i="1"/>
  <c r="S723" i="1"/>
  <c r="S693" i="1"/>
  <c r="S687" i="1"/>
  <c r="S673" i="1"/>
  <c r="S811" i="1"/>
  <c r="S704" i="1"/>
  <c r="S688" i="1"/>
  <c r="S705" i="1"/>
  <c r="S856" i="1"/>
  <c r="S812" i="1"/>
  <c r="S694" i="1"/>
  <c r="S724" i="1"/>
  <c r="S788" i="1"/>
  <c r="S850" i="1"/>
  <c r="S741" i="1"/>
  <c r="S695" i="1"/>
  <c r="S696" i="1"/>
  <c r="S697" i="1"/>
  <c r="S887" i="1"/>
  <c r="S857" i="1"/>
  <c r="S851" i="1"/>
  <c r="S706" i="1"/>
  <c r="S858" i="1"/>
  <c r="S713" i="1"/>
  <c r="S707" i="1"/>
  <c r="S710" i="1"/>
  <c r="S889" i="1"/>
  <c r="S698" i="1"/>
  <c r="S711" i="1"/>
  <c r="S302" i="1"/>
  <c r="S760" i="1"/>
  <c r="S716" i="1"/>
  <c r="S689" i="1"/>
  <c r="S703" i="1"/>
  <c r="S303" i="1"/>
  <c r="S418" i="1"/>
  <c r="S419" i="1"/>
  <c r="S420" i="1"/>
  <c r="S421" i="1"/>
  <c r="S422" i="1"/>
  <c r="S423" i="1"/>
  <c r="S424" i="1"/>
  <c r="S425" i="1"/>
  <c r="S426" i="1"/>
  <c r="S427" i="1"/>
  <c r="S428" i="1"/>
  <c r="S429" i="1"/>
  <c r="S115" i="1"/>
  <c r="S7" i="1"/>
  <c r="S8" i="1"/>
  <c r="S9" i="1"/>
  <c r="S859" i="1"/>
  <c r="S860" i="1"/>
  <c r="S715" i="1"/>
  <c r="S742" i="1"/>
  <c r="S719" i="1"/>
  <c r="S725" i="1"/>
  <c r="S739" i="1"/>
  <c r="S794" i="1"/>
  <c r="S805" i="1"/>
  <c r="S304" i="1"/>
  <c r="S116" i="1"/>
  <c r="S720" i="1"/>
  <c r="S117" i="1"/>
  <c r="S996" i="1"/>
  <c r="S777" i="1"/>
  <c r="S729" i="1"/>
  <c r="S118" i="1"/>
  <c r="S430" i="1"/>
  <c r="S730" i="1"/>
  <c r="S951" i="1"/>
  <c r="S761" i="1"/>
  <c r="S48" i="1"/>
  <c r="S49" i="1"/>
  <c r="S50" i="1"/>
  <c r="S765" i="1"/>
  <c r="S51" i="1"/>
  <c r="S743" i="1"/>
  <c r="S754" i="1"/>
  <c r="S740" i="1"/>
  <c r="S748" i="1"/>
  <c r="S652" i="1"/>
  <c r="S888" i="1"/>
  <c r="S744" i="1"/>
  <c r="S749" i="1"/>
  <c r="S736" i="1"/>
  <c r="S750" i="1"/>
  <c r="S731" i="1"/>
  <c r="S732" i="1"/>
  <c r="S726" i="1"/>
  <c r="S970" i="1"/>
  <c r="S755" i="1"/>
  <c r="S745" i="1"/>
  <c r="S111" i="1"/>
  <c r="S112" i="1"/>
  <c r="S764" i="1"/>
  <c r="S769" i="1"/>
  <c r="S756" i="1"/>
  <c r="S988" i="1"/>
  <c r="S999" i="1"/>
  <c r="S766" i="1"/>
  <c r="S778" i="1"/>
  <c r="S783" i="1"/>
  <c r="S839" i="1"/>
  <c r="S751" i="1"/>
  <c r="S774" i="1"/>
  <c r="S767" i="1"/>
  <c r="S119" i="1"/>
  <c r="S779" i="1"/>
  <c r="S1001" i="1"/>
  <c r="S968" i="1"/>
  <c r="S984" i="1"/>
  <c r="S985" i="1"/>
  <c r="S835" i="1"/>
  <c r="S757" i="1"/>
  <c r="S752" i="1"/>
  <c r="S753" i="1"/>
  <c r="S758" i="1"/>
  <c r="S678" i="1"/>
  <c r="S840" i="1"/>
  <c r="S841" i="1"/>
  <c r="S990" i="1"/>
  <c r="S861" i="1"/>
  <c r="S945" i="1"/>
  <c r="S946" i="1"/>
  <c r="S987" i="1"/>
  <c r="S862" i="1"/>
  <c r="S863" i="1"/>
  <c r="S982" i="1"/>
  <c r="S864" i="1"/>
  <c r="S865" i="1"/>
  <c r="S866" i="1"/>
  <c r="S867" i="1"/>
  <c r="S868" i="1"/>
  <c r="S869" i="1"/>
  <c r="S870" i="1"/>
  <c r="S995" i="1"/>
  <c r="S871" i="1"/>
  <c r="S975" i="1"/>
  <c r="S770" i="1"/>
  <c r="S771" i="1"/>
  <c r="S780" i="1"/>
  <c r="S772" i="1"/>
  <c r="S762" i="1"/>
  <c r="S763" i="1"/>
  <c r="S813" i="1"/>
  <c r="S836" i="1"/>
  <c r="S837" i="1"/>
  <c r="S838" i="1"/>
  <c r="S991" i="1"/>
  <c r="S784" i="1"/>
  <c r="S800" i="1"/>
  <c r="S790" i="1"/>
  <c r="S801" i="1"/>
  <c r="S907" i="1"/>
  <c r="S934" i="1"/>
  <c r="S842" i="1"/>
  <c r="S824" i="1"/>
  <c r="S992" i="1"/>
  <c r="S971" i="1"/>
  <c r="S874" i="1"/>
  <c r="S882" i="1"/>
  <c r="S923" i="1"/>
  <c r="S830" i="1"/>
  <c r="S832" i="1"/>
  <c r="S791" i="1"/>
  <c r="S789" i="1"/>
  <c r="S875" i="1"/>
  <c r="S912" i="1"/>
  <c r="S913" i="1"/>
  <c r="S781" i="1"/>
  <c r="S773" i="1"/>
  <c r="S782" i="1"/>
  <c r="S983" i="1"/>
  <c r="S891" i="1"/>
  <c r="S997" i="1"/>
  <c r="S883" i="1"/>
  <c r="S785" i="1"/>
  <c r="S786" i="1"/>
  <c r="S900" i="1"/>
  <c r="S940" i="1"/>
  <c r="S806" i="1"/>
  <c r="S775" i="1"/>
  <c r="S969" i="1"/>
  <c r="S820" i="1"/>
  <c r="S914" i="1"/>
  <c r="S814" i="1"/>
  <c r="S818" i="1"/>
  <c r="S746" i="1"/>
  <c r="S908" i="1"/>
  <c r="S846" i="1"/>
  <c r="S802" i="1"/>
  <c r="S803" i="1"/>
  <c r="S819" i="1"/>
  <c r="S998" i="1"/>
  <c r="S972" i="1"/>
  <c r="S973" i="1"/>
  <c r="S935" i="1"/>
  <c r="S936" i="1"/>
  <c r="S815" i="1"/>
  <c r="S816" i="1"/>
  <c r="S825" i="1"/>
  <c r="S965" i="1"/>
  <c r="S966" i="1"/>
  <c r="S797" i="1"/>
  <c r="S847" i="1"/>
  <c r="S831" i="1"/>
  <c r="S928" i="1"/>
  <c r="S929" i="1"/>
  <c r="S941" i="1"/>
  <c r="S942" i="1"/>
  <c r="S804" i="1"/>
  <c r="S807" i="1"/>
  <c r="S876" i="1"/>
  <c r="S899" i="1"/>
  <c r="S826" i="1"/>
  <c r="S768" i="1"/>
  <c r="S747" i="1"/>
  <c r="S798" i="1"/>
  <c r="S884" i="1"/>
  <c r="S827" i="1"/>
  <c r="S994" i="1"/>
  <c r="S808" i="1"/>
  <c r="S817" i="1"/>
  <c r="S821" i="1"/>
  <c r="S828" i="1"/>
  <c r="S822" i="1"/>
  <c r="S843" i="1"/>
  <c r="S848" i="1"/>
  <c r="S823" i="1"/>
  <c r="S792" i="1"/>
  <c r="S795" i="1"/>
  <c r="S892" i="1"/>
  <c r="S893" i="1"/>
  <c r="S886" i="1"/>
  <c r="S894" i="1"/>
  <c r="S947" i="1"/>
  <c r="S909" i="1"/>
  <c r="S897" i="1"/>
  <c r="S872" i="1"/>
  <c r="S873" i="1"/>
  <c r="S952" i="1"/>
  <c r="S959" i="1"/>
  <c r="S895" i="1"/>
  <c r="S896" i="1"/>
  <c r="S2" i="1"/>
  <c r="S906" i="1"/>
  <c r="S948" i="1"/>
  <c r="S960" i="1"/>
  <c r="S833" i="1"/>
  <c r="S902" i="1"/>
  <c r="S981" i="1"/>
  <c r="S930" i="1"/>
  <c r="S844" i="1"/>
  <c r="S949" i="1"/>
  <c r="S845" i="1"/>
  <c r="S852" i="1"/>
  <c r="S1000" i="1"/>
  <c r="S910" i="1"/>
  <c r="S915" i="1"/>
  <c r="S916" i="1"/>
  <c r="S917" i="1"/>
  <c r="S918" i="1"/>
  <c r="S885" i="1"/>
  <c r="S877" i="1"/>
  <c r="S878" i="1"/>
  <c r="S903" i="1"/>
  <c r="S849" i="1"/>
  <c r="S911" i="1"/>
  <c r="S924" i="1"/>
  <c r="S879" i="1"/>
  <c r="S880" i="1"/>
  <c r="S904" i="1"/>
  <c r="S905" i="1"/>
  <c r="S799" i="1"/>
  <c r="S793" i="1"/>
  <c r="S989" i="1"/>
  <c r="S898" i="1"/>
  <c r="S853" i="1"/>
  <c r="S854" i="1"/>
  <c r="S963" i="1"/>
  <c r="S881" i="1"/>
  <c r="S986" i="1"/>
  <c r="S950" i="1"/>
  <c r="S937" i="1"/>
  <c r="S938" i="1"/>
  <c r="S939" i="1"/>
  <c r="S976" i="1"/>
  <c r="S993" i="1"/>
  <c r="S200" i="1"/>
  <c r="R11" i="3"/>
  <c r="W11" i="3" l="1" a="1"/>
  <c r="W11" i="3" s="1"/>
  <c r="Y11" i="3" a="1"/>
  <c r="Y1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<sst xmlns="http://schemas.openxmlformats.org/spreadsheetml/2006/main" count="13912" uniqueCount="2263">
  <si>
    <t>Name</t>
  </si>
  <si>
    <t>Email</t>
  </si>
  <si>
    <t>Rental</t>
  </si>
  <si>
    <t>Arrive</t>
  </si>
  <si>
    <t>Depart</t>
  </si>
  <si>
    <t>Received</t>
  </si>
  <si>
    <t>Checkin</t>
  </si>
  <si>
    <t>Checkout</t>
  </si>
  <si>
    <t>Booking ID</t>
  </si>
  <si>
    <t>Inquiry ID</t>
  </si>
  <si>
    <t>Source</t>
  </si>
  <si>
    <t>Booked</t>
  </si>
  <si>
    <t>Adults</t>
  </si>
  <si>
    <t>Children</t>
  </si>
  <si>
    <t>Currency</t>
  </si>
  <si>
    <t>Guest 45</t>
  </si>
  <si>
    <t>Guest45@guest.booking.com</t>
  </si>
  <si>
    <t>Booking.com</t>
  </si>
  <si>
    <t>No</t>
  </si>
  <si>
    <t>GBP</t>
  </si>
  <si>
    <t>Guest 535</t>
  </si>
  <si>
    <t>Guest535@encry.com</t>
  </si>
  <si>
    <t>tokeet</t>
  </si>
  <si>
    <t>Yes</t>
  </si>
  <si>
    <t>Guest 550</t>
  </si>
  <si>
    <t>Guest550@airbnb.com</t>
  </si>
  <si>
    <t>airbnb</t>
  </si>
  <si>
    <t>Guest 480</t>
  </si>
  <si>
    <t>Guest480@airbnb.com</t>
  </si>
  <si>
    <t>Guest 311</t>
  </si>
  <si>
    <t>Guest311@airbnb.com</t>
  </si>
  <si>
    <t>Guest 205</t>
  </si>
  <si>
    <t>Guest205@gmail.com</t>
  </si>
  <si>
    <t>Guest 458</t>
  </si>
  <si>
    <t>Guest458@encry.com</t>
  </si>
  <si>
    <t>airbnbapiv2</t>
  </si>
  <si>
    <t>Guest 575</t>
  </si>
  <si>
    <t>Guest575@airbnb.com</t>
  </si>
  <si>
    <t>Guest 428</t>
  </si>
  <si>
    <t>Guest428@airbnb.com</t>
  </si>
  <si>
    <t>Guest 204</t>
  </si>
  <si>
    <t>Guest204@gmail.com</t>
  </si>
  <si>
    <t>Guest 307</t>
  </si>
  <si>
    <t>Guest307@yahoo.com</t>
  </si>
  <si>
    <t>Guest 193</t>
  </si>
  <si>
    <t>Guest193@airbnb.com</t>
  </si>
  <si>
    <t>Guest 527</t>
  </si>
  <si>
    <t>Guest527@airbnb.com</t>
  </si>
  <si>
    <t>Guest 100</t>
  </si>
  <si>
    <t>Guest100@encry.com</t>
  </si>
  <si>
    <t>Guest 479</t>
  </si>
  <si>
    <t>Guest479@airbnb.com</t>
  </si>
  <si>
    <t>Guest 453</t>
  </si>
  <si>
    <t>Guest453@airbnb.com</t>
  </si>
  <si>
    <t>Guest 65</t>
  </si>
  <si>
    <t>Guest65@airbnb.com</t>
  </si>
  <si>
    <t>Guest 58</t>
  </si>
  <si>
    <t>Guest58@guest.airbnb.com</t>
  </si>
  <si>
    <t>Guest 548</t>
  </si>
  <si>
    <t>Guest548@airbnb.com</t>
  </si>
  <si>
    <t>Guest 362</t>
  </si>
  <si>
    <t>Guest362@airbnb.com</t>
  </si>
  <si>
    <t>Guest 237</t>
  </si>
  <si>
    <t>Guest237@airbnb.com</t>
  </si>
  <si>
    <t>Guest 272</t>
  </si>
  <si>
    <t>Guest272@yahoo.co.uk</t>
  </si>
  <si>
    <t>Guest 330</t>
  </si>
  <si>
    <t>Guest330@yahoo.com</t>
  </si>
  <si>
    <t>Guest 105</t>
  </si>
  <si>
    <t>Guest105@airbnb.com</t>
  </si>
  <si>
    <t>Guest 138</t>
  </si>
  <si>
    <t>Guest138@yahoo%2Ecom</t>
  </si>
  <si>
    <t>Guest 529</t>
  </si>
  <si>
    <t>Guest529@airbnb.com</t>
  </si>
  <si>
    <t>Guest 214</t>
  </si>
  <si>
    <t>Guest214@airbnb.com</t>
  </si>
  <si>
    <t>Guest 154</t>
  </si>
  <si>
    <t>Guest154@booking.com</t>
  </si>
  <si>
    <t>Guest 304</t>
  </si>
  <si>
    <t>Guest304@booking.com</t>
  </si>
  <si>
    <t>Guest 112</t>
  </si>
  <si>
    <t>Guest112@airbnb.com</t>
  </si>
  <si>
    <t>Guest 332</t>
  </si>
  <si>
    <t>Guest332@airbnb.com</t>
  </si>
  <si>
    <t>Guest 139</t>
  </si>
  <si>
    <t>Guest139@airbnb.com</t>
  </si>
  <si>
    <t>Guest 534</t>
  </si>
  <si>
    <t>Guest534@icloud.com</t>
  </si>
  <si>
    <t>Guest 315</t>
  </si>
  <si>
    <t>Guest315@airbnb.com</t>
  </si>
  <si>
    <t>Guest 346</t>
  </si>
  <si>
    <t>Guest346@yahoo.com</t>
  </si>
  <si>
    <t>Guest 254</t>
  </si>
  <si>
    <t>Guest254@airbnb.com</t>
  </si>
  <si>
    <t>Guest 420</t>
  </si>
  <si>
    <t>Guest420@airbnb.com</t>
  </si>
  <si>
    <t>Guest 500</t>
  </si>
  <si>
    <t>Guest500@airbnb.com</t>
  </si>
  <si>
    <t>Guest 108</t>
  </si>
  <si>
    <t>Guest108@gmail.com</t>
  </si>
  <si>
    <t>Guest 142</t>
  </si>
  <si>
    <t>Guest142@airbnb.com</t>
  </si>
  <si>
    <t>Guest 267</t>
  </si>
  <si>
    <t>Guest267@booking.com</t>
  </si>
  <si>
    <t>Guest 292</t>
  </si>
  <si>
    <t>Guest292@airbnb.com</t>
  </si>
  <si>
    <t>Guest 298</t>
  </si>
  <si>
    <t>Guest298@airbnb.com</t>
  </si>
  <si>
    <t>Guest 226</t>
  </si>
  <si>
    <t>Guest226@yahoo.com</t>
  </si>
  <si>
    <t>Guest 454</t>
  </si>
  <si>
    <t>Guest454@guest.booking.com</t>
  </si>
  <si>
    <t>Guest 299</t>
  </si>
  <si>
    <t>Guest299@gmail.com</t>
  </si>
  <si>
    <t>Guest 135</t>
  </si>
  <si>
    <t>Guest135@guest.booking.com</t>
  </si>
  <si>
    <t>Guest 440</t>
  </si>
  <si>
    <t>Guest440@gmail.com</t>
  </si>
  <si>
    <t>Guest 499</t>
  </si>
  <si>
    <t>Guest499@airbnb.com</t>
  </si>
  <si>
    <t>Guest 533</t>
  </si>
  <si>
    <t>Guest533@yahoo.com</t>
  </si>
  <si>
    <t>Guest 202</t>
  </si>
  <si>
    <t>Guest202@airbnb.com</t>
  </si>
  <si>
    <t>Guest 93</t>
  </si>
  <si>
    <t>Guest93@airbnb.com</t>
  </si>
  <si>
    <t>Guest 300</t>
  </si>
  <si>
    <t>Guest300@airbnb.com</t>
  </si>
  <si>
    <t>Guest 557</t>
  </si>
  <si>
    <t>Guest557@airbnb.com</t>
  </si>
  <si>
    <t>Guest 415</t>
  </si>
  <si>
    <t>Guest415@gmail%2Ecom</t>
  </si>
  <si>
    <t>Guest 426</t>
  </si>
  <si>
    <t>Guest426@gmail.com</t>
  </si>
  <si>
    <t>Guest 459</t>
  </si>
  <si>
    <t>Guest459@gmail.com</t>
  </si>
  <si>
    <t>Guest 517</t>
  </si>
  <si>
    <t>Guest517@gmail%2Ecom</t>
  </si>
  <si>
    <t>Guest 491</t>
  </si>
  <si>
    <t>Guest491@yahoo.com</t>
  </si>
  <si>
    <t>Guest 377</t>
  </si>
  <si>
    <t>Guest377@guest.booking.com</t>
  </si>
  <si>
    <t>Guest 460</t>
  </si>
  <si>
    <t>Guest460@gmail.com</t>
  </si>
  <si>
    <t>Guest 439</t>
  </si>
  <si>
    <t>Guest439@gmail%2Ecom</t>
  </si>
  <si>
    <t>Guest 301</t>
  </si>
  <si>
    <t>Guest301@airbnb.com</t>
  </si>
  <si>
    <t>Guest 79</t>
  </si>
  <si>
    <t>Guest79@hotmail.co.uk</t>
  </si>
  <si>
    <t>Guest 116</t>
  </si>
  <si>
    <t>Guest116@airbnb.com</t>
  </si>
  <si>
    <t>Guest 257</t>
  </si>
  <si>
    <t>Guest257@guest.airbnb.com</t>
  </si>
  <si>
    <t>Guest 219</t>
  </si>
  <si>
    <t>Guest219@airbnb.com</t>
  </si>
  <si>
    <t>Guest 101</t>
  </si>
  <si>
    <t>Guest101@airbnb.com</t>
  </si>
  <si>
    <t>Guest 155</t>
  </si>
  <si>
    <t>Guest155@gmail.com</t>
  </si>
  <si>
    <t>Guest 32</t>
  </si>
  <si>
    <t>Guest32@yahoo.com</t>
  </si>
  <si>
    <t>Guest 518</t>
  </si>
  <si>
    <t>Guest518@airbnb.com</t>
  </si>
  <si>
    <t>Guest 290</t>
  </si>
  <si>
    <t>Guest290@airbnb.com</t>
  </si>
  <si>
    <t>Guest 334</t>
  </si>
  <si>
    <t>Guest334@yahoo.com</t>
  </si>
  <si>
    <t>Guest 468</t>
  </si>
  <si>
    <t>Guest468@airbnb.com</t>
  </si>
  <si>
    <t>Guest 122</t>
  </si>
  <si>
    <t>Guest122@airbnb.com</t>
  </si>
  <si>
    <t>Guest 566</t>
  </si>
  <si>
    <t>Guest566@yahoo.com</t>
  </si>
  <si>
    <t>Guest 15</t>
  </si>
  <si>
    <t>Guest15@airbnb.com</t>
  </si>
  <si>
    <t>Guest 158</t>
  </si>
  <si>
    <t>Guest158@gmail.com</t>
  </si>
  <si>
    <t>Guest 341</t>
  </si>
  <si>
    <t>Guest341@airbnb.com</t>
  </si>
  <si>
    <t>Guest 16</t>
  </si>
  <si>
    <t>Guest16@gmail%2Ecom</t>
  </si>
  <si>
    <t>Guest 369</t>
  </si>
  <si>
    <t>Guest369@guest.airbnb.com</t>
  </si>
  <si>
    <t>Guest 313</t>
  </si>
  <si>
    <t>Guest313@airbnb.com</t>
  </si>
  <si>
    <t>Guest 256</t>
  </si>
  <si>
    <t>Guest256@airbnb.com</t>
  </si>
  <si>
    <t>Guest 168</t>
  </si>
  <si>
    <t>Guest168@airbnb.com</t>
  </si>
  <si>
    <t>Guest 34</t>
  </si>
  <si>
    <t>Guest34@gmail.com</t>
  </si>
  <si>
    <t>Guest 335</t>
  </si>
  <si>
    <t>Guest335@yahoo.com</t>
  </si>
  <si>
    <t>Guest 84</t>
  </si>
  <si>
    <t>Guest84@gmail.com</t>
  </si>
  <si>
    <t>Guest 258</t>
  </si>
  <si>
    <t>Guest258@guest.airbnb.com</t>
  </si>
  <si>
    <t>Guest 126</t>
  </si>
  <si>
    <t>Guest126@guest.booking.com</t>
  </si>
  <si>
    <t>Guest 551</t>
  </si>
  <si>
    <t>Guest551@encry.com</t>
  </si>
  <si>
    <t>Guest 216</t>
  </si>
  <si>
    <t>Guest216@airbnb.com</t>
  </si>
  <si>
    <t>Guest 143</t>
  </si>
  <si>
    <t>Guest143@gmail.com</t>
  </si>
  <si>
    <t>Guest 382</t>
  </si>
  <si>
    <t>Guest382@gmail%2Ecom</t>
  </si>
  <si>
    <t>Guest 54</t>
  </si>
  <si>
    <t>Guest54@gmail.com</t>
  </si>
  <si>
    <t>Guest 308</t>
  </si>
  <si>
    <t>Guest308@guest.booking.com</t>
  </si>
  <si>
    <t>Guest 423</t>
  </si>
  <si>
    <t>Guest423@airbnb.com</t>
  </si>
  <si>
    <t>Guest 198</t>
  </si>
  <si>
    <t>Guest198@gmail.com</t>
  </si>
  <si>
    <t>Guest 129</t>
  </si>
  <si>
    <t>Guest129@airbnb.com</t>
  </si>
  <si>
    <t>Guest 261</t>
  </si>
  <si>
    <t>Guest261@airbnb.com</t>
  </si>
  <si>
    <t>Guest 217</t>
  </si>
  <si>
    <t>Guest217@gmail.com</t>
  </si>
  <si>
    <t>Guest 367</t>
  </si>
  <si>
    <t>Guest367@airbnb.com</t>
  </si>
  <si>
    <t>Guest 528</t>
  </si>
  <si>
    <t>Guest528@guest.airbnb.com</t>
  </si>
  <si>
    <t>Guest 441</t>
  </si>
  <si>
    <t>Guest441@gmail.com</t>
  </si>
  <si>
    <t>Guest 7</t>
  </si>
  <si>
    <t>Guest7@gmail.com</t>
  </si>
  <si>
    <t>Guest 44</t>
  </si>
  <si>
    <t>Guest44@airbnb.com</t>
  </si>
  <si>
    <t>Guest 429</t>
  </si>
  <si>
    <t>Guest429@gmail.com</t>
  </si>
  <si>
    <t>Guest 473</t>
  </si>
  <si>
    <t>Guest473@gmail.com</t>
  </si>
  <si>
    <t>Guest 195</t>
  </si>
  <si>
    <t>Guest195@airbnb.com</t>
  </si>
  <si>
    <t>Guest 568</t>
  </si>
  <si>
    <t>Guest568@airbnb.com</t>
  </si>
  <si>
    <t>Guest 180</t>
  </si>
  <si>
    <t>Guest180@gmail.com</t>
  </si>
  <si>
    <t>Guest 508</t>
  </si>
  <si>
    <t>Guest508@gmail.com</t>
  </si>
  <si>
    <t>Guest 303</t>
  </si>
  <si>
    <t>Guest303@gmail.com</t>
  </si>
  <si>
    <t>Guest 59</t>
  </si>
  <si>
    <t>Guest59@airbnb.com</t>
  </si>
  <si>
    <t>Guest 571</t>
  </si>
  <si>
    <t>Guest571@airbnb.com</t>
  </si>
  <si>
    <t>Guest 281</t>
  </si>
  <si>
    <t>Guest281@guest.booking.com</t>
  </si>
  <si>
    <t>Guest 425</t>
  </si>
  <si>
    <t>Guest425@gmail.com</t>
  </si>
  <si>
    <t>Guest 102</t>
  </si>
  <si>
    <t>Guest102@guest.booking.com</t>
  </si>
  <si>
    <t>Guest 492</t>
  </si>
  <si>
    <t>Guest492@airbnb.com</t>
  </si>
  <si>
    <t>Guest 414</t>
  </si>
  <si>
    <t>Guest414@gmail.com</t>
  </si>
  <si>
    <t>Guest 165</t>
  </si>
  <si>
    <t>Guest165@airbnb.com</t>
  </si>
  <si>
    <t>Guest 243</t>
  </si>
  <si>
    <t>Guest243@airbnb.com</t>
  </si>
  <si>
    <t>Guest 561</t>
  </si>
  <si>
    <t>Guest561@airbnb.com</t>
  </si>
  <si>
    <t>Guest 61</t>
  </si>
  <si>
    <t>Guest61@airbnb.com</t>
  </si>
  <si>
    <t>Guest 542</t>
  </si>
  <si>
    <t>Guest542@gmail.com</t>
  </si>
  <si>
    <t>Guest 320</t>
  </si>
  <si>
    <t>Guest320@gmail.com</t>
  </si>
  <si>
    <t>Guest 282</t>
  </si>
  <si>
    <t>Guest282@yahoo.com</t>
  </si>
  <si>
    <t>Guest 576</t>
  </si>
  <si>
    <t>Guest576@gmail.com</t>
  </si>
  <si>
    <t>Guest 407</t>
  </si>
  <si>
    <t>Guest407@gmail.com</t>
  </si>
  <si>
    <t>Guest 505</t>
  </si>
  <si>
    <t>Guest505@gmail.com</t>
  </si>
  <si>
    <t>Guest 422</t>
  </si>
  <si>
    <t>Guest422@gmail.com</t>
  </si>
  <si>
    <t>Guest 26</t>
  </si>
  <si>
    <t>Guest26@yahoo.com</t>
  </si>
  <si>
    <t>Guest 275</t>
  </si>
  <si>
    <t>Guest275@airbnb.com</t>
  </si>
  <si>
    <t>Guest 285</t>
  </si>
  <si>
    <t>Guest285@yahoo.com</t>
  </si>
  <si>
    <t>Guest 496</t>
  </si>
  <si>
    <t>Guest496@airbnb.com</t>
  </si>
  <si>
    <t>Guest 141</t>
  </si>
  <si>
    <t>Guest141@airbnb.com</t>
  </si>
  <si>
    <t>Guest 317</t>
  </si>
  <si>
    <t>Guest317@airbnb.com</t>
  </si>
  <si>
    <t>Guest 210</t>
  </si>
  <si>
    <t>Guest210@airbnb.com</t>
  </si>
  <si>
    <t>Guest 452</t>
  </si>
  <si>
    <t>Guest452@gmail.com</t>
  </si>
  <si>
    <t>Guest 536</t>
  </si>
  <si>
    <t>Guest536@gmail.com</t>
  </si>
  <si>
    <t>Guest 368</t>
  </si>
  <si>
    <t>Guest368@encry.com</t>
  </si>
  <si>
    <t>Guest 88</t>
  </si>
  <si>
    <t>Guest88@gmail.com</t>
  </si>
  <si>
    <t>Guest 555</t>
  </si>
  <si>
    <t>Guest555@airbnb.com</t>
  </si>
  <si>
    <t>Guest 438</t>
  </si>
  <si>
    <t>Guest438@gmail.com</t>
  </si>
  <si>
    <t>Guest 5</t>
  </si>
  <si>
    <t>Guest5@gmail.com</t>
  </si>
  <si>
    <t>Guest 306</t>
  </si>
  <si>
    <t>Guest306@gmail.com</t>
  </si>
  <si>
    <t>Guest 444</t>
  </si>
  <si>
    <t>Guest444@airbnb.com</t>
  </si>
  <si>
    <t>Guest 137</t>
  </si>
  <si>
    <t>Guest137@airbnb.com</t>
  </si>
  <si>
    <t>Guest 406</t>
  </si>
  <si>
    <t>Guest406@airbnb.com</t>
  </si>
  <si>
    <t>Guest 244</t>
  </si>
  <si>
    <t>Guest244@gmail.com</t>
  </si>
  <si>
    <t>Guest 148</t>
  </si>
  <si>
    <t>Guest148@yahoo.com</t>
  </si>
  <si>
    <t>Guest 288</t>
  </si>
  <si>
    <t>Guest288@airbnb.com</t>
  </si>
  <si>
    <t>Guest 19</t>
  </si>
  <si>
    <t>Guest19@airbnb.com</t>
  </si>
  <si>
    <t>Guest 48</t>
  </si>
  <si>
    <t>Guest48@airbnb.com</t>
  </si>
  <si>
    <t>Guest 475</t>
  </si>
  <si>
    <t>Guest475@gmail.com</t>
  </si>
  <si>
    <t>Guest 485</t>
  </si>
  <si>
    <t>Guest485@gmail.com</t>
  </si>
  <si>
    <t>Guest 124</t>
  </si>
  <si>
    <t>Guest124@gmail.com</t>
  </si>
  <si>
    <t>Guest 349</t>
  </si>
  <si>
    <t>Guest349@gmail.com</t>
  </si>
  <si>
    <t>Guest 447</t>
  </si>
  <si>
    <t>Guest447@yahoo.com</t>
  </si>
  <si>
    <t>Guest 273</t>
  </si>
  <si>
    <t>Guest273@pulse.ng</t>
  </si>
  <si>
    <t>Guest 481</t>
  </si>
  <si>
    <t>Guest481@airbnb.com</t>
  </si>
  <si>
    <t>Guest 322</t>
  </si>
  <si>
    <t>Guest322@airbnb.com</t>
  </si>
  <si>
    <t>Guest 398</t>
  </si>
  <si>
    <t>Guest398@gmail.com</t>
  </si>
  <si>
    <t>Guest 448</t>
  </si>
  <si>
    <t>Guest448@hotmail.com</t>
  </si>
  <si>
    <t>Guest 162</t>
  </si>
  <si>
    <t>Guest162@airbnb.com</t>
  </si>
  <si>
    <t>Guest 183</t>
  </si>
  <si>
    <t>Guest183@airbnb.com</t>
  </si>
  <si>
    <t>Guest 179</t>
  </si>
  <si>
    <t>Guest179@gmail.com</t>
  </si>
  <si>
    <t>Guest 228</t>
  </si>
  <si>
    <t>Guest228@gmail.com</t>
  </si>
  <si>
    <t>Guest 374</t>
  </si>
  <si>
    <t>Guest374@booking.com</t>
  </si>
  <si>
    <t>Guest 434</t>
  </si>
  <si>
    <t>Guest434@yahoo.com</t>
  </si>
  <si>
    <t>Guest 131</t>
  </si>
  <si>
    <t>Guest131@airbnb.com</t>
  </si>
  <si>
    <t>Guest 215</t>
  </si>
  <si>
    <t>Guest215@airbnb.com</t>
  </si>
  <si>
    <t>Guest 567</t>
  </si>
  <si>
    <t>Guest567@encry.com</t>
  </si>
  <si>
    <t>Guest 36</t>
  </si>
  <si>
    <t>Guest36@gmail.com</t>
  </si>
  <si>
    <t>Guest 212</t>
  </si>
  <si>
    <t>Guest212@gmail.com</t>
  </si>
  <si>
    <t>Guest 118</t>
  </si>
  <si>
    <t>Guest118@gmail.com</t>
  </si>
  <si>
    <t>Guest 200</t>
  </si>
  <si>
    <t>Guest200@gmail.com</t>
  </si>
  <si>
    <t>Guest 117</t>
  </si>
  <si>
    <t>Guest117@gmail.com</t>
  </si>
  <si>
    <t>Guest 291</t>
  </si>
  <si>
    <t>Guest291@yahoo.com</t>
  </si>
  <si>
    <t>Guest 326</t>
  </si>
  <si>
    <t>Guest326@yahoo.com</t>
  </si>
  <si>
    <t>Guest 284</t>
  </si>
  <si>
    <t>Guest284@airbnb.com</t>
  </si>
  <si>
    <t>Guest 509</t>
  </si>
  <si>
    <t>Guest509@yahoo.co.uk</t>
  </si>
  <si>
    <t>Guest 545</t>
  </si>
  <si>
    <t>Guest545@gmail.com</t>
  </si>
  <si>
    <t>Guest 471</t>
  </si>
  <si>
    <t>Guest471@gmail.com</t>
  </si>
  <si>
    <t>Guest 399</t>
  </si>
  <si>
    <t>Guest399@airbnb.com</t>
  </si>
  <si>
    <t>Guest 230</t>
  </si>
  <si>
    <t>Guest230@airbnb.com</t>
  </si>
  <si>
    <t>Guest 9</t>
  </si>
  <si>
    <t>Guest9@gmail.com</t>
  </si>
  <si>
    <t>Guest 424</t>
  </si>
  <si>
    <t>Guest424@yahoo.com</t>
  </si>
  <si>
    <t>Guest 240</t>
  </si>
  <si>
    <t>Guest240@gmail.com</t>
  </si>
  <si>
    <t>Guest 495</t>
  </si>
  <si>
    <t>Guest495@airbnb.com</t>
  </si>
  <si>
    <t>Guest 570</t>
  </si>
  <si>
    <t>Guest570@guest.airbnb.com</t>
  </si>
  <si>
    <t>Guest 417</t>
  </si>
  <si>
    <t>Guest417@yahoo.com</t>
  </si>
  <si>
    <t>Guest 353</t>
  </si>
  <si>
    <t>Guest353@gmail.com</t>
  </si>
  <si>
    <t>Guest 411</t>
  </si>
  <si>
    <t>Guest411@digitalbananas.co.uk</t>
  </si>
  <si>
    <t>Guest 121</t>
  </si>
  <si>
    <t>Guest121@airbnb.com</t>
  </si>
  <si>
    <t>Guest 153</t>
  </si>
  <si>
    <t>Guest153@airbnb.com</t>
  </si>
  <si>
    <t>Guest 246</t>
  </si>
  <si>
    <t>Guest246@airbnb.com</t>
  </si>
  <si>
    <t>Guest 539</t>
  </si>
  <si>
    <t>Guest539@airbnb.com</t>
  </si>
  <si>
    <t>Guest 289</t>
  </si>
  <si>
    <t>Guest289@yahoo%2Ecom</t>
  </si>
  <si>
    <t>Guest 312</t>
  </si>
  <si>
    <t>Guest312@yahoo.com</t>
  </si>
  <si>
    <t>Guest 42</t>
  </si>
  <si>
    <t>Guest42@yahoo.com</t>
  </si>
  <si>
    <t>Guest 262</t>
  </si>
  <si>
    <t>Guest262@airbnb.com</t>
  </si>
  <si>
    <t>Guest 68</t>
  </si>
  <si>
    <t>Guest68@airbnb.com</t>
  </si>
  <si>
    <t>Guest 99</t>
  </si>
  <si>
    <t>Guest99@gmail%2Ecom</t>
  </si>
  <si>
    <t>Guest 188</t>
  </si>
  <si>
    <t>Guest188@gmail.com</t>
  </si>
  <si>
    <t>Guest 145</t>
  </si>
  <si>
    <t>Guest145@encry.com</t>
  </si>
  <si>
    <t>Guest 558</t>
  </si>
  <si>
    <t>Guest558@airbnb.com</t>
  </si>
  <si>
    <t>Guest 516</t>
  </si>
  <si>
    <t>Guest516@gmail.com</t>
  </si>
  <si>
    <t>Guest 191</t>
  </si>
  <si>
    <t>Guest191@yahoo.com</t>
  </si>
  <si>
    <t>Guest 186</t>
  </si>
  <si>
    <t>Guest186@gmail.com</t>
  </si>
  <si>
    <t>Guest 78</t>
  </si>
  <si>
    <t>Guest78@gmail.com</t>
  </si>
  <si>
    <t>Guest 55</t>
  </si>
  <si>
    <t>Guest55@airbnb.com</t>
  </si>
  <si>
    <t>Guest 405</t>
  </si>
  <si>
    <t>Guest405@gmail.com</t>
  </si>
  <si>
    <t>Guest 489</t>
  </si>
  <si>
    <t>Guest489@gmail%2Ecom</t>
  </si>
  <si>
    <t>Guest 401</t>
  </si>
  <si>
    <t>Guest401@gmail.com</t>
  </si>
  <si>
    <t>Guest 274</t>
  </si>
  <si>
    <t>Guest274@airbnb.com</t>
  </si>
  <si>
    <t>Guest 161</t>
  </si>
  <si>
    <t>Guest161@icloud.com</t>
  </si>
  <si>
    <t>Guest 21</t>
  </si>
  <si>
    <t>Guest21@encry.com</t>
  </si>
  <si>
    <t>Guest 211</t>
  </si>
  <si>
    <t>Guest211@gmail.com</t>
  </si>
  <si>
    <t>Guest 450</t>
  </si>
  <si>
    <t>Guest450@gmail.com</t>
  </si>
  <si>
    <t>Guest 389</t>
  </si>
  <si>
    <t>Guest389@yahoo%2Ecom</t>
  </si>
  <si>
    <t>Guest 11</t>
  </si>
  <si>
    <t>Guest11@encry.com</t>
  </si>
  <si>
    <t>Guest 199</t>
  </si>
  <si>
    <t>Guest199@encry.com</t>
  </si>
  <si>
    <t>Guest 478</t>
  </si>
  <si>
    <t>Guest478@gmail.com</t>
  </si>
  <si>
    <t>Guest 41</t>
  </si>
  <si>
    <t>Guest41@gmail.com</t>
  </si>
  <si>
    <t>Guest 233</t>
  </si>
  <si>
    <t>Guest233@gmail.com</t>
  </si>
  <si>
    <t>Guest 569</t>
  </si>
  <si>
    <t>Guest569@gmail.com</t>
  </si>
  <si>
    <t>Guest 430</t>
  </si>
  <si>
    <t>Guest430@gmail.com</t>
  </si>
  <si>
    <t>Guest 465</t>
  </si>
  <si>
    <t>Guest465@yahoo.com</t>
  </si>
  <si>
    <t>Guest 72</t>
  </si>
  <si>
    <t>Guest72@gmail%2Ecom</t>
  </si>
  <si>
    <t>Guest 119</t>
  </si>
  <si>
    <t>Guest119@gmail.com</t>
  </si>
  <si>
    <t>Guest 201</t>
  </si>
  <si>
    <t>Guest201@gmail.com</t>
  </si>
  <si>
    <t>Guest 483</t>
  </si>
  <si>
    <t>Guest483@gmail.com</t>
  </si>
  <si>
    <t>Guest 218</t>
  </si>
  <si>
    <t>Guest218@encry.com</t>
  </si>
  <si>
    <t>Guest 40</t>
  </si>
  <si>
    <t>Guest40@airbnb.com</t>
  </si>
  <si>
    <t>Guest 174</t>
  </si>
  <si>
    <t>Guest174@airbnb.com</t>
  </si>
  <si>
    <t>Guest 283</t>
  </si>
  <si>
    <t>Guest283@icloud.com</t>
  </si>
  <si>
    <t>Guest 234</t>
  </si>
  <si>
    <t>Guest234@gmial.com</t>
  </si>
  <si>
    <t>Guest 451</t>
  </si>
  <si>
    <t>Guest451@yahoo.com</t>
  </si>
  <si>
    <t>Guest 358</t>
  </si>
  <si>
    <t>Guest358@yahoo.com</t>
  </si>
  <si>
    <t>Guest 35</t>
  </si>
  <si>
    <t>Guest35@yahoo.com</t>
  </si>
  <si>
    <t>Guest 160</t>
  </si>
  <si>
    <t>Guest160@airbnb.com</t>
  </si>
  <si>
    <t>Guest 462</t>
  </si>
  <si>
    <t>Guest462@gmail.com</t>
  </si>
  <si>
    <t>Guest 524</t>
  </si>
  <si>
    <t>Guest524@airbnb.com</t>
  </si>
  <si>
    <t>Guest 264</t>
  </si>
  <si>
    <t>Guest264@yahoo.co.uk</t>
  </si>
  <si>
    <t>Guest 337</t>
  </si>
  <si>
    <t>Guest337@gmail.com</t>
  </si>
  <si>
    <t>Guest 156</t>
  </si>
  <si>
    <t>Guest156@slh%2Ecom</t>
  </si>
  <si>
    <t>Guest 77</t>
  </si>
  <si>
    <t>Guest77@yahoo.com</t>
  </si>
  <si>
    <t>Guest 328</t>
  </si>
  <si>
    <t>Guest328@gmail.com</t>
  </si>
  <si>
    <t>Guest 562</t>
  </si>
  <si>
    <t>Guest562@</t>
  </si>
  <si>
    <t>Agoda.com</t>
  </si>
  <si>
    <t>Guest 184</t>
  </si>
  <si>
    <t>Guest184@yahoo.co.uk</t>
  </si>
  <si>
    <t>Guest 391</t>
  </si>
  <si>
    <t>Guest391@gmail.com</t>
  </si>
  <si>
    <t>Guest 63</t>
  </si>
  <si>
    <t>Guest63@airbnb.com</t>
  </si>
  <si>
    <t>Guest 498</t>
  </si>
  <si>
    <t>Guest498@yahoo.com</t>
  </si>
  <si>
    <t>Guest 371</t>
  </si>
  <si>
    <t>Guest371@gmail.com</t>
  </si>
  <si>
    <t>Guest 57</t>
  </si>
  <si>
    <t>Guest57@gmail.com</t>
  </si>
  <si>
    <t>Guest 385</t>
  </si>
  <si>
    <t>Guest385@gmail.com</t>
  </si>
  <si>
    <t>Guest 247</t>
  </si>
  <si>
    <t>Guest247@gmail.com</t>
  </si>
  <si>
    <t>Guest 442</t>
  </si>
  <si>
    <t>Guest442@gmail.com</t>
  </si>
  <si>
    <t>Guest 171</t>
  </si>
  <si>
    <t>Guest171@airbnb.com</t>
  </si>
  <si>
    <t>Guest 187</t>
  </si>
  <si>
    <t>Guest187@gmail.com</t>
  </si>
  <si>
    <t>Guest 560</t>
  </si>
  <si>
    <t>Guest560@gmail.com</t>
  </si>
  <si>
    <t>Guest 277</t>
  </si>
  <si>
    <t>Guest277@yahoo.com</t>
  </si>
  <si>
    <t>Guest 523</t>
  </si>
  <si>
    <t>Guest523@gmail.com</t>
  </si>
  <si>
    <t>Guest 232</t>
  </si>
  <si>
    <t>Guest232@gmail.com</t>
  </si>
  <si>
    <t>Guest 574</t>
  </si>
  <si>
    <t>Guest574@gmail.com</t>
  </si>
  <si>
    <t>Guest 387</t>
  </si>
  <si>
    <t>Guest387@gmail.com</t>
  </si>
  <si>
    <t>Guest 166</t>
  </si>
  <si>
    <t>Guest166@airbnb.com</t>
  </si>
  <si>
    <t>Guest 50</t>
  </si>
  <si>
    <t>Guest50@gmail%2Ecom</t>
  </si>
  <si>
    <t>Guest 192</t>
  </si>
  <si>
    <t>Guest192@yahoo.com</t>
  </si>
  <si>
    <t>Guest 295</t>
  </si>
  <si>
    <t>Guest295@gmail.com</t>
  </si>
  <si>
    <t>Guest 445</t>
  </si>
  <si>
    <t>Guest445@gmail.com</t>
  </si>
  <si>
    <t>Guest 172</t>
  </si>
  <si>
    <t>Guest172@gmail.com</t>
  </si>
  <si>
    <t>Guest 196</t>
  </si>
  <si>
    <t>Guest196@gmail.com</t>
  </si>
  <si>
    <t>Guest 408</t>
  </si>
  <si>
    <t>Guest408@yahoo.com</t>
  </si>
  <si>
    <t>Guest 421</t>
  </si>
  <si>
    <t>Guest421@hotmail.com</t>
  </si>
  <si>
    <t>Guest 182</t>
  </si>
  <si>
    <t>Guest182@gmail.com</t>
  </si>
  <si>
    <t>Guest 114</t>
  </si>
  <si>
    <t>Guest114@yahoo.com</t>
  </si>
  <si>
    <t>Guest 29</t>
  </si>
  <si>
    <t>Guest29@gmail.com</t>
  </si>
  <si>
    <t>Guest 507</t>
  </si>
  <si>
    <t>Guest507@gmail.com</t>
  </si>
  <si>
    <t>Guest 540</t>
  </si>
  <si>
    <t>Guest540@airbnb.com</t>
  </si>
  <si>
    <t>Guest 1</t>
  </si>
  <si>
    <t>Guest1@gmail%2Ecom</t>
  </si>
  <si>
    <t>Guest 173</t>
  </si>
  <si>
    <t>Guest173@gmail.com</t>
  </si>
  <si>
    <t>Guest 339</t>
  </si>
  <si>
    <t>Guest339@yahoo.co.uk</t>
  </si>
  <si>
    <t>Guest 103</t>
  </si>
  <si>
    <t>Guest103@gmail%2Ecom</t>
  </si>
  <si>
    <t>Guest 497</t>
  </si>
  <si>
    <t>Guest497@yahoo.com</t>
  </si>
  <si>
    <t>Guest 113</t>
  </si>
  <si>
    <t>Guest113@gmail.com</t>
  </si>
  <si>
    <t>Guest 134</t>
  </si>
  <si>
    <t>Guest134@yahoo.com</t>
  </si>
  <si>
    <t>Guest 343</t>
  </si>
  <si>
    <t>Guest343@gmail%2Ecom</t>
  </si>
  <si>
    <t>Guest 380</t>
  </si>
  <si>
    <t>Guest380@gmail.com</t>
  </si>
  <si>
    <t>Guest 537</t>
  </si>
  <si>
    <t>Guest537@gmail.com</t>
  </si>
  <si>
    <t>Guest 62</t>
  </si>
  <si>
    <t>Guest62@guest.booking.com</t>
  </si>
  <si>
    <t>Guest 501</t>
  </si>
  <si>
    <t>Guest501@airbnb.com</t>
  </si>
  <si>
    <t>Guest 352</t>
  </si>
  <si>
    <t>Guest352@yahoo.com</t>
  </si>
  <si>
    <t>Guest 373</t>
  </si>
  <si>
    <t>Guest373@yahoo.co.uk</t>
  </si>
  <si>
    <t>Guest 33</t>
  </si>
  <si>
    <t>Guest33@airbnb.com</t>
  </si>
  <si>
    <t>Guest 146</t>
  </si>
  <si>
    <t>Guest146@yahoo.com</t>
  </si>
  <si>
    <t>Guest 340</t>
  </si>
  <si>
    <t>Guest340@encry.com</t>
  </si>
  <si>
    <t>Guest 66</t>
  </si>
  <si>
    <t>Guest66@gmail%2Ecom</t>
  </si>
  <si>
    <t>Guest 402</t>
  </si>
  <si>
    <t>Guest402@gmail.com</t>
  </si>
  <si>
    <t>Guest 403</t>
  </si>
  <si>
    <t>Guest403@gmail.com</t>
  </si>
  <si>
    <t>Guest 110</t>
  </si>
  <si>
    <t>Guest110@gmail.com</t>
  </si>
  <si>
    <t>Guest 14</t>
  </si>
  <si>
    <t>Guest14@guest.airbnb.com</t>
  </si>
  <si>
    <t>Guest 554</t>
  </si>
  <si>
    <t>Guest554@gmail.com</t>
  </si>
  <si>
    <t>Guest 71</t>
  </si>
  <si>
    <t>Guest71@airbnb.com</t>
  </si>
  <si>
    <t>Guest 433</t>
  </si>
  <si>
    <t>Guest433@gmail.com</t>
  </si>
  <si>
    <t>Guest 472</t>
  </si>
  <si>
    <t>Guest472@airbnb.com</t>
  </si>
  <si>
    <t>Guest 104</t>
  </si>
  <si>
    <t>Guest104@yahoo.com</t>
  </si>
  <si>
    <t>Guest 13</t>
  </si>
  <si>
    <t>Guest13@gmail.com</t>
  </si>
  <si>
    <t>Guest 388</t>
  </si>
  <si>
    <t>Guest388@airbnb.com</t>
  </si>
  <si>
    <t>Guest 294</t>
  </si>
  <si>
    <t>Guest294@gmail.com</t>
  </si>
  <si>
    <t>Guest 351</t>
  </si>
  <si>
    <t>Guest351@gmail.com</t>
  </si>
  <si>
    <t>Guest 220</t>
  </si>
  <si>
    <t>Guest220@airbnb.com</t>
  </si>
  <si>
    <t>Guest 519</t>
  </si>
  <si>
    <t>Guest519@airbnb.com</t>
  </si>
  <si>
    <t>Guest 64</t>
  </si>
  <si>
    <t>Guest64@gmail.com</t>
  </si>
  <si>
    <t>Guest 435</t>
  </si>
  <si>
    <t>Guest435@airbnb.com</t>
  </si>
  <si>
    <t>Guest 404</t>
  </si>
  <si>
    <t>Guest404@airbnb.com</t>
  </si>
  <si>
    <t>Guest 25</t>
  </si>
  <si>
    <t>Guest25@gmail%2Ecom</t>
  </si>
  <si>
    <t>Guest 344</t>
  </si>
  <si>
    <t>Guest344@gmail.com</t>
  </si>
  <si>
    <t>Guest 412</t>
  </si>
  <si>
    <t>Guest412@airbnb.com</t>
  </si>
  <si>
    <t>Guest 259</t>
  </si>
  <si>
    <t>Guest259@airbnb.com</t>
  </si>
  <si>
    <t>Guest 553</t>
  </si>
  <si>
    <t>Guest553@gmail.com</t>
  </si>
  <si>
    <t>Guest 506</t>
  </si>
  <si>
    <t>Guest506@airbnb.com</t>
  </si>
  <si>
    <t>Guest 3</t>
  </si>
  <si>
    <t>Guest3@gmail.com</t>
  </si>
  <si>
    <t>Guest 573</t>
  </si>
  <si>
    <t>Guest573@airbnb.com</t>
  </si>
  <si>
    <t>Guest 89</t>
  </si>
  <si>
    <t>Guest89@gmail%2Ecom</t>
  </si>
  <si>
    <t>Guest 547</t>
  </si>
  <si>
    <t>Guest547@gmail.com</t>
  </si>
  <si>
    <t>Guest 94</t>
  </si>
  <si>
    <t>Guest94@airbnb.com</t>
  </si>
  <si>
    <t>Guest 538</t>
  </si>
  <si>
    <t>Guest538@gmail.com</t>
  </si>
  <si>
    <t>Guest 318</t>
  </si>
  <si>
    <t>Guest318@gmail.com</t>
  </si>
  <si>
    <t>Guest 24</t>
  </si>
  <si>
    <t>Guest24@gmail.com</t>
  </si>
  <si>
    <t>Guest 106</t>
  </si>
  <si>
    <t>Guest106@airbnb.com</t>
  </si>
  <si>
    <t>Guest 487</t>
  </si>
  <si>
    <t>Guest487@gmail.com</t>
  </si>
  <si>
    <t>Guest 27</t>
  </si>
  <si>
    <t>Guest27@airbnb.com</t>
  </si>
  <si>
    <t>Guest 120</t>
  </si>
  <si>
    <t>Guest120@airbnb.com</t>
  </si>
  <si>
    <t>Guest 250</t>
  </si>
  <si>
    <t>Guest250@airbnb.com</t>
  </si>
  <si>
    <t>Guest 443</t>
  </si>
  <si>
    <t>Guest443@airbnb.com</t>
  </si>
  <si>
    <t>Guest 378</t>
  </si>
  <si>
    <t>Guest378@gmail.com</t>
  </si>
  <si>
    <t>Guest 46</t>
  </si>
  <si>
    <t>Guest46@encry.com</t>
  </si>
  <si>
    <t>Guest 305</t>
  </si>
  <si>
    <t>Guest305@airbnb.com</t>
  </si>
  <si>
    <t>Guest 4</t>
  </si>
  <si>
    <t>Guest4@airbnb.com</t>
  </si>
  <si>
    <t>Guest 241</t>
  </si>
  <si>
    <t>Guest241@gmail.com</t>
  </si>
  <si>
    <t>Guest 123</t>
  </si>
  <si>
    <t>Guest123@gmail.com</t>
  </si>
  <si>
    <t>Guest 366</t>
  </si>
  <si>
    <t>Guest366@gmail.com</t>
  </si>
  <si>
    <t>Guest 229</t>
  </si>
  <si>
    <t>Guest229@airbnb%2Ecom</t>
  </si>
  <si>
    <t>Guest 397</t>
  </si>
  <si>
    <t>Guest397@yahoo.com</t>
  </si>
  <si>
    <t>Guest 510</t>
  </si>
  <si>
    <t>Guest510@yahoo.com</t>
  </si>
  <si>
    <t>Guest 392</t>
  </si>
  <si>
    <t>Guest392@gmail.com</t>
  </si>
  <si>
    <t>Guest 248</t>
  </si>
  <si>
    <t>Guest248@encry.com</t>
  </si>
  <si>
    <t>Guest 375</t>
  </si>
  <si>
    <t>Guest375@gmail.com</t>
  </si>
  <si>
    <t>Guest 364</t>
  </si>
  <si>
    <t>Guest364@gmail.com</t>
  </si>
  <si>
    <t>Guest 270</t>
  </si>
  <si>
    <t>Guest270@airbnb.com</t>
  </si>
  <si>
    <t>Guest 338</t>
  </si>
  <si>
    <t>Guest338@gmail.com</t>
  </si>
  <si>
    <t>Guest 436</t>
  </si>
  <si>
    <t>Guest436@yahoo.com</t>
  </si>
  <si>
    <t>Guest 396</t>
  </si>
  <si>
    <t>Guest396@yahoo.com</t>
  </si>
  <si>
    <t>Guest 236</t>
  </si>
  <si>
    <t>Guest236@airbnb.com</t>
  </si>
  <si>
    <t>Guest 175</t>
  </si>
  <si>
    <t>Guest175@gmail.com</t>
  </si>
  <si>
    <t>Guest 221</t>
  </si>
  <si>
    <t>Guest221@airbnb.com</t>
  </si>
  <si>
    <t>Guest 176</t>
  </si>
  <si>
    <t>Guest176@guest.airbnb.com</t>
  </si>
  <si>
    <t>Guest 514</t>
  </si>
  <si>
    <t>Guest514@airbnb.com</t>
  </si>
  <si>
    <t>Guest 474</t>
  </si>
  <si>
    <t>Guest474@airbnb.com</t>
  </si>
  <si>
    <t>Guest 98</t>
  </si>
  <si>
    <t>Guest98@gmail.com</t>
  </si>
  <si>
    <t>Guest 75</t>
  </si>
  <si>
    <t>Guest75@gmail.com</t>
  </si>
  <si>
    <t>Guest 323</t>
  </si>
  <si>
    <t>Guest323@airbnb.com</t>
  </si>
  <si>
    <t>Guest 331</t>
  </si>
  <si>
    <t>Guest331@gmail.com</t>
  </si>
  <si>
    <t>Guest 37</t>
  </si>
  <si>
    <t>Guest37@yahoo.com</t>
  </si>
  <si>
    <t>Guest 427</t>
  </si>
  <si>
    <t>Guest427@gmail.com</t>
  </si>
  <si>
    <t>Guest 52</t>
  </si>
  <si>
    <t>Guest52@yahoo%2Ecom</t>
  </si>
  <si>
    <t>Guest 53</t>
  </si>
  <si>
    <t>Guest53@gmail%2Ecom</t>
  </si>
  <si>
    <t>Guest 418</t>
  </si>
  <si>
    <t>Guest418@gmail.com</t>
  </si>
  <si>
    <t>Guest 504</t>
  </si>
  <si>
    <t>Guest504@airbnb.com</t>
  </si>
  <si>
    <t>Guest 515</t>
  </si>
  <si>
    <t>Guest515@airbnb.com</t>
  </si>
  <si>
    <t>Guest 400</t>
  </si>
  <si>
    <t>Guest400@airbnb.com</t>
  </si>
  <si>
    <t>Guest 249</t>
  </si>
  <si>
    <t>Guest249@gmail.com</t>
  </si>
  <si>
    <t>Guest 20</t>
  </si>
  <si>
    <t>Guest20@airbnb.com</t>
  </si>
  <si>
    <t>Guest 157</t>
  </si>
  <si>
    <t>Guest157@airbnb.com</t>
  </si>
  <si>
    <t>Guest 342</t>
  </si>
  <si>
    <t>Guest342@gmail.com</t>
  </si>
  <si>
    <t>Guest 87</t>
  </si>
  <si>
    <t>Guest87@yahoo.com</t>
  </si>
  <si>
    <t>Guest 17</t>
  </si>
  <si>
    <t>Guest17@gmail.com</t>
  </si>
  <si>
    <t>Guest 493</t>
  </si>
  <si>
    <t>Guest493@gmail.com</t>
  </si>
  <si>
    <t>Guest 437</t>
  </si>
  <si>
    <t>Guest437@gmail.com</t>
  </si>
  <si>
    <t>Guest 463</t>
  </si>
  <si>
    <t>Guest463@yahoo.com</t>
  </si>
  <si>
    <t>Guest 494</t>
  </si>
  <si>
    <t>Guest494@gmail.com</t>
  </si>
  <si>
    <t>Guest 286</t>
  </si>
  <si>
    <t>Guest286@airbnb.com</t>
  </si>
  <si>
    <t>Guest 449</t>
  </si>
  <si>
    <t>Guest449@gmail.com</t>
  </si>
  <si>
    <t>Guest 8</t>
  </si>
  <si>
    <t>Guest8@gmail.com</t>
  </si>
  <si>
    <t>Guest 147</t>
  </si>
  <si>
    <t>Guest147@gmail.com</t>
  </si>
  <si>
    <t>Guest 541</t>
  </si>
  <si>
    <t>Guest541@gmail.com</t>
  </si>
  <si>
    <t>Guest 97</t>
  </si>
  <si>
    <t>Guest97@airbnb.com</t>
  </si>
  <si>
    <t>Guest 69</t>
  </si>
  <si>
    <t>Guest69@careerinsights.tv</t>
  </si>
  <si>
    <t>Guest 345</t>
  </si>
  <si>
    <t>Guest345@airbnb.com</t>
  </si>
  <si>
    <t>Guest 470</t>
  </si>
  <si>
    <t>Guest470@yahoo.co.uk</t>
  </si>
  <si>
    <t>Guest 178</t>
  </si>
  <si>
    <t>Guest178@yahoo.com</t>
  </si>
  <si>
    <t>Guest 167</t>
  </si>
  <si>
    <t>Guest167@airbnb.com</t>
  </si>
  <si>
    <t>Guest 467</t>
  </si>
  <si>
    <t>Guest467@gmail.com</t>
  </si>
  <si>
    <t>Guest 213</t>
  </si>
  <si>
    <t>Guest213@gmail.com</t>
  </si>
  <si>
    <t>Guest 572</t>
  </si>
  <si>
    <t>Guest572@yahoo.com</t>
  </si>
  <si>
    <t>Guest 383</t>
  </si>
  <si>
    <t>Guest383@gmail.com</t>
  </si>
  <si>
    <t>Guest 224</t>
  </si>
  <si>
    <t>Guest224@airbnb.com</t>
  </si>
  <si>
    <t>Guest 231</t>
  </si>
  <si>
    <t>Guest231@gmail.com</t>
  </si>
  <si>
    <t>Guest 128</t>
  </si>
  <si>
    <t>Guest128@gmail.com</t>
  </si>
  <si>
    <t>Guest 235</t>
  </si>
  <si>
    <t>Guest235@yahoo.com</t>
  </si>
  <si>
    <t>Guest 355</t>
  </si>
  <si>
    <t>Guest355@yahoo.com</t>
  </si>
  <si>
    <t>Guest 189</t>
  </si>
  <si>
    <t>Guest189@airbnb.com</t>
  </si>
  <si>
    <t>Guest 238</t>
  </si>
  <si>
    <t>Guest238@gmail.com</t>
  </si>
  <si>
    <t>Guest 132</t>
  </si>
  <si>
    <t>Guest132@airbnb.com</t>
  </si>
  <si>
    <t>Guest 225</t>
  </si>
  <si>
    <t>Guest225@</t>
  </si>
  <si>
    <t>Guest 386</t>
  </si>
  <si>
    <t>Guest386@yahoo.com</t>
  </si>
  <si>
    <t>Guest 410</t>
  </si>
  <si>
    <t>Guest410@airbnb.com</t>
  </si>
  <si>
    <t>Guest 327</t>
  </si>
  <si>
    <t>Guest327@airbnb.com</t>
  </si>
  <si>
    <t>Guest 490</t>
  </si>
  <si>
    <t>Guest490@gmail.com</t>
  </si>
  <si>
    <t>Guest 127</t>
  </si>
  <si>
    <t>Guest127@airbnb.com</t>
  </si>
  <si>
    <t>Guest 92</t>
  </si>
  <si>
    <t>Guest92@gmail.com</t>
  </si>
  <si>
    <t>Guest 203</t>
  </si>
  <si>
    <t>Guest203@gmail%2Ecom</t>
  </si>
  <si>
    <t>Guest 393</t>
  </si>
  <si>
    <t>Guest393@airbnb.com</t>
  </si>
  <si>
    <t>Guest 316</t>
  </si>
  <si>
    <t>Guest316@gmail.com</t>
  </si>
  <si>
    <t>Guest 354</t>
  </si>
  <si>
    <t>Guest354@yahoo.com</t>
  </si>
  <si>
    <t>Guest 159</t>
  </si>
  <si>
    <t>Guest159@airbnb.com</t>
  </si>
  <si>
    <t>Guest 565</t>
  </si>
  <si>
    <t>Guest565@gmail.com</t>
  </si>
  <si>
    <t>Guest 457</t>
  </si>
  <si>
    <t>Guest457@gmail.com</t>
  </si>
  <si>
    <t>Guest 559</t>
  </si>
  <si>
    <t>Guest559@airbnb.com</t>
  </si>
  <si>
    <t>Guest 271</t>
  </si>
  <si>
    <t>Guest271@gmail.com</t>
  </si>
  <si>
    <t>Guest 91</t>
  </si>
  <si>
    <t>Guest91@yahoo.com</t>
  </si>
  <si>
    <t>Guest 381</t>
  </si>
  <si>
    <t>Guest381@gmail.com</t>
  </si>
  <si>
    <t>Guest 556</t>
  </si>
  <si>
    <t>Guest556@airbnb.com</t>
  </si>
  <si>
    <t>Guest 151</t>
  </si>
  <si>
    <t>Guest151@careerinsights.tv</t>
  </si>
  <si>
    <t>Guest 251</t>
  </si>
  <si>
    <t>Guest251@airbnb.com</t>
  </si>
  <si>
    <t>Guest 302</t>
  </si>
  <si>
    <t>Guest302@gmail.com</t>
  </si>
  <si>
    <t>Guest 276</t>
  </si>
  <si>
    <t>Guest276@gmail.com</t>
  </si>
  <si>
    <t>Guest 357</t>
  </si>
  <si>
    <t>Guest357@yahoo.com</t>
  </si>
  <si>
    <t>Guest 169</t>
  </si>
  <si>
    <t>Guest169@sdf.sdfsdf</t>
  </si>
  <si>
    <t>Guest 74</t>
  </si>
  <si>
    <t>Guest74@sdf.dsfsdf</t>
  </si>
  <si>
    <t>Guest 293</t>
  </si>
  <si>
    <t>Guest293@airbnb.com</t>
  </si>
  <si>
    <t>Guest 563</t>
  </si>
  <si>
    <t>Guest563@airbnb.com</t>
  </si>
  <si>
    <t>Guest 363</t>
  </si>
  <si>
    <t>Guest363@airbnb.com</t>
  </si>
  <si>
    <t>Guest 149</t>
  </si>
  <si>
    <t>Guest149@yahoo%2Ecom</t>
  </si>
  <si>
    <t>Guest 511</t>
  </si>
  <si>
    <t>Guest511@gmail.com</t>
  </si>
  <si>
    <t>Guest 39</t>
  </si>
  <si>
    <t>Guest39@sdf.fsd</t>
  </si>
  <si>
    <t>Guest 361</t>
  </si>
  <si>
    <t>Guest361@yahoo%2Ecom</t>
  </si>
  <si>
    <t>Guest 222</t>
  </si>
  <si>
    <t>Guest222@gmail.com</t>
  </si>
  <si>
    <t>Guest 365</t>
  </si>
  <si>
    <t>Guest365@gmail.com</t>
  </si>
  <si>
    <t>Guest 194</t>
  </si>
  <si>
    <t>Guest194@gmail.com</t>
  </si>
  <si>
    <t>Guest 503</t>
  </si>
  <si>
    <t>Guest503@gmail.com</t>
  </si>
  <si>
    <t>Guest 432</t>
  </si>
  <si>
    <t>Guest432@airbnb.com</t>
  </si>
  <si>
    <t>Guest 109</t>
  </si>
  <si>
    <t>Guest109@check.com</t>
  </si>
  <si>
    <t>Guest 370</t>
  </si>
  <si>
    <t>Guest370@gmail.com</t>
  </si>
  <si>
    <t>Guest 76</t>
  </si>
  <si>
    <t>Guest76@hotmail.com</t>
  </si>
  <si>
    <t>Guest 115</t>
  </si>
  <si>
    <t>Guest115@icloud.com</t>
  </si>
  <si>
    <t>Guest 329</t>
  </si>
  <si>
    <t>Guest329@gmail.com</t>
  </si>
  <si>
    <t>Guest 455</t>
  </si>
  <si>
    <t>Guest455@gmail.com</t>
  </si>
  <si>
    <t>Guest 419</t>
  </si>
  <si>
    <t>Guest419@gmail%2Ecom</t>
  </si>
  <si>
    <t>Guest 266</t>
  </si>
  <si>
    <t>Guest266@sfsdfsfsd.com</t>
  </si>
  <si>
    <t>Guest 265</t>
  </si>
  <si>
    <t>Guest265@sfsdfsfsd.com</t>
  </si>
  <si>
    <t>Guest 314</t>
  </si>
  <si>
    <t>Guest314@airbnb.com</t>
  </si>
  <si>
    <t>Guest 287</t>
  </si>
  <si>
    <t>Guest287@airbnb.com</t>
  </si>
  <si>
    <t>Guest 333</t>
  </si>
  <si>
    <t>Guest333@gmail%2Ecom</t>
  </si>
  <si>
    <t>Guest 43</t>
  </si>
  <si>
    <t>Guest43@gmail.com</t>
  </si>
  <si>
    <t>Guest 477</t>
  </si>
  <si>
    <t>Guest477@encry.com</t>
  </si>
  <si>
    <t>Guest 564</t>
  </si>
  <si>
    <t>Guest564@gmail.com</t>
  </si>
  <si>
    <t>Guest 280</t>
  </si>
  <si>
    <t>Guest280@guest.airbnb.com</t>
  </si>
  <si>
    <t>Guest 376</t>
  </si>
  <si>
    <t>Guest376@yahoo.com</t>
  </si>
  <si>
    <t>Guest 525</t>
  </si>
  <si>
    <t>Guest525@gmail.com</t>
  </si>
  <si>
    <t>Guest 520</t>
  </si>
  <si>
    <t>Guest520@yahoo.com</t>
  </si>
  <si>
    <t>Guest 297</t>
  </si>
  <si>
    <t>Guest297@encry.com</t>
  </si>
  <si>
    <t>Guest 181</t>
  </si>
  <si>
    <t>Guest181@yahoo.com</t>
  </si>
  <si>
    <t>Guest 336</t>
  </si>
  <si>
    <t>Guest336@gmail.com</t>
  </si>
  <si>
    <t>Guest 521</t>
  </si>
  <si>
    <t>Guest521@gmail.com</t>
  </si>
  <si>
    <t>Guest 245</t>
  </si>
  <si>
    <t>Guest245@gmail.com</t>
  </si>
  <si>
    <t>Guest 356</t>
  </si>
  <si>
    <t>Guest356@gmail.com</t>
  </si>
  <si>
    <t>Guest 530</t>
  </si>
  <si>
    <t>Guest530@gmail.com</t>
  </si>
  <si>
    <t>Guest 384</t>
  </si>
  <si>
    <t>Guest384@yahoo%2Ecom</t>
  </si>
  <si>
    <t>Guest 464</t>
  </si>
  <si>
    <t>Guest464@airbnb.com</t>
  </si>
  <si>
    <t>Guest 531</t>
  </si>
  <si>
    <t>Guest531@yahoo.com</t>
  </si>
  <si>
    <t>Guest 544</t>
  </si>
  <si>
    <t>Guest544@gmail.com</t>
  </si>
  <si>
    <t>Guest 190</t>
  </si>
  <si>
    <t>Guest190@gmail%2Ecom</t>
  </si>
  <si>
    <t>Guest 38</t>
  </si>
  <si>
    <t>Guest38@airbnb.com</t>
  </si>
  <si>
    <t>Guest 125</t>
  </si>
  <si>
    <t>Guest125@yahoo.co.uk</t>
  </si>
  <si>
    <t>Guest 552</t>
  </si>
  <si>
    <t>Guest552@airbnb.com</t>
  </si>
  <si>
    <t>Guest 107</t>
  </si>
  <si>
    <t>Guest107@airbnb.com</t>
  </si>
  <si>
    <t>Guest 164</t>
  </si>
  <si>
    <t>Guest164@airbnb.com</t>
  </si>
  <si>
    <t>Guest 359</t>
  </si>
  <si>
    <t>Guest359@gmail.com</t>
  </si>
  <si>
    <t>Guest 350</t>
  </si>
  <si>
    <t>Guest350@gmail.com</t>
  </si>
  <si>
    <t>Guest 360</t>
  </si>
  <si>
    <t>Guest360@yahoo.com</t>
  </si>
  <si>
    <t>Guest 469</t>
  </si>
  <si>
    <t>Guest469@airbnb.com</t>
  </si>
  <si>
    <t>Guest 502</t>
  </si>
  <si>
    <t>Guest502@gmail%2Ecom</t>
  </si>
  <si>
    <t>Guest 390</t>
  </si>
  <si>
    <t>Guest390@airbnb.com</t>
  </si>
  <si>
    <t>Guest 456</t>
  </si>
  <si>
    <t>Guest456@gmail.com</t>
  </si>
  <si>
    <t>Guest 482</t>
  </si>
  <si>
    <t>Guest482@sdf.sfd</t>
  </si>
  <si>
    <t>Guest 96</t>
  </si>
  <si>
    <t>Guest96@gmail.com</t>
  </si>
  <si>
    <t>Guest 70</t>
  </si>
  <si>
    <t>Guest70@hotmail.co.uk</t>
  </si>
  <si>
    <t>Guest 394</t>
  </si>
  <si>
    <t>Guest394@yahoo%2Ecom</t>
  </si>
  <si>
    <t>Guest 348</t>
  </si>
  <si>
    <t>Guest348@yahoo.com</t>
  </si>
  <si>
    <t>Guest 379</t>
  </si>
  <si>
    <t>Guest379@gmail%2Ecom</t>
  </si>
  <si>
    <t>Guest 227</t>
  </si>
  <si>
    <t>Guest227@yahoo.com</t>
  </si>
  <si>
    <t>Guest 484</t>
  </si>
  <si>
    <t>Guest484@gmail.com</t>
  </si>
  <si>
    <t>Guest 85</t>
  </si>
  <si>
    <t>Guest85@airbnb.com</t>
  </si>
  <si>
    <t>Guest 163</t>
  </si>
  <si>
    <t>Guest163@gmail.com</t>
  </si>
  <si>
    <t>Guest 86</t>
  </si>
  <si>
    <t>Guest86@airbnb.com</t>
  </si>
  <si>
    <t>Guest 197</t>
  </si>
  <si>
    <t>Guest197@gmail.com</t>
  </si>
  <si>
    <t>Guest 461</t>
  </si>
  <si>
    <t>Guest461@gmail.com</t>
  </si>
  <si>
    <t>Guest 80</t>
  </si>
  <si>
    <t>Guest80@yahoo%2Ecom</t>
  </si>
  <si>
    <t>Guest 73</t>
  </si>
  <si>
    <t>Guest73@gmail.com</t>
  </si>
  <si>
    <t>Guest 6</t>
  </si>
  <si>
    <t>Guest6@careerinsights.tv</t>
  </si>
  <si>
    <t>Guest 347</t>
  </si>
  <si>
    <t>Guest347@gmail.com</t>
  </si>
  <si>
    <t>Guest 413</t>
  </si>
  <si>
    <t>Guest413@gmail.com</t>
  </si>
  <si>
    <t>Guest 95</t>
  </si>
  <si>
    <t>Guest95@airbnb.com</t>
  </si>
  <si>
    <t>Guest 255</t>
  </si>
  <si>
    <t>Guest255@yahoo.co.uk</t>
  </si>
  <si>
    <t>Guest 486</t>
  </si>
  <si>
    <t>Guest486@gmail.com</t>
  </si>
  <si>
    <t>Guest 526</t>
  </si>
  <si>
    <t>Guest526@airbnb.com</t>
  </si>
  <si>
    <t>Guest 83</t>
  </si>
  <si>
    <t>Guest83@encry.com</t>
  </si>
  <si>
    <t>Guest 431</t>
  </si>
  <si>
    <t>Guest431@airbnb.com</t>
  </si>
  <si>
    <t>Guest 47</t>
  </si>
  <si>
    <t>Guest47@yahoo%2Eco%2Euk</t>
  </si>
  <si>
    <t>Guest 242</t>
  </si>
  <si>
    <t>Guest242@airbnb.com</t>
  </si>
  <si>
    <t>Guest 268</t>
  </si>
  <si>
    <t>Guest268@gmail%2Ecom</t>
  </si>
  <si>
    <t>Guest 310</t>
  </si>
  <si>
    <t>Guest310@gmail.com</t>
  </si>
  <si>
    <t>Guest 152</t>
  </si>
  <si>
    <t>Guest152@yahoo.com</t>
  </si>
  <si>
    <t>Guest 209</t>
  </si>
  <si>
    <t>Guest209@gmail.com</t>
  </si>
  <si>
    <t>Guest 309</t>
  </si>
  <si>
    <t>Guest309@yahoo.com</t>
  </si>
  <si>
    <t>Guest 372</t>
  </si>
  <si>
    <t>Guest372@theproperty.com</t>
  </si>
  <si>
    <t>Guest 18</t>
  </si>
  <si>
    <t>Guest18@airbnb.com</t>
  </si>
  <si>
    <t>Guest 446</t>
  </si>
  <si>
    <t>Guest446@gmail.com</t>
  </si>
  <si>
    <t>Guest 546</t>
  </si>
  <si>
    <t>Guest546@gmail.com</t>
  </si>
  <si>
    <t>Guest 543</t>
  </si>
  <si>
    <t>Guest543@airbnb.com</t>
  </si>
  <si>
    <t>Guest 12</t>
  </si>
  <si>
    <t>Guest12@gmail.com</t>
  </si>
  <si>
    <t>Guest 170</t>
  </si>
  <si>
    <t>Guest170@gmail.com</t>
  </si>
  <si>
    <t>Guest 10</t>
  </si>
  <si>
    <t>Guest10@gmail.com</t>
  </si>
  <si>
    <t>Guest 409</t>
  </si>
  <si>
    <t>Guest409@gmail.com</t>
  </si>
  <si>
    <t>Guest 51</t>
  </si>
  <si>
    <t>Guest51@gmail.com</t>
  </si>
  <si>
    <t>Guest 252</t>
  </si>
  <si>
    <t>Guest252@yahoo.com</t>
  </si>
  <si>
    <t>Guest 239</t>
  </si>
  <si>
    <t>Guest239@gmail.com</t>
  </si>
  <si>
    <t>Guest 269</t>
  </si>
  <si>
    <t>Guest269@gmail.com</t>
  </si>
  <si>
    <t>Guest 522</t>
  </si>
  <si>
    <t>Guest522@gmail.com</t>
  </si>
  <si>
    <t>Guest 466</t>
  </si>
  <si>
    <t>Guest466@gmail.com</t>
  </si>
  <si>
    <t>Guest 296</t>
  </si>
  <si>
    <t>Guest296@yahoo.com</t>
  </si>
  <si>
    <t>Guest 513</t>
  </si>
  <si>
    <t>Guest513@gmail.com</t>
  </si>
  <si>
    <t>Guest 185</t>
  </si>
  <si>
    <t>Guest185@airbnb.com</t>
  </si>
  <si>
    <t>Guest 177</t>
  </si>
  <si>
    <t>Guest177@airbnb.com</t>
  </si>
  <si>
    <t>Guest 2</t>
  </si>
  <si>
    <t>Guest2@gmail.com</t>
  </si>
  <si>
    <t>Guest 319</t>
  </si>
  <si>
    <t>Guest319@gmal.com</t>
  </si>
  <si>
    <t>Guest 23</t>
  </si>
  <si>
    <t>Guest23@gmail.com</t>
  </si>
  <si>
    <t>Guest 395</t>
  </si>
  <si>
    <t>Guest395@gmail.com</t>
  </si>
  <si>
    <t>Guest 22</t>
  </si>
  <si>
    <t>Guest22@gmail.com</t>
  </si>
  <si>
    <t>Guest 416</t>
  </si>
  <si>
    <t>Guest416@airbnb.com</t>
  </si>
  <si>
    <t>Guest 253</t>
  </si>
  <si>
    <t>Guest253@gmail.com</t>
  </si>
  <si>
    <t>Guest 30</t>
  </si>
  <si>
    <t>Guest30@airbnb.com</t>
  </si>
  <si>
    <t>Guest 67</t>
  </si>
  <si>
    <t>Guest67@gmail.com</t>
  </si>
  <si>
    <t>Guest 207</t>
  </si>
  <si>
    <t>Guest207@airbnb.com</t>
  </si>
  <si>
    <t>Guest 488</t>
  </si>
  <si>
    <t>Guest488@airbnb.com</t>
  </si>
  <si>
    <t>Guest 56</t>
  </si>
  <si>
    <t>Guest56@gmail.com</t>
  </si>
  <si>
    <t>Guest 325</t>
  </si>
  <si>
    <t>Guest325@slh.com</t>
  </si>
  <si>
    <t>Guest 278</t>
  </si>
  <si>
    <t>Guest278@airbnb.com</t>
  </si>
  <si>
    <t>Guest 206</t>
  </si>
  <si>
    <t>Guest206@airbnb.com</t>
  </si>
  <si>
    <t>Guest 49</t>
  </si>
  <si>
    <t>Guest49@airbnb.com</t>
  </si>
  <si>
    <t>Guest 82</t>
  </si>
  <si>
    <t>Guest82@airbnb.com</t>
  </si>
  <si>
    <t>Guest 130</t>
  </si>
  <si>
    <t>Guest130@airbnb.com</t>
  </si>
  <si>
    <t>Guest 140</t>
  </si>
  <si>
    <t>Guest140@gmail.com</t>
  </si>
  <si>
    <t>Guest 31</t>
  </si>
  <si>
    <t>Guest31@airbnb.com</t>
  </si>
  <si>
    <t>Guest 512</t>
  </si>
  <si>
    <t>Guest512@sms.com</t>
  </si>
  <si>
    <t>Guest 324</t>
  </si>
  <si>
    <t>Guest324@gmail.com</t>
  </si>
  <si>
    <t>Guest 150</t>
  </si>
  <si>
    <t>Guest150@gmail.com</t>
  </si>
  <si>
    <t>Guest 279</t>
  </si>
  <si>
    <t>Guest279@airbnb.com</t>
  </si>
  <si>
    <t>Guest 260</t>
  </si>
  <si>
    <t>Guest260@gmail.com</t>
  </si>
  <si>
    <t>Guest 136</t>
  </si>
  <si>
    <t>Guest136@gmail.com</t>
  </si>
  <si>
    <t>Guest 111</t>
  </si>
  <si>
    <t>Guest111@airbnb.com</t>
  </si>
  <si>
    <t>Guest 90</t>
  </si>
  <si>
    <t>Guest90@gmail.com</t>
  </si>
  <si>
    <t>Guest 144</t>
  </si>
  <si>
    <t>Guest144@gmail%2Ecom</t>
  </si>
  <si>
    <t>Guest 223</t>
  </si>
  <si>
    <t>Guest223@gmail.com</t>
  </si>
  <si>
    <t>Guest 208</t>
  </si>
  <si>
    <t>Guest208@gmail.com</t>
  </si>
  <si>
    <t>Guest 549</t>
  </si>
  <si>
    <t>Guest549@yahoo.com</t>
  </si>
  <si>
    <t>Guest 263</t>
  </si>
  <si>
    <t>Guest263@yahoo%2Ecom</t>
  </si>
  <si>
    <t>Guest 60</t>
  </si>
  <si>
    <t>Guest60@encry.com</t>
  </si>
  <si>
    <t>Guest 532</t>
  </si>
  <si>
    <t>Guest532@gmail.com</t>
  </si>
  <si>
    <t>Guest 28</t>
  </si>
  <si>
    <t>Guest28@gmail.com</t>
  </si>
  <si>
    <t>Guest 321</t>
  </si>
  <si>
    <t>Guest321@hotnail.com</t>
  </si>
  <si>
    <t>Guest 476</t>
  </si>
  <si>
    <t>Guest476@airbnb.com</t>
  </si>
  <si>
    <t>Guest 81</t>
  </si>
  <si>
    <t>Guest81@yahoo.com</t>
  </si>
  <si>
    <t xml:space="preserve"> The Daniels 5 Star Short Let Apartment in Lekki_x000C_</t>
  </si>
  <si>
    <t>Sophia Luxury Home_x000C_</t>
  </si>
  <si>
    <t>Keji?s 5 Star Short let Apartment in Lekki_x000C_</t>
  </si>
  <si>
    <t>Tiara?s Luxury Home Away From Home_x000C_</t>
  </si>
  <si>
    <t>Achikare ?s Luxury Home Away from Home_x000C_</t>
  </si>
  <si>
    <t>Ope?s 5 Star Short Let Apartment in Lekki_x000C_</t>
  </si>
  <si>
    <t>Phiola?s 5 Star Short Let Apartment in Lekki_x000C_</t>
  </si>
  <si>
    <t>Zoe?s 5 Star Short let Apartment in Lekki_x000C_</t>
  </si>
  <si>
    <t>booking.com</t>
  </si>
  <si>
    <t>2077c5bb-xxxx-xxxx-xxxx-8263c2587f49</t>
  </si>
  <si>
    <t>d3ba5367-xxxx-xxxx-xxxx-d7bd2793698f</t>
  </si>
  <si>
    <t>e51e8c85-xxxx-xxxx-xxxx-6f57f7fa9810</t>
  </si>
  <si>
    <t>0168be4c-xxxx-xxxx-xxxx-e03e1c2d477e</t>
  </si>
  <si>
    <t>11ee7e20-xxxx-xxxx-xxxx-94e6dfec8a5c</t>
  </si>
  <si>
    <t>3e68d424-xxxx-xxxx-xxxx-7a8198a44f82</t>
  </si>
  <si>
    <t>c64cd93f-xxxx-xxxx-xxxx-a7891bb8096d</t>
  </si>
  <si>
    <t>e9905320-xxxx-xxxx-xxxx-d4ae5c1113c7</t>
  </si>
  <si>
    <t>50792711-xxxx-xxxx-xxxx-a6db54bcc207</t>
  </si>
  <si>
    <t>f8d23f65-xxxx-xxxx-xxxx-8afbc86d5d6d</t>
  </si>
  <si>
    <t>eba42eee-xxxx-xxxx-xxxx-e84857f5aa43</t>
  </si>
  <si>
    <t>fa436a38-xxxx-xxxx-xxxx-ac77c04c0c08</t>
  </si>
  <si>
    <t>c052de03-xxxx-xxxx-xxxx-75c9aa7b82bc</t>
  </si>
  <si>
    <t>3dd1ff40-xxxx-xxxx-xxxx-365bd7210aae</t>
  </si>
  <si>
    <t>e5d7d342-xxxx-xxxx-xxxx-bfd3bc6bac17</t>
  </si>
  <si>
    <t>d904c465-xxxx-xxxx-xxxx-948b9ce80b08</t>
  </si>
  <si>
    <t>3b96c584-xxxx-xxxx-xxxx-04f00f42813e</t>
  </si>
  <si>
    <t>bc8939be-xxxx-xxxx-xxxx-3e7c550f620c</t>
  </si>
  <si>
    <t>ec24d1ad-xxxx-xxxx-xxxx-30fa5ad817b6</t>
  </si>
  <si>
    <t>85ab189d-xxxx-xxxx-xxxx-46e838b282f6</t>
  </si>
  <si>
    <t>6720acb8-xxxx-xxxx-xxxx-8607061ad865</t>
  </si>
  <si>
    <t>2eabcada-xxxx-xxxx-xxxx-59d6597ab02b</t>
  </si>
  <si>
    <t>18f33c85-xxxx-xxxx-xxxx-3104b3ba432c</t>
  </si>
  <si>
    <t>ef16d45a-xxxx-xxxx-xxxx-8d732f94f7f5</t>
  </si>
  <si>
    <t>2fc4ef35-xxxx-xxxx-xxxx-169527286425</t>
  </si>
  <si>
    <t>a56de32f-xxxx-xxxx-xxxx-8451d4a770ca</t>
  </si>
  <si>
    <t>946c8137-xxxx-xxxx-xxxx-624fa2b53db9</t>
  </si>
  <si>
    <t>ba736d87-xxxx-xxxx-xxxx-bd4fe2e3705a</t>
  </si>
  <si>
    <t>9caf8d8d-xxxx-xxxx-xxxx-a2d04d11def8</t>
  </si>
  <si>
    <t>6f46ad80-xxxx-xxxx-xxxx-6df3e939d29b</t>
  </si>
  <si>
    <t>6655afb1-xxxx-xxxx-xxxx-aca161bd113f</t>
  </si>
  <si>
    <t>80629349-xxxx-xxxx-xxxx-112ae1d9b75e</t>
  </si>
  <si>
    <t>1e0281b0-xxxx-xxxx-xxxx-aee5a83d100f</t>
  </si>
  <si>
    <t>booking.com-xxxx-xxxx-xxxx-</t>
  </si>
  <si>
    <t>44e4f086-xxxx-xxxx-xxxx-f9e370ddfa59</t>
  </si>
  <si>
    <t>58b26493-xxxx-xxxx-xxxx-aecf927e1b88</t>
  </si>
  <si>
    <t>0e6fb06f-xxxx-xxxx-xxxx-83a745186387</t>
  </si>
  <si>
    <t>b27572cb-xxxx-xxxx-xxxx-735da992a9f5</t>
  </si>
  <si>
    <t>62fb3025-xxxx-xxxx-xxxx-8951f0e3fa58</t>
  </si>
  <si>
    <t>b944eccf-xxxx-xxxx-xxxx-f49210a59329</t>
  </si>
  <si>
    <t>95dcdd02-xxxx-xxxx-xxxx-102cd3d0b168</t>
  </si>
  <si>
    <t>0375d2ae-xxxx-xxxx-xxxx-2848e4fbc6bb</t>
  </si>
  <si>
    <t>a6b32532-xxxx-xxxx-xxxx-2123cc453632</t>
  </si>
  <si>
    <t>e191795d-xxxx-xxxx-xxxx-ee2b5527733f</t>
  </si>
  <si>
    <t>f77d683d-xxxx-xxxx-xxxx-90d247ec3ecf</t>
  </si>
  <si>
    <t>73212108-xxxx-xxxx-xxxx-8ae2c45942c5</t>
  </si>
  <si>
    <t>06767ab6-xxxx-xxxx-xxxx-3f66c286fba5</t>
  </si>
  <si>
    <t>f6f245f7-xxxx-xxxx-xxxx-a17939c5ddb9</t>
  </si>
  <si>
    <t>6f469b8c-xxxx-xxxx-xxxx-64d514b34746</t>
  </si>
  <si>
    <t>39356c25-xxxx-xxxx-xxxx-c02922fbd183</t>
  </si>
  <si>
    <t>1a55098e-xxxx-xxxx-xxxx-eb8b8c5c2873</t>
  </si>
  <si>
    <t>099b8c90-xxxx-xxxx-xxxx-8efe5c258ca9</t>
  </si>
  <si>
    <t>851711b9-xxxx-xxxx-xxxx-5232af9e8314</t>
  </si>
  <si>
    <t>cb5ff4a4-xxxx-xxxx-xxxx-fbcf9ee13e48</t>
  </si>
  <si>
    <t>03e343e4-xxxx-xxxx-xxxx-a4dfe3e372f4</t>
  </si>
  <si>
    <t>5188dbba-xxxx-xxxx-xxxx-22f9f7e87366</t>
  </si>
  <si>
    <t>cc92e065-xxxx-xxxx-xxxx-d7a929a1de82</t>
  </si>
  <si>
    <t>567aa535-xxxx-xxxx-xxxx-e855161ab1c6</t>
  </si>
  <si>
    <t>e25e0246-xxxx-xxxx-xxxx-f9e9107c4388</t>
  </si>
  <si>
    <t>ca2bb9a9-xxxx-xxxx-xxxx-21d858ab301f</t>
  </si>
  <si>
    <t>daeb6ffe-xxxx-xxxx-xxxx-c45a0e532e38</t>
  </si>
  <si>
    <t>5d8d8e67-xxxx-xxxx-xxxx-0b6b9e592a85</t>
  </si>
  <si>
    <t>49d336b9-xxxx-xxxx-xxxx-1dd14c09a003</t>
  </si>
  <si>
    <t>f06004a3-xxxx-xxxx-xxxx-802f6ba7e9cf</t>
  </si>
  <si>
    <t>b7c50298-xxxx-xxxx-xxxx-3568700e60e6</t>
  </si>
  <si>
    <t>f1d17789-xxxx-xxxx-xxxx-71b5104fd62f</t>
  </si>
  <si>
    <t>373e875a-xxxx-xxxx-xxxx-2571c3d3869b</t>
  </si>
  <si>
    <t>faca83ad-xxxx-xxxx-xxxx-30b49e2373c2</t>
  </si>
  <si>
    <t>39f3c8b8-xxxx-xxxx-xxxx-59a804be1ad7</t>
  </si>
  <si>
    <t>08b60e41-xxxx-xxxx-xxxx-ac2c21c5e000</t>
  </si>
  <si>
    <t>04bebf22-xxxx-xxxx-xxxx-674f320574fc</t>
  </si>
  <si>
    <t>36616a26-xxxx-xxxx-xxxx-23f1067a3d8a</t>
  </si>
  <si>
    <t>6b020e7c-xxxx-xxxx-xxxx-ac98270fcebd</t>
  </si>
  <si>
    <t>4a05cb83-xxxx-xxxx-xxxx-c11859d3d9cd</t>
  </si>
  <si>
    <t>8917e5ca-xxxx-xxxx-xxxx-e8faa762db17</t>
  </si>
  <si>
    <t>24c462d1-xxxx-xxxx-xxxx-b071cfe6aca6</t>
  </si>
  <si>
    <t>ebf8f670-xxxx-xxxx-xxxx-c887955a9caa</t>
  </si>
  <si>
    <t>df894829-xxxx-xxxx-xxxx-615604f99f5b</t>
  </si>
  <si>
    <t>904f6525-xxxx-xxxx-xxxx-902c2b19a63a</t>
  </si>
  <si>
    <t>0bb14eea-xxxx-xxxx-xxxx-64c57a24804e</t>
  </si>
  <si>
    <t>938a6a33-xxxx-xxxx-xxxx-b4040f005099</t>
  </si>
  <si>
    <t>6b63c7b4-xxxx-xxxx-xxxx-ad01a158752a</t>
  </si>
  <si>
    <t>308ec8a0-xxxx-xxxx-xxxx-84da6f3a5cc8</t>
  </si>
  <si>
    <t>446393d9-xxxx-xxxx-xxxx-9568b8fad9d2</t>
  </si>
  <si>
    <t>be3e796c-xxxx-xxxx-xxxx-bb061f90d69d</t>
  </si>
  <si>
    <t>c558b98d-xxxx-xxxx-xxxx-3c15aaa04a1b</t>
  </si>
  <si>
    <t>fa5e8d47-xxxx-xxxx-xxxx-e686029ab930</t>
  </si>
  <si>
    <t>c6ab89b7-xxxx-xxxx-xxxx-009a6aa1b910</t>
  </si>
  <si>
    <t>691ac404-xxxx-xxxx-xxxx-74d32592840b</t>
  </si>
  <si>
    <t>d4220ef4-xxxx-xxxx-xxxx-a0f1ba475189</t>
  </si>
  <si>
    <t>cefcb944-xxxx-xxxx-xxxx-a4713bb18a1b</t>
  </si>
  <si>
    <t>b61309ae-xxxx-xxxx-xxxx-29a4dc6c5b51</t>
  </si>
  <si>
    <t>f1066344-xxxx-xxxx-xxxx-4dd49c94828e</t>
  </si>
  <si>
    <t>9c43390c-xxxx-xxxx-xxxx-eaa156d6fc9a</t>
  </si>
  <si>
    <t>04eb1504-xxxx-xxxx-xxxx-f11c1d99d62d</t>
  </si>
  <si>
    <t>2431900-xxxx-xxxx-xxxx-33898fc1209d</t>
  </si>
  <si>
    <t>34f34379-xxxx-xxxx-xxxx-4a315991723d</t>
  </si>
  <si>
    <t>97f02cf7-xxxx-xxxx-xxxx-1f3087353e19</t>
  </si>
  <si>
    <t>ffcdfc22-xxxx-xxxx-xxxx-fd9f960eeb9a</t>
  </si>
  <si>
    <t>8bacec68-xxxx-xxxx-xxxx-152a45a5e7c7</t>
  </si>
  <si>
    <t>306e14a6-xxxx-xxxx-xxxx-08c3fc67078f</t>
  </si>
  <si>
    <t>82211add-xxxx-xxxx-xxxx-d4d5ecfa8d71</t>
  </si>
  <si>
    <t>9dd30c12-xxxx-xxxx-xxxx-afad6111021f</t>
  </si>
  <si>
    <t>fdbd98ca-xxxx-xxxx-xxxx-cd4ccba88092</t>
  </si>
  <si>
    <t>d0760e90-xxxx-xxxx-xxxx-011a2f6e840e</t>
  </si>
  <si>
    <t>9366c428-xxxx-xxxx-xxxx-df17d795ea26</t>
  </si>
  <si>
    <t>a38e8bfa-xxxx-xxxx-xxxx-c47d36727db9</t>
  </si>
  <si>
    <t>6045dca7-xxxx-xxxx-xxxx-b6d446ee2105</t>
  </si>
  <si>
    <t>13a5cf97-xxxx-xxxx-xxxx-f1bccb7bf92b</t>
  </si>
  <si>
    <t>0a83378f-xxxx-xxxx-xxxx-89662ed4abe4</t>
  </si>
  <si>
    <t>23474cf2-xxxx-xxxx-xxxx-c85a095a91ba</t>
  </si>
  <si>
    <t>15bd1e28-xxxx-xxxx-xxxx-e3326082fb9e</t>
  </si>
  <si>
    <t>844881f9-xxxx-xxxx-xxxx-50d2d2d3475d</t>
  </si>
  <si>
    <t>d1cd0f89-xxxx-xxxx-xxxx-f1b1f8bbb9ce</t>
  </si>
  <si>
    <t>4ee3c06e-xxxx-xxxx-xxxx-8688eab7e064</t>
  </si>
  <si>
    <t>2cadcbf3-xxxx-xxxx-xxxx-25c68f9656a8</t>
  </si>
  <si>
    <t>76c9bd41-xxxx-xxxx-xxxx-0a55f9321b56</t>
  </si>
  <si>
    <t>7b079911-xxxx-xxxx-xxxx-28e027dc2c90</t>
  </si>
  <si>
    <t>a52aea02-xxxx-xxxx-xxxx-903c73f638e8</t>
  </si>
  <si>
    <t>da95aaf6-xxxx-xxxx-xxxx-5e1cf9802b89</t>
  </si>
  <si>
    <t>9629a920-xxxx-xxxx-xxxx-0351202d07da</t>
  </si>
  <si>
    <t>e855a3e0-xxxx-xxxx-xxxx-bed1e5474d49</t>
  </si>
  <si>
    <t>7a84fdb3-xxxx-xxxx-xxxx-f0e75df6fb4a</t>
  </si>
  <si>
    <t>748fe3bc-xxxx-xxxx-xxxx-6617e6a281a6</t>
  </si>
  <si>
    <t>251304c2-xxxx-xxxx-xxxx-98245e8e7b00</t>
  </si>
  <si>
    <t>25689f67-xxxx-xxxx-xxxx-0048911de239</t>
  </si>
  <si>
    <t>4c15e33e-xxxx-xxxx-xxxx-547175d30ab6</t>
  </si>
  <si>
    <t>de27832d-xxxx-xxxx-xxxx-421037218a91</t>
  </si>
  <si>
    <t>d860d31a-xxxx-xxxx-xxxx-ffd2f817b598</t>
  </si>
  <si>
    <t>b1d75146-xxxx-xxxx-xxxx-ce2966ff4177</t>
  </si>
  <si>
    <t>693d5a09-xxxx-xxxx-xxxx-d68387934146</t>
  </si>
  <si>
    <t>26aa25c3-xxxx-xxxx-xxxx-d463f6f5462a</t>
  </si>
  <si>
    <t>1ae5f93c-xxxx-xxxx-xxxx-06e3840a2d1a</t>
  </si>
  <si>
    <t>44382ee4-xxxx-xxxx-xxxx-17ae9692d3fa</t>
  </si>
  <si>
    <t>6bea1d90-xxxx-xxxx-xxxx-808556a1bda3</t>
  </si>
  <si>
    <t>b91bd19d-xxxx-xxxx-xxxx-9d9d371c546e</t>
  </si>
  <si>
    <t>3b4fbbb5-xxxx-xxxx-xxxx-e25640ff3201</t>
  </si>
  <si>
    <t>e52921e1-xxxx-xxxx-xxxx-1b0cad02a5af</t>
  </si>
  <si>
    <t>edb9db67-xxxx-xxxx-xxxx-3cbb301a58b2</t>
  </si>
  <si>
    <t>6ff24d61-xxxx-xxxx-xxxx-1367f66a1445</t>
  </si>
  <si>
    <t>7f9a078b-xxxx-xxxx-xxxx-94d0c1da5606</t>
  </si>
  <si>
    <t>30581a30-xxxx-xxxx-xxxx-58a3b9d7c6dc</t>
  </si>
  <si>
    <t>4865fe2a-xxxx-xxxx-xxxx-e3d3365aeb81</t>
  </si>
  <si>
    <t>00375d7c-xxxx-xxxx-xxxx-68f023f758bf</t>
  </si>
  <si>
    <t>00cb290d-xxxx-xxxx-xxxx-8b0b33534d4e</t>
  </si>
  <si>
    <t>22666cdc-xxxx-xxxx-xxxx-e9ecb9b85d2b</t>
  </si>
  <si>
    <t>17f35ea0-xxxx-xxxx-xxxx-8e4a01e688f8</t>
  </si>
  <si>
    <t>5ec82461-xxxx-xxxx-xxxx-1e0398feb424</t>
  </si>
  <si>
    <t>658b77a8-xxxx-xxxx-xxxx-5bc3fdf9ebe4</t>
  </si>
  <si>
    <t>176d4070-xxxx-xxxx-xxxx-c33052f80f33</t>
  </si>
  <si>
    <t>50f2ae04-xxxx-xxxx-xxxx-249657c1f4f9</t>
  </si>
  <si>
    <t>6a558e54-xxxx-xxxx-xxxx-66ddfd0b6f87</t>
  </si>
  <si>
    <t>8a6f9f1c-xxxx-xxxx-xxxx-78044d8f454b</t>
  </si>
  <si>
    <t>bbaaa0bf-xxxx-xxxx-xxxx-d6d34a0b5c32</t>
  </si>
  <si>
    <t>16b14a2d-xxxx-xxxx-xxxx-74e6a1ab9730</t>
  </si>
  <si>
    <t>a7d095e5-xxxx-xxxx-xxxx-e35cc93aaf66</t>
  </si>
  <si>
    <t>3d71f78d-xxxx-xxxx-xxxx-9971bc38c94d</t>
  </si>
  <si>
    <t>95f373cd-xxxx-xxxx-xxxx-b3080dbdbd3c</t>
  </si>
  <si>
    <t>06df6604-xxxx-xxxx-xxxx-b6fc4dedd937</t>
  </si>
  <si>
    <t>9df30848-xxxx-xxxx-xxxx-a9a3ecd8eb31</t>
  </si>
  <si>
    <t>71ee4e6c-xxxx-xxxx-xxxx-c8384cbe8adf</t>
  </si>
  <si>
    <t>1a85aa90-xxxx-xxxx-xxxx-0b596be368a0</t>
  </si>
  <si>
    <t>26b18683-xxxx-xxxx-xxxx-535dfb75ea7a</t>
  </si>
  <si>
    <t>1139111f-xxxx-xxxx-xxxx-64ef57d48f21</t>
  </si>
  <si>
    <t>2bd9bc3f-xxxx-xxxx-xxxx-7393c424bbe0</t>
  </si>
  <si>
    <t>39d60869-xxxx-xxxx-xxxx-bd551b44d5df</t>
  </si>
  <si>
    <t>9957f44b-xxxx-xxxx-xxxx-00d8d4163593</t>
  </si>
  <si>
    <t>bd287cb8-xxxx-xxxx-xxxx-438bd6ebb9dd</t>
  </si>
  <si>
    <t>5cfeace2-xxxx-xxxx-xxxx-18af7a6ed469</t>
  </si>
  <si>
    <t>36d48495-xxxx-xxxx-xxxx-1f8534b4636e</t>
  </si>
  <si>
    <t>3cd3d010-xxxx-xxxx-xxxx-d5934709400e</t>
  </si>
  <si>
    <t>49ca34f9-xxxx-xxxx-xxxx-0bac39ad04f1</t>
  </si>
  <si>
    <t>f34d83f6-xxxx-xxxx-xxxx-8217d65f9e21</t>
  </si>
  <si>
    <t>5585cc11-xxxx-xxxx-xxxx-013f21e959ec</t>
  </si>
  <si>
    <t>2b5566b2-xxxx-xxxx-xxxx-5b3bc555c04f</t>
  </si>
  <si>
    <t>de26b3d6-xxxx-xxxx-xxxx-9ee8ce0320f9</t>
  </si>
  <si>
    <t>7cee9c33-xxxx-xxxx-xxxx-535940b66456</t>
  </si>
  <si>
    <t>f93fd73e-xxxx-xxxx-xxxx-d87d1f2c731f</t>
  </si>
  <si>
    <t>4ee6e88b-xxxx-xxxx-xxxx-bdb9001435f6</t>
  </si>
  <si>
    <t>b6b057a1-xxxx-xxxx-xxxx-b2422c47af3f</t>
  </si>
  <si>
    <t>b9f6f0fb-xxxx-xxxx-xxxx-18f4925ac965</t>
  </si>
  <si>
    <t>849f673d-xxxx-xxxx-xxxx-d1debf241747</t>
  </si>
  <si>
    <t>a939837e-xxxx-xxxx-xxxx-cb958a211672</t>
  </si>
  <si>
    <t>8bb5cecd-xxxx-xxxx-xxxx-5a15d797cf39</t>
  </si>
  <si>
    <t>378cd01a-xxxx-xxxx-xxxx-e2d92b8fe417</t>
  </si>
  <si>
    <t>51273943-xxxx-xxxx-xxxx-f4142727d133</t>
  </si>
  <si>
    <t>ce040f88-xxxx-xxxx-xxxx-913f6bba27e2</t>
  </si>
  <si>
    <t>f450f71f-xxxx-xxxx-xxxx-3ec24e35d6d8</t>
  </si>
  <si>
    <t>feb4a3fd-xxxx-xxxx-xxxx-4bdcd0bd8134</t>
  </si>
  <si>
    <t>33f82976-xxxx-xxxx-xxxx-96ddaee2bf53</t>
  </si>
  <si>
    <t>bf079148-xxxx-xxxx-xxxx-1cbb3e26ec51</t>
  </si>
  <si>
    <t>49730886-xxxx-xxxx-xxxx-7ad2a0e5cedf</t>
  </si>
  <si>
    <t>77988048-xxxx-xxxx-xxxx-ca60c72b10d5</t>
  </si>
  <si>
    <t>482fe437-xxxx-xxxx-xxxx-bf458ff4442e</t>
  </si>
  <si>
    <t>310593d9-xxxx-xxxx-xxxx-79229ae66fde</t>
  </si>
  <si>
    <t>8a35eaae-xxxx-xxxx-xxxx-f7c992c92bf5</t>
  </si>
  <si>
    <t>0b4cae5b-xxxx-xxxx-xxxx-5baad13a7ec5</t>
  </si>
  <si>
    <t>3fb56283-xxxx-xxxx-xxxx-fd9a3eba987e</t>
  </si>
  <si>
    <t>bac1d6d4-xxxx-xxxx-xxxx-353d3dec9b42</t>
  </si>
  <si>
    <t>20377ff7-xxxx-xxxx-xxxx-87f2d80060ac</t>
  </si>
  <si>
    <t>f84a8990-xxxx-xxxx-xxxx-3431bd20cc97</t>
  </si>
  <si>
    <t>40d06c81-xxxx-xxxx-xxxx-f87553ed4553</t>
  </si>
  <si>
    <t>743646a6-xxxx-xxxx-xxxx-387525495438</t>
  </si>
  <si>
    <t>37820843-xxxx-xxxx-xxxx-12ee9a670d5b</t>
  </si>
  <si>
    <t>01e1ab4d-xxxx-xxxx-xxxx-aea77723ca99</t>
  </si>
  <si>
    <t>f6967598-xxxx-xxxx-xxxx-56931ccd05f5</t>
  </si>
  <si>
    <t>e29b3b12-xxxx-xxxx-xxxx-97a02b606631</t>
  </si>
  <si>
    <t>76a44b55-xxxx-xxxx-xxxx-6883970d7937</t>
  </si>
  <si>
    <t>3f7f4875-xxxx-xxxx-xxxx-af7ea3985611</t>
  </si>
  <si>
    <t>44170cea-xxxx-xxxx-xxxx-1652ef0ef7a4</t>
  </si>
  <si>
    <t>a6101142-xxxx-xxxx-xxxx-aaa39eba3bf1</t>
  </si>
  <si>
    <t>4970ef91-xxxx-xxxx-xxxx-10d882104d73</t>
  </si>
  <si>
    <t>37cb0ca0-xxxx-xxxx-xxxx-950174ee2929</t>
  </si>
  <si>
    <t>322262b7-xxxx-xxxx-xxxx-d5026c8303e2</t>
  </si>
  <si>
    <t>0fa72f1d-xxxx-xxxx-xxxx-07e647d39dc8</t>
  </si>
  <si>
    <t>f5aaf072-xxxx-xxxx-xxxx-e1a4bb1b16fd</t>
  </si>
  <si>
    <t>fd7af9fc-xxxx-xxxx-xxxx-e69b2bd4435e</t>
  </si>
  <si>
    <t>5062a53b-xxxx-xxxx-xxxx-a1bf0fae0cf9</t>
  </si>
  <si>
    <t>2fa549b0-xxxx-xxxx-xxxx-8c57b64b27cb</t>
  </si>
  <si>
    <t>01ec4672-xxxx-xxxx-xxxx-7fce2ffffc5c</t>
  </si>
  <si>
    <t>f4821b51-xxxx-xxxx-xxxx-ed752b561adc</t>
  </si>
  <si>
    <t>774a8d71-xxxx-xxxx-xxxx-38ba8f4e9b5a</t>
  </si>
  <si>
    <t>f8d6b41f-xxxx-xxxx-xxxx-733dbda1d877</t>
  </si>
  <si>
    <t>4dcdd6e4-xxxx-xxxx-xxxx-d30abd52fd9b</t>
  </si>
  <si>
    <t>edc4bd13-xxxx-xxxx-xxxx-8200fc57d69a</t>
  </si>
  <si>
    <t>35693431-xxxx-xxxx-xxxx-b95e6336bad5</t>
  </si>
  <si>
    <t>dad7e264-xxxx-xxxx-xxxx-14ea09b62cc6</t>
  </si>
  <si>
    <t>4cfbffac-xxxx-xxxx-xxxx-fc3c9bfe457c</t>
  </si>
  <si>
    <t>92ccf174-xxxx-xxxx-xxxx-f041fd11515d</t>
  </si>
  <si>
    <t>fd98fa7a-xxxx-xxxx-xxxx-152705792ffa</t>
  </si>
  <si>
    <t>f323a789-xxxx-xxxx-xxxx-787adf1de3c2</t>
  </si>
  <si>
    <t>879b5698-xxxx-xxxx-xxxx-fd9d29790c50</t>
  </si>
  <si>
    <t>021b508e-xxxx-xxxx-xxxx-1ac231615265</t>
  </si>
  <si>
    <t>d36c1159-xxxx-xxxx-xxxx-c4fb6939d637</t>
  </si>
  <si>
    <t>cfd75d7c-xxxx-xxxx-xxxx-56e0197e9c17</t>
  </si>
  <si>
    <t>628b9b74-xxxx-xxxx-xxxx-d5611d3ce719</t>
  </si>
  <si>
    <t>c3e9566d-xxxx-xxxx-xxxx-4e3682b40caf</t>
  </si>
  <si>
    <t>19ff8c94-xxxx-xxxx-xxxx-c6b12da5ce72</t>
  </si>
  <si>
    <t>6859cf9e-xxxx-xxxx-xxxx-9b0ed82dda21</t>
  </si>
  <si>
    <t>d8ec75ee-xxxx-xxxx-xxxx-22097fd562ea</t>
  </si>
  <si>
    <t>e49bf574-xxxx-xxxx-xxxx-880873bb5f74</t>
  </si>
  <si>
    <t>6053ea9a-xxxx-xxxx-xxxx-47fe11e8a621</t>
  </si>
  <si>
    <t>f080d42c-xxxx-xxxx-xxxx-a79e838a165b</t>
  </si>
  <si>
    <t>17abf70d-xxxx-xxxx-xxxx-acf267bdeaec</t>
  </si>
  <si>
    <t>7039a80d-xxxx-xxxx-xxxx-ee8d0b3c4688</t>
  </si>
  <si>
    <t>52bffd78-xxxx-xxxx-xxxx-97209d013394</t>
  </si>
  <si>
    <t>34fef5b0-xxxx-xxxx-xxxx-bd101b2f5c82</t>
  </si>
  <si>
    <t>3f017465-xxxx-xxxx-xxxx-4aac62ae2f00</t>
  </si>
  <si>
    <t>8f4bd1e2-xxxx-xxxx-xxxx-8156b2cb08e9</t>
  </si>
  <si>
    <t>8cf70d2d-xxxx-xxxx-xxxx-deda8e273227</t>
  </si>
  <si>
    <t>ccaf24c1-xxxx-xxxx-xxxx-246fb6e03001</t>
  </si>
  <si>
    <t>dbb925a4-xxxx-xxxx-xxxx-02a81a0f9035</t>
  </si>
  <si>
    <t>ea2e4da2-xxxx-xxxx-xxxx-c4862b662d07</t>
  </si>
  <si>
    <t>ca05c576-xxxx-xxxx-xxxx-40066cbbce78</t>
  </si>
  <si>
    <t>f52b401b-xxxx-xxxx-xxxx-56ffafe97b2d</t>
  </si>
  <si>
    <t>ee5ca1dc-xxxx-xxxx-xxxx-2e8ecf9db411</t>
  </si>
  <si>
    <t>41904c0f-xxxx-xxxx-xxxx-f236d09a9be8</t>
  </si>
  <si>
    <t>4c2b8240-xxxx-xxxx-xxxx-89d110e8611e</t>
  </si>
  <si>
    <t>19d5dc86-xxxx-xxxx-xxxx-ceb38d8fba2c</t>
  </si>
  <si>
    <t>466b065f-xxxx-xxxx-xxxx-f1624e844e4a</t>
  </si>
  <si>
    <t>dd384469-xxxx-xxxx-xxxx-9c6ef9719be7</t>
  </si>
  <si>
    <t>b0563df0-xxxx-xxxx-xxxx-56764bf31adb</t>
  </si>
  <si>
    <t>aace8bbd-xxxx-xxxx-xxxx-8b42298f4166</t>
  </si>
  <si>
    <t>53a45a1e-xxxx-xxxx-xxxx-29d261d7eebb</t>
  </si>
  <si>
    <t>7e6f6b5b-xxxx-xxxx-xxxx-d6fdcfb7d3da</t>
  </si>
  <si>
    <t>7f66fb8e-xxxx-xxxx-xxxx-317460219ccb</t>
  </si>
  <si>
    <t>6.207E+95-xxxx-xxxx-xxxx-4c853a48b851</t>
  </si>
  <si>
    <t>b39d365d-xxxx-xxxx-xxxx-354979303e0e</t>
  </si>
  <si>
    <t>f734a47c-xxxx-xxxx-xxxx-dc535d783575</t>
  </si>
  <si>
    <t>52804951-xxxx-xxxx-xxxx-e1ae7c3005e3</t>
  </si>
  <si>
    <t>03d6e7ee-xxxx-xxxx-xxxx-66736d7aa0fe</t>
  </si>
  <si>
    <t>a30eb24f-xxxx-xxxx-xxxx-0de142489999</t>
  </si>
  <si>
    <t>334fd134-xxxx-xxxx-xxxx-a5fa9d4eb805</t>
  </si>
  <si>
    <t>143dc078-xxxx-xxxx-xxxx-de2aa940ab35</t>
  </si>
  <si>
    <t>99348d18-xxxx-xxxx-xxxx-2a1f6017876e</t>
  </si>
  <si>
    <t>0f508130-xxxx-xxxx-xxxx-1a7a73d5382c</t>
  </si>
  <si>
    <t>80172899-xxxx-xxxx-xxxx-1f6e30d8b57b</t>
  </si>
  <si>
    <t>1fc11427-xxxx-xxxx-xxxx-4fb0600a09df</t>
  </si>
  <si>
    <t>91cdb558-xxxx-xxxx-xxxx-141f886e41c3</t>
  </si>
  <si>
    <t>b2b9fc04-xxxx-xxxx-xxxx-2668b9a5fed2</t>
  </si>
  <si>
    <t>64147c38-xxxx-xxxx-xxxx-11e5e0b4b23a</t>
  </si>
  <si>
    <t>61500264-xxxx-xxxx-xxxx-22326596f498</t>
  </si>
  <si>
    <t>1909c9d3-xxxx-xxxx-xxxx-160ef6575338</t>
  </si>
  <si>
    <t>9b96fe9a-xxxx-xxxx-xxxx-2b90c0a6f8e3</t>
  </si>
  <si>
    <t>e40a8809-xxxx-xxxx-xxxx-c8814dad13ad</t>
  </si>
  <si>
    <t>ab81355b-xxxx-xxxx-xxxx-ffa6fe0f68dc</t>
  </si>
  <si>
    <t>cbd5876b-xxxx-xxxx-xxxx-98902344531e</t>
  </si>
  <si>
    <t>2140faff-xxxx-xxxx-xxxx-4ede4cb27e28</t>
  </si>
  <si>
    <t>522603d2-xxxx-xxxx-xxxx-35cbd6f06438</t>
  </si>
  <si>
    <t>aea2230f-xxxx-xxxx-xxxx-37b63e4e0b24</t>
  </si>
  <si>
    <t>96159f2c-xxxx-xxxx-xxxx-120736994836</t>
  </si>
  <si>
    <t>39cdc746-xxxx-xxxx-xxxx-a6a79ed9131e</t>
  </si>
  <si>
    <t>da91def9-xxxx-xxxx-xxxx-c050da71a52a</t>
  </si>
  <si>
    <t>376ad522-xxxx-xxxx-xxxx-10eb635e8458</t>
  </si>
  <si>
    <t>ef58c090-xxxx-xxxx-xxxx-ef335ec797bf</t>
  </si>
  <si>
    <t>f9e46044-xxxx-xxxx-xxxx-59bd4f119b0b</t>
  </si>
  <si>
    <t>7192e5ef-xxxx-xxxx-xxxx-9f718ce8e8bf</t>
  </si>
  <si>
    <t>1bd0d2c1-xxxx-xxxx-xxxx-f9cc56abd7a8</t>
  </si>
  <si>
    <t>717a61cd-xxxx-xxxx-xxxx-39720b396fb9</t>
  </si>
  <si>
    <t>cbe950b5-xxxx-xxxx-xxxx-e48d10fd0544</t>
  </si>
  <si>
    <t>f39bedeb-xxxx-xxxx-xxxx-6a15155be44c</t>
  </si>
  <si>
    <t>51cd7e5e-xxxx-xxxx-xxxx-ec371377c06d</t>
  </si>
  <si>
    <t>9ad35b8e-xxxx-xxxx-xxxx-c235576ba2c1</t>
  </si>
  <si>
    <t>04c39702-xxxx-xxxx-xxxx-e9f76b989152</t>
  </si>
  <si>
    <t>053a2d0d-xxxx-xxxx-xxxx-54c2ba561d80</t>
  </si>
  <si>
    <t>4c67153a-xxxx-xxxx-xxxx-d012ee357c5c</t>
  </si>
  <si>
    <t>ab3ef6e5-xxxx-xxxx-xxxx-56d139613c27</t>
  </si>
  <si>
    <t>03f395b2-xxxx-xxxx-xxxx-aecfdb268452</t>
  </si>
  <si>
    <t>696dc8ce-xxxx-xxxx-xxxx-16618d6dd2dc</t>
  </si>
  <si>
    <t>f6b0d9e6-xxxx-xxxx-xxxx-6676ad4ddc2e</t>
  </si>
  <si>
    <t>d07fe18c-xxxx-xxxx-xxxx-ae5b713b0c1f</t>
  </si>
  <si>
    <t>1647c962-xxxx-xxxx-xxxx-3716ec5b4f2c</t>
  </si>
  <si>
    <t>4d678dc3-xxxx-xxxx-xxxx-30d2dad48e0c</t>
  </si>
  <si>
    <t>1dbc9c18-xxxx-xxxx-xxxx-234096c365f7</t>
  </si>
  <si>
    <t>e3d6c010-xxxx-xxxx-xxxx-f299dce6f55a</t>
  </si>
  <si>
    <t>c0b67f20-xxxx-xxxx-xxxx-e5024675c26c</t>
  </si>
  <si>
    <t>895e4059-xxxx-xxxx-xxxx-a07fdfb58450</t>
  </si>
  <si>
    <t>279f4b76-xxxx-xxxx-xxxx-baf0fdc5741c</t>
  </si>
  <si>
    <t>10cc1bc4-xxxx-xxxx-xxxx-53ef6194d9eb</t>
  </si>
  <si>
    <t>fefe0412-xxxx-xxxx-xxxx-e36edffbc6e3</t>
  </si>
  <si>
    <t>e0353aa4-xxxx-xxxx-xxxx-76a156fce2e7</t>
  </si>
  <si>
    <t>b2928d89-xxxx-xxxx-xxxx-70042c22936f</t>
  </si>
  <si>
    <t>7b3e588f-xxxx-xxxx-xxxx-e7666c759de0</t>
  </si>
  <si>
    <t>192a7669-xxxx-xxxx-xxxx-c9abeaa3714c</t>
  </si>
  <si>
    <t>8fef12eb-xxxx-xxxx-xxxx-a9320e4483b7</t>
  </si>
  <si>
    <t>88b501e1-xxxx-xxxx-xxxx-b951c9db22d5</t>
  </si>
  <si>
    <t>4a221286-xxxx-xxxx-xxxx-f136f93be0bc</t>
  </si>
  <si>
    <t>a204795d-xxxx-xxxx-xxxx-2eede130178f</t>
  </si>
  <si>
    <t>b2bc719d-xxxx-xxxx-xxxx-7610e2936e2e</t>
  </si>
  <si>
    <t>1df872d9-xxxx-xxxx-xxxx-eac856bb1415</t>
  </si>
  <si>
    <t>940f2486-xxxx-xxxx-xxxx-d33f968106e6</t>
  </si>
  <si>
    <t>529b1425-xxxx-xxxx-xxxx-e080b6a552a2</t>
  </si>
  <si>
    <t>405a020f-xxxx-xxxx-xxxx-b3e4941a1f83</t>
  </si>
  <si>
    <t>eecd9f22-xxxx-xxxx-xxxx-817271751f53</t>
  </si>
  <si>
    <t>b62904cf-xxxx-xxxx-xxxx-274ecc79925c</t>
  </si>
  <si>
    <t>f2307ee5-xxxx-xxxx-xxxx-2feebe98f2af</t>
  </si>
  <si>
    <t>7e2dbd0d-xxxx-xxxx-xxxx-0ea9ee8fa178</t>
  </si>
  <si>
    <t>5b60773f-xxxx-xxxx-xxxx-d7d316b0d580</t>
  </si>
  <si>
    <t>d8db5c4d-xxxx-xxxx-xxxx-2f2ffdddad39</t>
  </si>
  <si>
    <t>26693782-xxxx-xxxx-xxxx-c949c4c256b8</t>
  </si>
  <si>
    <t>df6b7332-xxxx-xxxx-xxxx-c0b2922db362</t>
  </si>
  <si>
    <t>0cc9ac2d-xxxx-xxxx-xxxx-966d406c9103</t>
  </si>
  <si>
    <t>4faec6ce-xxxx-xxxx-xxxx-bda239298ebe</t>
  </si>
  <si>
    <t>b7652f95-xxxx-xxxx-xxxx-dff0c1e3d3d8</t>
  </si>
  <si>
    <t>7e4d2a40-xxxx-xxxx-xxxx-18cb7867a8b4</t>
  </si>
  <si>
    <t>a9d77ef1-xxxx-xxxx-xxxx-2a747e3e9eb6</t>
  </si>
  <si>
    <t>43c92f53-xxxx-xxxx-xxxx-9aaa9e7dc077</t>
  </si>
  <si>
    <t>e4edf85f-xxxx-xxxx-xxxx-84a4a54d6bc8</t>
  </si>
  <si>
    <t>ba1fa589-xxxx-xxxx-xxxx-edd351bb968b</t>
  </si>
  <si>
    <t>986a662d-xxxx-xxxx-xxxx-b0a1ab4780dd</t>
  </si>
  <si>
    <t>76933c72-xxxx-xxxx-xxxx-69e525cbf699</t>
  </si>
  <si>
    <t>594005a9-xxxx-xxxx-xxxx-9326ba7be9a9</t>
  </si>
  <si>
    <t>c8eba0b5-xxxx-xxxx-xxxx-433778de1d1e</t>
  </si>
  <si>
    <t>021d16cd-xxxx-xxxx-xxxx-2e54edb338d0</t>
  </si>
  <si>
    <t>a3ac6882-xxxx-xxxx-xxxx-2ca74872d639</t>
  </si>
  <si>
    <t>9af4457d-xxxx-xxxx-xxxx-589184344dfc</t>
  </si>
  <si>
    <t>f8ebd45e-xxxx-xxxx-xxxx-bdc4e4800810</t>
  </si>
  <si>
    <t>1adf3a8d-xxxx-xxxx-xxxx-343e32839a4f</t>
  </si>
  <si>
    <t>c6ec7f05-xxxx-xxxx-xxxx-0f6f2fa3c848</t>
  </si>
  <si>
    <t>e305c00a-xxxx-xxxx-xxxx-2f60729639ab</t>
  </si>
  <si>
    <t>5c543e87-xxxx-xxxx-xxxx-cf6a87ce8692</t>
  </si>
  <si>
    <t>2c316f30-xxxx-xxxx-xxxx-196aea42301c</t>
  </si>
  <si>
    <t>faf581a8-xxxx-xxxx-xxxx-be725bb079da</t>
  </si>
  <si>
    <t>d8c76434-xxxx-xxxx-xxxx-51c46ca768ca</t>
  </si>
  <si>
    <t>46dd548b-xxxx-xxxx-xxxx-ff2bcab1e7e8</t>
  </si>
  <si>
    <t>cfee25e6-xxxx-xxxx-xxxx-355a321d954c</t>
  </si>
  <si>
    <t>6198c668-xxxx-xxxx-xxxx-e27700231aa6</t>
  </si>
  <si>
    <t>agoda-xxxx-xxxx-xxxx-</t>
  </si>
  <si>
    <t>972a9d86-xxxx-xxxx-xxxx-3fdc3e60d05e</t>
  </si>
  <si>
    <t>d87290a2-xxxx-xxxx-xxxx-3d727ea98777</t>
  </si>
  <si>
    <t>e834b960-xxxx-xxxx-xxxx-71eef7492580</t>
  </si>
  <si>
    <t>5b339ffe-xxxx-xxxx-xxxx-02b1b66d59af</t>
  </si>
  <si>
    <t>7dcbf0c5-xxxx-xxxx-xxxx-2639e4133727</t>
  </si>
  <si>
    <t>09eb9b9c-xxxx-xxxx-xxxx-7937aea05c6c</t>
  </si>
  <si>
    <t>333b4e0d-xxxx-xxxx-xxxx-25eeeda1f1d4</t>
  </si>
  <si>
    <t>26500291-xxxx-xxxx-xxxx-09f4a70aec75</t>
  </si>
  <si>
    <t>e2ed8602-xxxx-xxxx-xxxx-b59514065fc8</t>
  </si>
  <si>
    <t>44e193e0-xxxx-xxxx-xxxx-ac713856b48f</t>
  </si>
  <si>
    <t>bb962b14-xxxx-xxxx-xxxx-b15a2c0d1308</t>
  </si>
  <si>
    <t>093eede5-xxxx-xxxx-xxxx-29bb92910bc6</t>
  </si>
  <si>
    <t>2da37836-xxxx-xxxx-xxxx-640e6e3d263e</t>
  </si>
  <si>
    <t>b34bf4dd-xxxx-xxxx-xxxx-41f3da992165</t>
  </si>
  <si>
    <t>11657b7e-xxxx-xxxx-xxxx-bf73a97d030b</t>
  </si>
  <si>
    <t>135acea5-xxxx-xxxx-xxxx-38d413453206</t>
  </si>
  <si>
    <t>ab36a769-xxxx-xxxx-xxxx-d44bf52ee0be</t>
  </si>
  <si>
    <t>04b6fd67-xxxx-xxxx-xxxx-3fffbf647202</t>
  </si>
  <si>
    <t>74ea8052-xxxx-xxxx-xxxx-bef0f858195f</t>
  </si>
  <si>
    <t>72fdc22e-xxxx-xxxx-xxxx-73094a047c0d</t>
  </si>
  <si>
    <t>a76e126c-xxxx-xxxx-xxxx-4b07982a3113</t>
  </si>
  <si>
    <t>5d760eba-xxxx-xxxx-xxxx-7d1210e0bd07</t>
  </si>
  <si>
    <t>0d35be1b-xxxx-xxxx-xxxx-5fba34bd8cfb</t>
  </si>
  <si>
    <t>31148700-xxxx-xxxx-xxxx-f937028fd094</t>
  </si>
  <si>
    <t>7f4bf3ec-xxxx-xxxx-xxxx-d49ba552ef2e</t>
  </si>
  <si>
    <t>ae09ed99-xxxx-xxxx-xxxx-1837038fbb0a</t>
  </si>
  <si>
    <t>2f4e933e-xxxx-xxxx-xxxx-6e5f26bfce98</t>
  </si>
  <si>
    <t>20e01009-xxxx-xxxx-xxxx-3ad8d0d9ae57</t>
  </si>
  <si>
    <t>046358de-xxxx-xxxx-xxxx-201afc9d89b8</t>
  </si>
  <si>
    <t>8b21f819-xxxx-xxxx-xxxx-d317a58f8d63</t>
  </si>
  <si>
    <t>f7fbd7b0-xxxx-xxxx-xxxx-0561312e0a83</t>
  </si>
  <si>
    <t>13b1c8c7-xxxx-xxxx-xxxx-bb9c6f47aad6</t>
  </si>
  <si>
    <t>929b81a2-xxxx-xxxx-xxxx-af4a7550cd7f</t>
  </si>
  <si>
    <t>0d4abc79-xxxx-xxxx-xxxx-ed2b325e1fbb</t>
  </si>
  <si>
    <t>8b5bb7af-xxxx-xxxx-xxxx-3bd77507671c</t>
  </si>
  <si>
    <t>1d7958c7-xxxx-xxxx-xxxx-07ab558a94b7</t>
  </si>
  <si>
    <t>090b6290-xxxx-xxxx-xxxx-cc19db512ce6</t>
  </si>
  <si>
    <t>f248e0a2-xxxx-xxxx-xxxx-2e11cc14302a</t>
  </si>
  <si>
    <t>caca61e2-xxxx-xxxx-xxxx-82ccbb899f0d</t>
  </si>
  <si>
    <t>9ca8215a-xxxx-xxxx-xxxx-8e7ef43ff941</t>
  </si>
  <si>
    <t>38cfb08b-xxxx-xxxx-xxxx-1b5a9e71dac9</t>
  </si>
  <si>
    <t>9a7218b8-xxxx-xxxx-xxxx-5bff452c091b</t>
  </si>
  <si>
    <t>9cc1e625-xxxx-xxxx-xxxx-e51543a3ec87</t>
  </si>
  <si>
    <t>418ca849-xxxx-xxxx-xxxx-be7f25b0102c</t>
  </si>
  <si>
    <t>b7521b95-xxxx-xxxx-xxxx-6b3a1945abdc</t>
  </si>
  <si>
    <t>d72cdd1c-xxxx-xxxx-xxxx-e6da9088648e</t>
  </si>
  <si>
    <t>19f1211c-xxxx-xxxx-xxxx-8669bfecbd13</t>
  </si>
  <si>
    <t>5219d7d5-xxxx-xxxx-xxxx-7f8c673a2e87</t>
  </si>
  <si>
    <t>1cd3f5fe-xxxx-xxxx-xxxx-2857056838fe</t>
  </si>
  <si>
    <t>2654d55f-xxxx-xxxx-xxxx-a9464f7d5758</t>
  </si>
  <si>
    <t>3d26253a-xxxx-xxxx-xxxx-2902105ad946</t>
  </si>
  <si>
    <t>5fa8dc4d-xxxx-xxxx-xxxx-33a3c38187c4</t>
  </si>
  <si>
    <t>aedbc972-xxxx-xxxx-xxxx-ca999a6c49df</t>
  </si>
  <si>
    <t>445a3f8e-xxxx-xxxx-xxxx-65b6632b1ae1</t>
  </si>
  <si>
    <t>b9cb56f5-xxxx-xxxx-xxxx-6b67ebbc029d</t>
  </si>
  <si>
    <t>4b83cb32-xxxx-xxxx-xxxx-24066d63b67d</t>
  </si>
  <si>
    <t>4005ffb6-xxxx-xxxx-xxxx-4c894acc166c</t>
  </si>
  <si>
    <t>9a0a70b4-xxxx-xxxx-xxxx-476b4f9d27ab</t>
  </si>
  <si>
    <t>54e8d59c-xxxx-xxxx-xxxx-17df3ef4b571</t>
  </si>
  <si>
    <t>e4078346-xxxx-xxxx-xxxx-0f7b3a823617</t>
  </si>
  <si>
    <t>205eff0b-xxxx-xxxx-xxxx-155a117aa649</t>
  </si>
  <si>
    <t>456c1e98-xxxx-xxxx-xxxx-dea4d5ea4a73</t>
  </si>
  <si>
    <t>06057f18-xxxx-xxxx-xxxx-dff1c8061b36</t>
  </si>
  <si>
    <t>2d190e7f-xxxx-xxxx-xxxx-9e84e3898372</t>
  </si>
  <si>
    <t>0c6f589f-xxxx-xxxx-xxxx-d602bf3c9604</t>
  </si>
  <si>
    <t>8ec5b49d-xxxx-xxxx-xxxx-7a9489356428</t>
  </si>
  <si>
    <t>2b31383f-xxxx-xxxx-xxxx-4cf703bc5d23</t>
  </si>
  <si>
    <t>c75da38e-xxxx-xxxx-xxxx-2ebf885bd173</t>
  </si>
  <si>
    <t>8d8b0e1c-xxxx-xxxx-xxxx-9469c10c71ff</t>
  </si>
  <si>
    <t>cc115bcc-xxxx-xxxx-xxxx-9c8adcc8e31e</t>
  </si>
  <si>
    <t>3672b684-xxxx-xxxx-xxxx-4dcc9ea09b88</t>
  </si>
  <si>
    <t>60a817bb-xxxx-xxxx-xxxx-5a395e048601</t>
  </si>
  <si>
    <t>75ced292-xxxx-xxxx-xxxx-39f6d8da906c</t>
  </si>
  <si>
    <t>68f7d07f-xxxx-xxxx-xxxx-c729ef9cfe0b</t>
  </si>
  <si>
    <t>93325900-xxxx-xxxx-xxxx-c26577d74957</t>
  </si>
  <si>
    <t>bd5ce795-xxxx-xxxx-xxxx-c79829b7dfc9</t>
  </si>
  <si>
    <t>44fd9c1e-xxxx-xxxx-xxxx-a452af71e005</t>
  </si>
  <si>
    <t>bbb5c51f-xxxx-xxxx-xxxx-f12e0d4ab551</t>
  </si>
  <si>
    <t>d6199663-xxxx-xxxx-xxxx-1de40fa02abc</t>
  </si>
  <si>
    <t>d45e2846-xxxx-xxxx-xxxx-84efbb616ecf</t>
  </si>
  <si>
    <t>f864685e-xxxx-xxxx-xxxx-07002c002b20</t>
  </si>
  <si>
    <t>b15c1aab-xxxx-xxxx-xxxx-3409f7a9c543</t>
  </si>
  <si>
    <t>a61367d4-xxxx-xxxx-xxxx-2c2951b95c83</t>
  </si>
  <si>
    <t>9047aa5c-xxxx-xxxx-xxxx-df061a8c2307</t>
  </si>
  <si>
    <t>873e8305-xxxx-xxxx-xxxx-c61956016d8e</t>
  </si>
  <si>
    <t>5add42bc-xxxx-xxxx-xxxx-93e8570f9850</t>
  </si>
  <si>
    <t>c23f3e0d-xxxx-xxxx-xxxx-aab35b313e33</t>
  </si>
  <si>
    <t>8a5f526d-xxxx-xxxx-xxxx-a30615a847be</t>
  </si>
  <si>
    <t>fc884452-xxxx-xxxx-xxxx-94f12a894653</t>
  </si>
  <si>
    <t>61bb831f-xxxx-xxxx-xxxx-2b70f150c717</t>
  </si>
  <si>
    <t>94453c54-xxxx-xxxx-xxxx-42c3ff78acba</t>
  </si>
  <si>
    <t>8b03c2bf-xxxx-xxxx-xxxx-fd2cdbd3981d</t>
  </si>
  <si>
    <t>50ef12ff-xxxx-xxxx-xxxx-243e67cd1b54</t>
  </si>
  <si>
    <t>3db81a98-xxxx-xxxx-xxxx-b0b9a151da91</t>
  </si>
  <si>
    <t>e822abb8-xxxx-xxxx-xxxx-187b955c0b08</t>
  </si>
  <si>
    <t>41213fa5-xxxx-xxxx-xxxx-0c0f3917473f</t>
  </si>
  <si>
    <t>fb6f9570-xxxx-xxxx-xxxx-a30caaa59881</t>
  </si>
  <si>
    <t>980d5738-xxxx-xxxx-xxxx-53ed909e0855</t>
  </si>
  <si>
    <t>5a684f2f-xxxx-xxxx-xxxx-24be2918ca42</t>
  </si>
  <si>
    <t>bd78b1d6-xxxx-xxxx-xxxx-6d891d2f73d2</t>
  </si>
  <si>
    <t>9ef98718-xxxx-xxxx-xxxx-9ca3b7f9e91c</t>
  </si>
  <si>
    <t>3e4143c7-xxxx-xxxx-xxxx-cb8400e12a46</t>
  </si>
  <si>
    <t>e59ec803-xxxx-xxxx-xxxx-1cf485c961b7</t>
  </si>
  <si>
    <t>c3cd3c1a-xxxx-xxxx-xxxx-84d7812a4096</t>
  </si>
  <si>
    <t>703f1cfd-xxxx-xxxx-xxxx-61b59fb95c0e</t>
  </si>
  <si>
    <t>74354b1c-xxxx-xxxx-xxxx-79181d5345bc</t>
  </si>
  <si>
    <t>509d360f-xxxx-xxxx-xxxx-61243d692647</t>
  </si>
  <si>
    <t>97b2dba5-xxxx-xxxx-xxxx-4da6f14dde4d</t>
  </si>
  <si>
    <t>004f35be-xxxx-xxxx-xxxx-53570929708b</t>
  </si>
  <si>
    <t>c0cfce72-xxxx-xxxx-xxxx-d16b4420cfea</t>
  </si>
  <si>
    <t>83095f65-xxxx-xxxx-xxxx-81b479dc76a6</t>
  </si>
  <si>
    <t>3d77feaa-xxxx-xxxx-xxxx-6d164ec35d13</t>
  </si>
  <si>
    <t>d886b2f5-xxxx-xxxx-xxxx-1c82d3a847dc</t>
  </si>
  <si>
    <t>6b7a25ea-xxxx-xxxx-xxxx-789d6a0c51f3</t>
  </si>
  <si>
    <t>0dc45b1d-xxxx-xxxx-xxxx-25b18eb88ae1</t>
  </si>
  <si>
    <t>e4c7829f-xxxx-xxxx-xxxx-70d8f044dc2d</t>
  </si>
  <si>
    <t>de9bbdec-xxxx-xxxx-xxxx-699101ca5ad9</t>
  </si>
  <si>
    <t>50e32fb9-xxxx-xxxx-xxxx-150d9ff23536</t>
  </si>
  <si>
    <t>f1203fee-xxxx-xxxx-xxxx-e8b7999e5481</t>
  </si>
  <si>
    <t>2b02115e-xxxx-xxxx-xxxx-7f7249bd002f</t>
  </si>
  <si>
    <t>d892c098-xxxx-xxxx-xxxx-216a9491e460</t>
  </si>
  <si>
    <t>d3a7e511-xxxx-xxxx-xxxx-971e0faeab6a</t>
  </si>
  <si>
    <t>22857960-xxxx-xxxx-xxxx-9a0c97a6025c</t>
  </si>
  <si>
    <t>a0569dcb-xxxx-xxxx-xxxx-6cc1eabfd692</t>
  </si>
  <si>
    <t>717cba4e-xxxx-xxxx-xxxx-dc8e430e8394</t>
  </si>
  <si>
    <t>a3ad38b4-xxxx-xxxx-xxxx-2a0ee7ac4d79</t>
  </si>
  <si>
    <t>6bb4ff99-xxxx-xxxx-xxxx-f7ca9710ae22</t>
  </si>
  <si>
    <t>2831edd1-xxxx-xxxx-xxxx-5a756bcf5cf4</t>
  </si>
  <si>
    <t>80b39a1a-xxxx-xxxx-xxxx-4368a1cddd6e</t>
  </si>
  <si>
    <t>4dcf4b95-xxxx-xxxx-xxxx-21e67d9bc666</t>
  </si>
  <si>
    <t>85ebee9d-xxxx-xxxx-xxxx-3387d5363e2a</t>
  </si>
  <si>
    <t>dc15329e-xxxx-xxxx-xxxx-8c20240f1952</t>
  </si>
  <si>
    <t>e1b59c80-xxxx-xxxx-xxxx-1cb978154185</t>
  </si>
  <si>
    <t>c85d1867-xxxx-xxxx-xxxx-11789558a48b</t>
  </si>
  <si>
    <t>ad0390b4-xxxx-xxxx-xxxx-0b3a5b7092f5</t>
  </si>
  <si>
    <t>471315f5-xxxx-xxxx-xxxx-5c5dccdefed3</t>
  </si>
  <si>
    <t>4f19cdab-xxxx-xxxx-xxxx-df105fdfd1e8</t>
  </si>
  <si>
    <t>ebfccced-xxxx-xxxx-xxxx-b0b7a543e6e3</t>
  </si>
  <si>
    <t>84583bad-xxxx-xxxx-xxxx-103bd5f50f4f</t>
  </si>
  <si>
    <t>9aa9b8de-xxxx-xxxx-xxxx-e6abe2b641b0</t>
  </si>
  <si>
    <t>58b9d273-xxxx-xxxx-xxxx-f9a4ce1c591a</t>
  </si>
  <si>
    <t>fef38564-xxxx-xxxx-xxxx-f941d2ee6ac2</t>
  </si>
  <si>
    <t>e3463186-xxxx-xxxx-xxxx-bda3034c6713</t>
  </si>
  <si>
    <t>a1421fac-xxxx-xxxx-xxxx-63b4466f08a2</t>
  </si>
  <si>
    <t>eb6af945-xxxx-xxxx-xxxx-d8ed47668e22</t>
  </si>
  <si>
    <t>9045df5d-xxxx-xxxx-xxxx-b28c3c93ba9a</t>
  </si>
  <si>
    <t>4cfba084-xxxx-xxxx-xxxx-17c967739df1</t>
  </si>
  <si>
    <t>598b2030-xxxx-xxxx-xxxx-1fc7325ff41d</t>
  </si>
  <si>
    <t>294b263e-xxxx-xxxx-xxxx-e59dc2c2418e</t>
  </si>
  <si>
    <t>e7343e03-xxxx-xxxx-xxxx-6f4bbe87589e</t>
  </si>
  <si>
    <t>d7e7d3fc-xxxx-xxxx-xxxx-388a094e0c49</t>
  </si>
  <si>
    <t>fc9be1fe-xxxx-xxxx-xxxx-5bd0b03217ed</t>
  </si>
  <si>
    <t>af0bea22-xxxx-xxxx-xxxx-4e5d033941bc</t>
  </si>
  <si>
    <t>c01735dc-xxxx-xxxx-xxxx-3f59968edb27</t>
  </si>
  <si>
    <t>0a9609ca-xxxx-xxxx-xxxx-407498ced461</t>
  </si>
  <si>
    <t>0113472c-xxxx-xxxx-xxxx-1b2b2c1c2dc9</t>
  </si>
  <si>
    <t>bc2ad880-xxxx-xxxx-xxxx-2f1f0f48db49</t>
  </si>
  <si>
    <t>24fd41ed-xxxx-xxxx-xxxx-f5a906f42a4b</t>
  </si>
  <si>
    <t>363692b3-xxxx-xxxx-xxxx-09b8a0b36b19</t>
  </si>
  <si>
    <t>b4893d52-xxxx-xxxx-xxxx-6e03cd9a1a3f</t>
  </si>
  <si>
    <t>5f26a344-xxxx-xxxx-xxxx-8d9ab1858084</t>
  </si>
  <si>
    <t>f1747aa4-xxxx-xxxx-xxxx-30a3ca80dd62</t>
  </si>
  <si>
    <t>ae4bc237-xxxx-xxxx-xxxx-68400d15cad0</t>
  </si>
  <si>
    <t>f938f131-xxxx-xxxx-xxxx-05d965dc1131</t>
  </si>
  <si>
    <t>69ddd108-xxxx-xxxx-xxxx-57d69a590d3f</t>
  </si>
  <si>
    <t>fef6e65f-xxxx-xxxx-xxxx-1f47ba01398e</t>
  </si>
  <si>
    <t>c4c9f4c4-xxxx-xxxx-xxxx-0a7e6a5f5d47</t>
  </si>
  <si>
    <t>99557bfc-xxxx-xxxx-xxxx-2accbc9c7723</t>
  </si>
  <si>
    <t>6ac41bbd-xxxx-xxxx-xxxx-2be66908dfd8</t>
  </si>
  <si>
    <t>f17bae38-xxxx-xxxx-xxxx-b0241886fa0d</t>
  </si>
  <si>
    <t>502533bb-xxxx-xxxx-xxxx-bdffa59be3a1</t>
  </si>
  <si>
    <t>83413db9-xxxx-xxxx-xxxx-94f7c4020464</t>
  </si>
  <si>
    <t>c4c9ecc1-xxxx-xxxx-xxxx-5aaebdad97d7</t>
  </si>
  <si>
    <t>0001177f-xxxx-xxxx-xxxx-294974c70b9f</t>
  </si>
  <si>
    <t>2447d17f-xxxx-xxxx-xxxx-96448963e554</t>
  </si>
  <si>
    <t>e2f162b1-xxxx-xxxx-xxxx-65adbe9c3a02</t>
  </si>
  <si>
    <t>434c14f1-xxxx-xxxx-xxxx-40789e8dd796</t>
  </si>
  <si>
    <t>83a1e8d0-xxxx-xxxx-xxxx-bce90c5efac0</t>
  </si>
  <si>
    <t>1a012c53-xxxx-xxxx-xxxx-7dc8e1a9dce6</t>
  </si>
  <si>
    <t>29a515c2-xxxx-xxxx-xxxx-bb9b0df4e0a9</t>
  </si>
  <si>
    <t>4a275b5a-xxxx-xxxx-xxxx-90e740fced64</t>
  </si>
  <si>
    <t>643d3a38-xxxx-xxxx-xxxx-d1f319319b54</t>
  </si>
  <si>
    <t>4bd378f6-xxxx-xxxx-xxxx-21a3ea9878ae</t>
  </si>
  <si>
    <t>ba8277bc-xxxx-xxxx-xxxx-9c5cd4190ec3</t>
  </si>
  <si>
    <t>7c2f5df4-xxxx-xxxx-xxxx-a4aee21c7fbd</t>
  </si>
  <si>
    <t>478aca11-xxxx-xxxx-xxxx-cd315673135c</t>
  </si>
  <si>
    <t>f28a6d82-xxxx-xxxx-xxxx-437e67577bf5</t>
  </si>
  <si>
    <t>907d8e68-xxxx-xxxx-xxxx-ed63dc3a1bac</t>
  </si>
  <si>
    <t>862b5cb2-xxxx-xxxx-xxxx-b89908d1d78d</t>
  </si>
  <si>
    <t>e04ba60f-xxxx-xxxx-xxxx-2c062697465b</t>
  </si>
  <si>
    <t>9c8654af-xxxx-xxxx-xxxx-972a4ff4f712</t>
  </si>
  <si>
    <t>e923c8d6-xxxx-xxxx-xxxx-a6a5204b6779</t>
  </si>
  <si>
    <t>dd9d5c71-xxxx-xxxx-xxxx-32ebe273358f</t>
  </si>
  <si>
    <t>dc5cfd7d-xxxx-xxxx-xxxx-ba019bd646a3</t>
  </si>
  <si>
    <t>19d5dd6e-xxxx-xxxx-xxxx-a200973be1b5</t>
  </si>
  <si>
    <t>ff755df8-xxxx-xxxx-xxxx-e2cc00d08803</t>
  </si>
  <si>
    <t>e43dcc54-xxxx-xxxx-xxxx-50961152cee3</t>
  </si>
  <si>
    <t>20baaad3-xxxx-xxxx-xxxx-886edd26ac4c</t>
  </si>
  <si>
    <t>9fb22fbc-xxxx-xxxx-xxxx-d5643655e0fa</t>
  </si>
  <si>
    <t>3da81943-xxxx-xxxx-xxxx-8a9b284eb39f</t>
  </si>
  <si>
    <t>546f6d37-xxxx-xxxx-xxxx-7f80669794b6</t>
  </si>
  <si>
    <t>62c92ec1-xxxx-xxxx-xxxx-7ed65a4b3ac9</t>
  </si>
  <si>
    <t>d825d594-xxxx-xxxx-xxxx-469e28bc62e7</t>
  </si>
  <si>
    <t>415ea578-xxxx-xxxx-xxxx-fc311156f4c3</t>
  </si>
  <si>
    <t>cf872ea7-xxxx-xxxx-xxxx-1a9149bff946</t>
  </si>
  <si>
    <t>b038345f-xxxx-xxxx-xxxx-d0ea2678abbd</t>
  </si>
  <si>
    <t>14b09cbe-xxxx-xxxx-xxxx-c2706bbadbe4</t>
  </si>
  <si>
    <t>5e1f00c3-xxxx-xxxx-xxxx-de3bee9914d1</t>
  </si>
  <si>
    <t>1d1f3c13-xxxx-xxxx-xxxx-1a1ff784fa5a</t>
  </si>
  <si>
    <t>996a696e-xxxx-xxxx-xxxx-61462d246326</t>
  </si>
  <si>
    <t>b32f847b-xxxx-xxxx-xxxx-73e800d604eb</t>
  </si>
  <si>
    <t>14b1e3de-xxxx-xxxx-xxxx-4209ae68832c</t>
  </si>
  <si>
    <t>e7a00ff3-xxxx-xxxx-xxxx-46b867ac10a4</t>
  </si>
  <si>
    <t>b76f59eb-xxxx-xxxx-xxxx-981ce9f2790a</t>
  </si>
  <si>
    <t>e2b70b2e-xxxx-xxxx-xxxx-2e13d7a52ebf</t>
  </si>
  <si>
    <t>266d874e-xxxx-xxxx-xxxx-b172d7bca9ec</t>
  </si>
  <si>
    <t>16b64172-xxxx-xxxx-xxxx-170b60b02838</t>
  </si>
  <si>
    <t>d66e7a8c-xxxx-xxxx-xxxx-90029fd66361</t>
  </si>
  <si>
    <t>ad982d66-xxxx-xxxx-xxxx-255b08f8c9af</t>
  </si>
  <si>
    <t>55144c42-xxxx-xxxx-xxxx-158ba2420f0d</t>
  </si>
  <si>
    <t>bb942dfd-xxxx-xxxx-xxxx-1cd2b8d31d1f</t>
  </si>
  <si>
    <t>7d6511bc-xxxx-xxxx-xxxx-27c657f0328e</t>
  </si>
  <si>
    <t>806363dc-xxxx-xxxx-xxxx-9083523a5ef9</t>
  </si>
  <si>
    <t>898be4df-xxxx-xxxx-xxxx-383ecb1b2876</t>
  </si>
  <si>
    <t>7b6890d2-xxxx-xxxx-xxxx-65f06405f56e</t>
  </si>
  <si>
    <t>eba63270-xxxx-xxxx-xxxx-78f1584792c1</t>
  </si>
  <si>
    <t>b6117d89-xxxx-xxxx-xxxx-d060ae443dde</t>
  </si>
  <si>
    <t>508fc9e9-xxxx-xxxx-xxxx-f5568aef19a8</t>
  </si>
  <si>
    <t>4fa64751-xxxx-xxxx-xxxx-9d55cfaee39f</t>
  </si>
  <si>
    <t>fae51985-xxxx-xxxx-xxxx-3e9c6f26e470</t>
  </si>
  <si>
    <t>c9abdf3b-xxxx-xxxx-xxxx-0335fb3a1a45</t>
  </si>
  <si>
    <t>0367f9d0-xxxx-xxxx-xxxx-74469c4088f9</t>
  </si>
  <si>
    <t>18ca408c-xxxx-xxxx-xxxx-c43b9493a81a</t>
  </si>
  <si>
    <t>5d877a27-xxxx-xxxx-xxxx-7fb0a968bdde</t>
  </si>
  <si>
    <t>69311fc6-xxxx-xxxx-xxxx-00f475831cdf</t>
  </si>
  <si>
    <t>f0293fd7-xxxx-xxxx-xxxx-008fcc103e38</t>
  </si>
  <si>
    <t>e0aeefc8-xxxx-xxxx-xxxx-f9f41c3391d5</t>
  </si>
  <si>
    <t>e4169443-xxxx-xxxx-xxxx-4712f41010f5</t>
  </si>
  <si>
    <t>52510b39-xxxx-xxxx-xxxx-72bc3d4efa8a</t>
  </si>
  <si>
    <t>1360cd1d-xxxx-xxxx-xxxx-4adda567a8dd</t>
  </si>
  <si>
    <t>4cf575dc-xxxx-xxxx-xxxx-ef09a0ea277b</t>
  </si>
  <si>
    <t>3e5150f7-xxxx-xxxx-xxxx-0719f18d3c31</t>
  </si>
  <si>
    <t>a967defb-xxxx-xxxx-xxxx-9661de16f628</t>
  </si>
  <si>
    <t>699bc1c6-xxxx-xxxx-xxxx-ebbcbcf3169f</t>
  </si>
  <si>
    <t>78a7bade-xxxx-xxxx-xxxx-ee299016ff40</t>
  </si>
  <si>
    <t>eb335e19-xxxx-xxxx-xxxx-744be2073dda</t>
  </si>
  <si>
    <t>3e578ac5-xxxx-xxxx-xxxx-4a109450b2c7</t>
  </si>
  <si>
    <t>e8ce0a8c-xxxx-xxxx-xxxx-231078ba455c</t>
  </si>
  <si>
    <t>ecef28de-xxxx-xxxx-xxxx-456e11cc2b41</t>
  </si>
  <si>
    <t>1e5ac3af-xxxx-xxxx-xxxx-3b147c5cd19d</t>
  </si>
  <si>
    <t>4767890c-xxxx-xxxx-xxxx-9d4892fa8cf8</t>
  </si>
  <si>
    <t>b62f157f-xxxx-xxxx-xxxx-199054df4a8d</t>
  </si>
  <si>
    <t>d4c5ea34-xxxx-xxxx-xxxx-dd951802378a</t>
  </si>
  <si>
    <t>002f605f-xxxx-xxxx-xxxx-79763223b70d</t>
  </si>
  <si>
    <t>a9fc711d-xxxx-xxxx-xxxx-bcf28fbe9e0d</t>
  </si>
  <si>
    <t>0d46b6c4-xxxx-xxxx-xxxx-387f5e93e68f</t>
  </si>
  <si>
    <t>ee33521d-xxxx-xxxx-xxxx-a43f15151adb</t>
  </si>
  <si>
    <t>96bad0b1-xxxx-xxxx-xxxx-a9a6e8ca9ea5</t>
  </si>
  <si>
    <t>fb480354-xxxx-xxxx-xxxx-824f4588d5c2</t>
  </si>
  <si>
    <t>0613d0f5-xxxx-xxxx-xxxx-86479ccd1eb7</t>
  </si>
  <si>
    <t>3f0ea308-xxxx-xxxx-xxxx-75e907c01f1d</t>
  </si>
  <si>
    <t>b30a8415-xxxx-xxxx-xxxx-a66daa3f5e8e</t>
  </si>
  <si>
    <t>39cc6757-xxxx-xxxx-xxxx-f7b5e19f2586</t>
  </si>
  <si>
    <t>8659bbe2-xxxx-xxxx-xxxx-ac9589af9bd1</t>
  </si>
  <si>
    <t>bd953667-xxxx-xxxx-xxxx-87e86fc25190</t>
  </si>
  <si>
    <t>bfd151ce-xxxx-xxxx-xxxx-ed772048593c</t>
  </si>
  <si>
    <t>8d9af14d-xxxx-xxxx-xxxx-9992d8954e10</t>
  </si>
  <si>
    <t>0376c568-xxxx-xxxx-xxxx-b2d824eae29c</t>
  </si>
  <si>
    <t>f1c28ee7-xxxx-xxxx-xxxx-9fb70878f97c</t>
  </si>
  <si>
    <t>7cace548-xxxx-xxxx-xxxx-f4b6353179d6</t>
  </si>
  <si>
    <t>5fc32fe3-xxxx-xxxx-xxxx-b91746df7ad5</t>
  </si>
  <si>
    <t>b01e5205-xxxx-xxxx-xxxx-d4d95743ebf7</t>
  </si>
  <si>
    <t>76805e1d-xxxx-xxxx-xxxx-a9bc43966c59</t>
  </si>
  <si>
    <t>365944cc-xxxx-xxxx-xxxx-c41ba9490d7b</t>
  </si>
  <si>
    <t>136e43d9-xxxx-xxxx-xxxx-37171a80ea94</t>
  </si>
  <si>
    <t>54a2b8fb-xxxx-xxxx-xxxx-77c4bb7c5d11</t>
  </si>
  <si>
    <t>7736e2b9-xxxx-xxxx-xxxx-d2ce73a428c9</t>
  </si>
  <si>
    <t>19278885-xxxx-xxxx-xxxx-ef6b58617bf6</t>
  </si>
  <si>
    <t>c8e44580-xxxx-xxxx-xxxx-c0b7a38ff649</t>
  </si>
  <si>
    <t>fdab7dae-xxxx-xxxx-xxxx-5bf78bad786c</t>
  </si>
  <si>
    <t>7f4ffcab-xxxx-xxxx-xxxx-734362f710b8</t>
  </si>
  <si>
    <t>359570c8-xxxx-xxxx-xxxx-bdcc13cb666d</t>
  </si>
  <si>
    <t>e7aa98ef-xxxx-xxxx-xxxx-32accccdb8d0</t>
  </si>
  <si>
    <t>e2799eb7-xxxx-xxxx-xxxx-3443f763299d</t>
  </si>
  <si>
    <t>88ce0f5b-xxxx-xxxx-xxxx-febe3b5ca121</t>
  </si>
  <si>
    <t>03d6a468-xxxx-xxxx-xxxx-5ea21f89cc0d</t>
  </si>
  <si>
    <t>f88a2d5e-xxxx-xxxx-xxxx-834a22d979ce</t>
  </si>
  <si>
    <t>24038a95-xxxx-xxxx-xxxx-2569d7957cd7</t>
  </si>
  <si>
    <t>16bd00e3-xxxx-xxxx-xxxx-9c783dc6994a</t>
  </si>
  <si>
    <t>08e6e59e-xxxx-xxxx-xxxx-c5bf3a113517</t>
  </si>
  <si>
    <t>d741f719-xxxx-xxxx-xxxx-320e2d15570d</t>
  </si>
  <si>
    <t>b55b8729-xxxx-xxxx-xxxx-e994b2522fbb</t>
  </si>
  <si>
    <t>cf1f3559-xxxx-xxxx-xxxx-0f66903beace</t>
  </si>
  <si>
    <t>b0cbe4a5-xxxx-xxxx-xxxx-67401193a2b5</t>
  </si>
  <si>
    <t>9dba7871-xxxx-xxxx-xxxx-a885e1aca394</t>
  </si>
  <si>
    <t>03e5473a-xxxx-xxxx-xxxx-bf2f5374eaa4</t>
  </si>
  <si>
    <t>077a6d42-xxxx-xxxx-xxxx-2163f6f3c7c5</t>
  </si>
  <si>
    <t>f972e86a-xxxx-xxxx-xxxx-8ec63d0812fc</t>
  </si>
  <si>
    <t>f94dea16-xxxx-xxxx-xxxx-19d73e7ffc62</t>
  </si>
  <si>
    <t>97141dd2-xxxx-xxxx-xxxx-41ca5d55414f</t>
  </si>
  <si>
    <t>f6e0843e-xxxx-xxxx-xxxx-f6fdc52f941e</t>
  </si>
  <si>
    <t>cbc2b571-xxxx-xxxx-xxxx-ce3631264b84</t>
  </si>
  <si>
    <t>ffd22681-xxxx-xxxx-xxxx-2292f58cdf01</t>
  </si>
  <si>
    <t>cb9bfba1-xxxx-xxxx-xxxx-8c70e77f7423</t>
  </si>
  <si>
    <t>cfad825f-xxxx-xxxx-xxxx-3e04e2afcb62</t>
  </si>
  <si>
    <t>823ef2df-xxxx-xxxx-xxxx-e5cb33f1e8af</t>
  </si>
  <si>
    <t>1e21b2cd-xxxx-xxxx-xxxx-230f73b698fb</t>
  </si>
  <si>
    <t>d2dba2ab-xxxx-xxxx-xxxx-036ce2da4370</t>
  </si>
  <si>
    <t>8fd08453-xxxx-xxxx-xxxx-44ab63ae3fe0</t>
  </si>
  <si>
    <t>039cbd7d-xxxx-xxxx-xxxx-55a997768c9f</t>
  </si>
  <si>
    <t>ba719723-xxxx-xxxx-xxxx-2ac3f0745ac5</t>
  </si>
  <si>
    <t>194d0470-xxxx-xxxx-xxxx-e102fbd13d37</t>
  </si>
  <si>
    <t>0aeb4c62-xxxx-xxxx-xxxx-d535dea10048</t>
  </si>
  <si>
    <t>3799732d-xxxx-xxxx-xxxx-7ab7fcc7fed4</t>
  </si>
  <si>
    <t>bfb421c0-xxxx-xxxx-xxxx-390a657c5d8b</t>
  </si>
  <si>
    <t>95071a6d-xxxx-xxxx-xxxx-aae2c010aea3</t>
  </si>
  <si>
    <t>533f4be6-xxxx-xxxx-xxxx-9bfd5d9e230b</t>
  </si>
  <si>
    <t>ae31a2ab-xxxx-xxxx-xxxx-a6277b20d89c</t>
  </si>
  <si>
    <t>e61d582a-xxxx-xxxx-xxxx-b01b6c312ff2</t>
  </si>
  <si>
    <t>1dede63f-xxxx-xxxx-xxxx-f6b5d061cb7e</t>
  </si>
  <si>
    <t>49f680fe-xxxx-xxxx-xxxx-c17ee377ad74</t>
  </si>
  <si>
    <t>d09482a8-xxxx-xxxx-xxxx-13dc1d98e5aa</t>
  </si>
  <si>
    <t>7de89661-xxxx-xxxx-xxxx-d12208036aa4</t>
  </si>
  <si>
    <t>4acf86c7-xxxx-xxxx-xxxx-5bc1313ee45b</t>
  </si>
  <si>
    <t>f588cf49-xxxx-xxxx-xxxx-511547bea530</t>
  </si>
  <si>
    <t>040dc31e-xxxx-xxxx-xxxx-bb127b8d6274</t>
  </si>
  <si>
    <t>ee3778f2-xxxx-xxxx-xxxx-7bfc846aaa9f</t>
  </si>
  <si>
    <t>88351001-xxxx-xxxx-xxxx-7611957c8687</t>
  </si>
  <si>
    <t>6195b060-xxxx-xxxx-xxxx-2ebaa174435f</t>
  </si>
  <si>
    <t>5892cf67-xxxx-xxxx-xxxx-b6a03f5598f3</t>
  </si>
  <si>
    <t>4b4e1984-xxxx-xxxx-xxxx-6c6849fffb97</t>
  </si>
  <si>
    <t>75b9d0c0-xxxx-xxxx-xxxx-19789a92e6b7</t>
  </si>
  <si>
    <t>8894e97a-xxxx-xxxx-xxxx-9ac26812bd43</t>
  </si>
  <si>
    <t>78dab45a-xxxx-xxxx-xxxx-b3e101121052</t>
  </si>
  <si>
    <t>b0eced86-xxxx-xxxx-xxxx-a1e0fb85fa89</t>
  </si>
  <si>
    <t>b4ab47be-xxxx-xxxx-xxxx-ee53fe83e7e0</t>
  </si>
  <si>
    <t>c710ebc5-xxxx-xxxx-xxxx-6a1e3d80dc84</t>
  </si>
  <si>
    <t>a2b68f78-xxxx-xxxx-xxxx-2ed48b464d6a</t>
  </si>
  <si>
    <t>868e4476-xxxx-xxxx-xxxx-cb59ec1423a4</t>
  </si>
  <si>
    <t>d9f240a0-xxxx-xxxx-xxxx-22f430f860f5</t>
  </si>
  <si>
    <t>8b3e4d42-xxxx-xxxx-xxxx-8e62ea3b3778</t>
  </si>
  <si>
    <t>7be6f755-xxxx-xxxx-xxxx-ba7e0049a9f5</t>
  </si>
  <si>
    <t>8fedb88e-xxxx-xxxx-xxxx-1acfb0dd93ce</t>
  </si>
  <si>
    <t>b30f5c88-xxxx-xxxx-xxxx-08d4b8dcde38</t>
  </si>
  <si>
    <t>264f7d80-xxxx-xxxx-xxxx-308caef3cd34</t>
  </si>
  <si>
    <t>6f395226-xxxx-xxxx-xxxx-bb33c9ec4afe</t>
  </si>
  <si>
    <t>c2c25e6d-xxxx-xxxx-xxxx-f9d9bcd55c70</t>
  </si>
  <si>
    <t>216d5d82-xxxx-xxxx-xxxx-bf977a8b0331</t>
  </si>
  <si>
    <t>b86d5a19-xxxx-xxxx-xxxx-6cc02260d858</t>
  </si>
  <si>
    <t>f30ec945-xxxx-xxxx-xxxx-aeccc036352a</t>
  </si>
  <si>
    <t>4637d242-xxxx-xxxx-xxxx-fc9d92d7d89c</t>
  </si>
  <si>
    <t>62d1373f-xxxx-xxxx-xxxx-42cd62c45588</t>
  </si>
  <si>
    <t>440a0c8c-xxxx-xxxx-xxxx-ab986fdb4cf8</t>
  </si>
  <si>
    <t>2013fdb2-xxxx-xxxx-xxxx-28aaf27c1e50</t>
  </si>
  <si>
    <t>ff77325f-xxxx-xxxx-xxxx-d6b31d114e65</t>
  </si>
  <si>
    <t>4a7527f7-xxxx-xxxx-xxxx-0bd4db20e5be</t>
  </si>
  <si>
    <t>5eb5ad21-xxxx-xxxx-xxxx-1f39cbdf349a</t>
  </si>
  <si>
    <t>7d00f7ee-xxxx-xxxx-xxxx-d7dc6f23dc9d</t>
  </si>
  <si>
    <t>ca6555bb-xxxx-xxxx-xxxx-abe0a5371b68</t>
  </si>
  <si>
    <t>69866222-xxxx-xxxx-xxxx-17713bc53b6e</t>
  </si>
  <si>
    <t>811d531e-xxxx-xxxx-xxxx-11857d7c6e93</t>
  </si>
  <si>
    <t>8ccb9066-xxxx-xxxx-xxxx-fd8a567b8c43</t>
  </si>
  <si>
    <t>de1872f0-xxxx-xxxx-xxxx-31819e227023</t>
  </si>
  <si>
    <t>118e4e23-xxxx-xxxx-xxxx-91a2f33dce81</t>
  </si>
  <si>
    <t>94a987a2-xxxx-xxxx-xxxx-b2c63b1d9fe7</t>
  </si>
  <si>
    <t>582be74f-xxxx-xxxx-xxxx-dfba5420ab89</t>
  </si>
  <si>
    <t>a82443d1-xxxx-xxxx-xxxx-fcf2ded2ce5d</t>
  </si>
  <si>
    <t>3b1fd703-xxxx-xxxx-xxxx-701e0d7cfad8</t>
  </si>
  <si>
    <t>1567fcd6-xxxx-xxxx-xxxx-d60d50c024ec</t>
  </si>
  <si>
    <t>bc4ba055-xxxx-xxxx-xxxx-5f1f82472be8</t>
  </si>
  <si>
    <t>1f3b80f2-xxxx-xxxx-xxxx-36c927560956</t>
  </si>
  <si>
    <t>d6852fa1-xxxx-xxxx-xxxx-dd6f20def503</t>
  </si>
  <si>
    <t>3f8a479d-xxxx-xxxx-xxxx-d99218aa9bec</t>
  </si>
  <si>
    <t>9838835e-xxxx-xxxx-xxxx-2924c5e02fe5</t>
  </si>
  <si>
    <t>0e4f1574-xxxx-xxxx-xxxx-9321629ea17e</t>
  </si>
  <si>
    <t>d902cece-xxxx-xxxx-xxxx-2ed31f1ec1d2</t>
  </si>
  <si>
    <t>12b04081-xxxx-xxxx-xxxx-98b8ab82b460</t>
  </si>
  <si>
    <t>d7b8bdf7-xxxx-xxxx-xxxx-0399c4fc0788</t>
  </si>
  <si>
    <t>e35ffcd7-xxxx-xxxx-xxxx-6f7f985fa47e</t>
  </si>
  <si>
    <t>2382a414-xxxx-xxxx-xxxx-601c0ffb1f11</t>
  </si>
  <si>
    <t>12025359-xxxx-xxxx-xxxx-b94fe662f707</t>
  </si>
  <si>
    <t>3194ccf7-xxxx-xxxx-xxxx-996340970d5c</t>
  </si>
  <si>
    <t>fb6e378e-xxxx-xxxx-xxxx-8aaa355c6a30</t>
  </si>
  <si>
    <t>22bd629c-xxxx-xxxx-xxxx-01c95613372a</t>
  </si>
  <si>
    <t>9e572a17-xxxx-xxxx-xxxx-e6cd50a6db06</t>
  </si>
  <si>
    <t>1ec7f423-xxxx-xxxx-xxxx-98ab594e1fee</t>
  </si>
  <si>
    <t>b2db3143-xxxx-xxxx-xxxx-961a589c6297</t>
  </si>
  <si>
    <t>f6961be8-xxxx-xxxx-xxxx-63c62c4e455c</t>
  </si>
  <si>
    <t>ca2ae524-xxxx-xxxx-xxxx-222edab6ca52</t>
  </si>
  <si>
    <t>e66b62f0-xxxx-xxxx-xxxx-f3a78ad00be6</t>
  </si>
  <si>
    <t>f6614101-xxxx-xxxx-xxxx-4ed02e1f265a</t>
  </si>
  <si>
    <t>287e0c73-xxxx-xxxx-xxxx-4886d1cc00d1</t>
  </si>
  <si>
    <t>e38353c5-xxxx-xxxx-xxxx-23438b07c15a</t>
  </si>
  <si>
    <t>7bad6986-xxxx-xxxx-xxxx-fde794062b66</t>
  </si>
  <si>
    <t>26e7e2f1-xxxx-xxxx-xxxx-042ed1ce66b6</t>
  </si>
  <si>
    <t>84875ce8-xxxx-xxxx-xxxx-b51f07ac9761</t>
  </si>
  <si>
    <t>774857bb-xxxx-xxxx-xxxx-de51649d1425</t>
  </si>
  <si>
    <t>ff2e9f9a-xxxx-xxxx-xxxx-868aeda1f3d3</t>
  </si>
  <si>
    <t>559b3748-xxxx-xxxx-xxxx-1368c1d41cf4</t>
  </si>
  <si>
    <t>4f563640-xxxx-xxxx-xxxx-5c8582bfbc8e</t>
  </si>
  <si>
    <t>fbc65d18-xxxx-xxxx-xxxx-95d4e53c7611</t>
  </si>
  <si>
    <t>44c1c321-xxxx-xxxx-xxxx-33a4a9ccfb53</t>
  </si>
  <si>
    <t>2dc15860-xxxx-xxxx-xxxx-8581807c4eb7</t>
  </si>
  <si>
    <t>6808d7d3-xxxx-xxxx-xxxx-46958e6d131b</t>
  </si>
  <si>
    <t>e7f0f0ca-xxxx-xxxx-xxxx-3c82e2d4e9ba</t>
  </si>
  <si>
    <t>3d8d6f29-xxxx-xxxx-xxxx-1c1884f0cf0b</t>
  </si>
  <si>
    <t>eb4d1cd0-xxxx-xxxx-xxxx-0824c5cdc7b0</t>
  </si>
  <si>
    <t>4a508f6f-xxxx-xxxx-xxxx-7a3925a2599f</t>
  </si>
  <si>
    <t>2c6dc758-xxxx-xxxx-xxxx-1ce14221bc24</t>
  </si>
  <si>
    <t>da6fa602-xxxx-xxxx-xxxx-d360bbca74f7</t>
  </si>
  <si>
    <t>52bbbc89-xxxx-xxxx-xxxx-d788c8b6add3</t>
  </si>
  <si>
    <t>84deefbd-xxxx-xxxx-xxxx-05e280b836e1</t>
  </si>
  <si>
    <t>57f3bad5-xxxx-xxxx-xxxx-33a29e7568db</t>
  </si>
  <si>
    <t>c2719c3a-xxxx-xxxx-xxxx-8de54d40bfb0</t>
  </si>
  <si>
    <t>29fcf9ce-xxxx-xxxx-xxxx-2910047cdcd7</t>
  </si>
  <si>
    <t>406ad22f-xxxx-xxxx-xxxx-e5318e4c4033</t>
  </si>
  <si>
    <t>cb7af91c-xxxx-xxxx-xxxx-4da6c0920eed</t>
  </si>
  <si>
    <t>83b87feb-xxxx-xxxx-xxxx-31bb3a608bfe</t>
  </si>
  <si>
    <t>7a60dcd8-xxxx-xxxx-xxxx-2643014e78e5</t>
  </si>
  <si>
    <t>a62ce31a-xxxx-xxxx-xxxx-d5500f203511</t>
  </si>
  <si>
    <t>dce40462-xxxx-xxxx-xxxx-aa01f9bfa868</t>
  </si>
  <si>
    <t>25605d49-xxxx-xxxx-xxxx-82e9a29ea6e5</t>
  </si>
  <si>
    <t>b707933e-xxxx-xxxx-xxxx-20e770d0c453</t>
  </si>
  <si>
    <t>967f540b-xxxx-xxxx-xxxx-ed9ecca39b06</t>
  </si>
  <si>
    <t>a487fad3-xxxx-xxxx-xxxx-8e88ce00700d</t>
  </si>
  <si>
    <t>ea9dbf4d-xxxx-xxxx-xxxx-06d08a95f5f9</t>
  </si>
  <si>
    <t>5bda62ea-xxxx-xxxx-xxxx-f09d63911fba</t>
  </si>
  <si>
    <t>49f3ea55-xxxx-xxxx-xxxx-aefc5aef7ee6</t>
  </si>
  <si>
    <t>faf45a8a-xxxx-xxxx-xxxx-4d19e070a8b8</t>
  </si>
  <si>
    <t>891661a7-xxxx-xxxx-xxxx-5d1a69a0a1cf</t>
  </si>
  <si>
    <t>89162f3d-xxxx-xxxx-xxxx-0c1dd34745de</t>
  </si>
  <si>
    <t>d7931637-xxxx-xxxx-xxxx-71721311b2e6</t>
  </si>
  <si>
    <t>a8806be1-xxxx-xxxx-xxxx-988101647327</t>
  </si>
  <si>
    <t>1fbeb058-xxxx-xxxx-xxxx-5d482a041945</t>
  </si>
  <si>
    <t>7b300a6a-xxxx-xxxx-xxxx-29c3d7a6168b</t>
  </si>
  <si>
    <t>d5870d12-xxxx-xxxx-xxxx-8a9d496c4b29</t>
  </si>
  <si>
    <t>b35877dd-xxxx-xxxx-xxxx-e215931cba32</t>
  </si>
  <si>
    <t>62bf47a2-xxxx-xxxx-xxxx-c94aed395b87</t>
  </si>
  <si>
    <t>a611732d-xxxx-xxxx-xxxx-7fe3c911fcb6</t>
  </si>
  <si>
    <t>4c836e9a-xxxx-xxxx-xxxx-46e38f49e698</t>
  </si>
  <si>
    <t>eaf6f438-xxxx-xxxx-xxxx-ad4a60c87b6b</t>
  </si>
  <si>
    <t>9f897bf5-xxxx-xxxx-xxxx-c88642f7096b</t>
  </si>
  <si>
    <t>e1f95d96-xxxx-xxxx-xxxx-c0db9b1096ea</t>
  </si>
  <si>
    <t>71774575-xxxx-xxxx-xxxx-2ae6eb364a94</t>
  </si>
  <si>
    <t>da9d392f-xxxx-xxxx-xxxx-4ad5f4b5b74b</t>
  </si>
  <si>
    <t>8aab36e7-xxxx-xxxx-xxxx-cf1cfa64c6db</t>
  </si>
  <si>
    <t>20fa2572-xxxx-xxxx-xxxx-e4891a6566d7</t>
  </si>
  <si>
    <t>ab3cf9b9-xxxx-xxxx-xxxx-1a756d3c9730</t>
  </si>
  <si>
    <t>e00542ad-xxxx-xxxx-xxxx-8287192fcb4a</t>
  </si>
  <si>
    <t>955d05ea-xxxx-xxxx-xxxx-8aaafbfc0daa</t>
  </si>
  <si>
    <t>0a685098-xxxx-xxxx-xxxx-32e069ac4b71</t>
  </si>
  <si>
    <t>cbfd01a2-xxxx-xxxx-xxxx-e787ce9d5a77</t>
  </si>
  <si>
    <t>8e949706-xxxx-xxxx-xxxx-4f0c2eb3befa</t>
  </si>
  <si>
    <t>0d346b96-xxxx-xxxx-xxxx-69259ad923c8</t>
  </si>
  <si>
    <t>325b2cb4-xxxx-xxxx-xxxx-2d45ba178653</t>
  </si>
  <si>
    <t>987b262f-xxxx-xxxx-xxxx-f2b7ea55ebe4</t>
  </si>
  <si>
    <t>3b31c6d8-xxxx-xxxx-xxxx-1f6fc8809842</t>
  </si>
  <si>
    <t>7dcbd696-xxxx-xxxx-xxxx-98a3c2eccb00</t>
  </si>
  <si>
    <t>6adee14e-xxxx-xxxx-xxxx-1e439342d1d0</t>
  </si>
  <si>
    <t>641d5b6a-xxxx-xxxx-xxxx-50b5d76e6e30</t>
  </si>
  <si>
    <t>7b5e3379-xxxx-xxxx-xxxx-8518f7a2811d</t>
  </si>
  <si>
    <t>47ea13cd-xxxx-xxxx-xxxx-9e37c5ee4a4b</t>
  </si>
  <si>
    <t>95b04274-xxxx-xxxx-xxxx-c884bf438b22</t>
  </si>
  <si>
    <t>93b14c86-xxxx-xxxx-xxxx-82c2299be15a</t>
  </si>
  <si>
    <t>87db2f90-xxxx-xxxx-xxxx-abce8246f58b</t>
  </si>
  <si>
    <t>1f4add1c-xxxx-xxxx-xxxx-1791887d629c</t>
  </si>
  <si>
    <t>6983f500-xxxx-xxxx-xxxx-e59dddd7e681</t>
  </si>
  <si>
    <t>0b244ca5-xxxx-xxxx-xxxx-f653d1e5ab03</t>
  </si>
  <si>
    <t>a2601a97-xxxx-xxxx-xxxx-58aaa5cf0090</t>
  </si>
  <si>
    <t>02dfd3bb-xxxx-xxxx-xxxx-4d6e39eaf8a5</t>
  </si>
  <si>
    <t>bba34dae-xxxx-xxxx-xxxx-0d26e5ab8622</t>
  </si>
  <si>
    <t>85819d4b-xxxx-xxxx-xxxx-70fca69d4de4</t>
  </si>
  <si>
    <t>57ddc958-xxxx-xxxx-xxxx-f1156c26be32</t>
  </si>
  <si>
    <t>d4a118e1-xxxx-xxxx-xxxx-71887d46b1a9</t>
  </si>
  <si>
    <t>0b90d3ac-xxxx-xxxx-xxxx-f4e1b57e89f5</t>
  </si>
  <si>
    <t>2d90581e-xxxx-xxxx-xxxx-0ed295af73f3</t>
  </si>
  <si>
    <t>f7dac6ae-xxxx-xxxx-xxxx-8cdb0fc24f6e</t>
  </si>
  <si>
    <t>776ce2b4-xxxx-xxxx-xxxx-678488103616</t>
  </si>
  <si>
    <t>26500678-xxxx-xxxx-xxxx-19915d3db5af</t>
  </si>
  <si>
    <t>c46af32e-xxxx-xxxx-xxxx-2f06914e8a41</t>
  </si>
  <si>
    <t>8afc142e-xxxx-xxxx-xxxx-f67e0537b8ff</t>
  </si>
  <si>
    <t>612f081d-xxxx-xxxx-xxxx-e108b76568c0</t>
  </si>
  <si>
    <t>6da7dc3c-xxxx-xxxx-xxxx-70503e0d47f5</t>
  </si>
  <si>
    <t>f6fa3275-xxxx-xxxx-xxxx-add298d54ed0</t>
  </si>
  <si>
    <t>78f65fa5-xxxx-xxxx-xxxx-48a31e75729b</t>
  </si>
  <si>
    <t>ed7c509d-xxxx-xxxx-xxxx-76283d3916bb</t>
  </si>
  <si>
    <t>4d7d6017-xxxx-xxxx-xxxx-f6e835481b09</t>
  </si>
  <si>
    <t>ebc7ae45-xxxx-xxxx-xxxx-3f5e2d5b2ae3</t>
  </si>
  <si>
    <t>b4faad91-xxxx-xxxx-xxxx-56eeded974db</t>
  </si>
  <si>
    <t>16e0bec4-xxxx-xxxx-xxxx-b68214475fae</t>
  </si>
  <si>
    <t>0e74cdcf-xxxx-xxxx-xxxx-d7673fa56ae7</t>
  </si>
  <si>
    <t>872b566b-xxxx-xxxx-xxxx-a7d3dd66ef86</t>
  </si>
  <si>
    <t>ac103784-xxxx-xxxx-xxxx-cb6954e30f6e</t>
  </si>
  <si>
    <t>b2409ae0-xxxx-xxxx-xxxx-7f1d732bf0b0</t>
  </si>
  <si>
    <t>1877140000000-xxxx-xxxx-xxxx-265691d758da</t>
  </si>
  <si>
    <t>682c3d16-xxxx-xxxx-xxxx-1c35a47db730</t>
  </si>
  <si>
    <t>c80ad0e9-xxxx-xxxx-xxxx-bc491e2044c4</t>
  </si>
  <si>
    <t>ee8f0a6d-xxxx-xxxx-xxxx-fd2f741075e6</t>
  </si>
  <si>
    <t>b363e789-xxxx-xxxx-xxxx-01fea6a8ff06</t>
  </si>
  <si>
    <t>7e2a2f7a-xxxx-xxxx-xxxx-880bb7e72ce0</t>
  </si>
  <si>
    <t>d5b54726-xxxx-xxxx-xxxx-7f99a159bb71</t>
  </si>
  <si>
    <t>cccd4ddf-xxxx-xxxx-xxxx-e6358dd8bcd8</t>
  </si>
  <si>
    <t>f3d6509c-xxxx-xxxx-xxxx-6135ced206e7</t>
  </si>
  <si>
    <t>9b37eb3b-xxxx-xxxx-xxxx-44da4f2db82f</t>
  </si>
  <si>
    <t>c7d2589a-xxxx-xxxx-xxxx-5578c8cf8753</t>
  </si>
  <si>
    <t>e1f340a4-xxxx-xxxx-xxxx-4b8817f21045</t>
  </si>
  <si>
    <t>45203ac7-xxxx-xxxx-xxxx-0b0346c2e8e9</t>
  </si>
  <si>
    <t>2f1879b6-xxxx-xxxx-xxxx-81ea66f1ccba</t>
  </si>
  <si>
    <t>b0a1c9e8-xxxx-xxxx-xxxx-f809b9749a10</t>
  </si>
  <si>
    <t>286320a2-xxxx-xxxx-xxxx-a7d9dd193a9e</t>
  </si>
  <si>
    <t>99eb5a7d-xxxx-xxxx-xxxx-8017cf808c7a</t>
  </si>
  <si>
    <t>8012ef3e-xxxx-xxxx-xxxx-7eb765da1c1f</t>
  </si>
  <si>
    <t>b75f6135-xxxx-xxxx-xxxx-48f6d8bb661d</t>
  </si>
  <si>
    <t>787f3ff3-xxxx-xxxx-xxxx-2dec470f0e5a</t>
  </si>
  <si>
    <t>b1acf498-xxxx-xxxx-xxxx-263a88d1c0e9</t>
  </si>
  <si>
    <t>bb841bb0-xxxx-xxxx-xxxx-51dc353bb8f8</t>
  </si>
  <si>
    <t>1cf494eb-xxxx-xxxx-xxxx-e536c8d71e89</t>
  </si>
  <si>
    <t>64437ae1-xxxx-xxxx-xxxx-259309f173ba</t>
  </si>
  <si>
    <t>9e79d1cd-xxxx-xxxx-xxxx-b2e69b9ff0ad</t>
  </si>
  <si>
    <t>001b86bc-xxxx-xxxx-xxxx-6b6bfafcc321</t>
  </si>
  <si>
    <t>f4816976-xxxx-xxxx-xxxx-03742c9386af</t>
  </si>
  <si>
    <t>9659d7ba-xxxx-xxxx-xxxx-cfe0314b6d8d</t>
  </si>
  <si>
    <t>a7007c27-xxxx-xxxx-xxxx-d27f98026599</t>
  </si>
  <si>
    <t>310e3d26-xxxx-xxxx-xxxx-bcd90ad307bc</t>
  </si>
  <si>
    <t>e4c00903-xxxx-xxxx-xxxx-d351cc4e4f19</t>
  </si>
  <si>
    <t>d5c53555-xxxx-xxxx-xxxx-f170cb36d16c</t>
  </si>
  <si>
    <t>1819139e-xxxx-xxxx-xxxx-ab4497a3b4e4</t>
  </si>
  <si>
    <t>12fd9944-xxxx-xxxx-xxxx-ff20e9dfaa4d</t>
  </si>
  <si>
    <t>b66caeec-xxxx-xxxx-xxxx-2b39f88fc6d6</t>
  </si>
  <si>
    <t>a1871b8a-xxxx-xxxx-xxxx-dc2db40fd315</t>
  </si>
  <si>
    <t>34f8e71d-xxxx-xxxx-xxxx-b38edc8e5150</t>
  </si>
  <si>
    <t>bb7daf14-xxxx-xxxx-xxxx-9e8d527a71b0</t>
  </si>
  <si>
    <t>9bced179-xxxx-xxxx-xxxx-13b5a6721aba</t>
  </si>
  <si>
    <t>c078c38a-xxxx-xxxx-xxxx-17ad4fa8e526</t>
  </si>
  <si>
    <t>5161e7d7-xxxx-xxxx-xxxx-d5806a4c3c28</t>
  </si>
  <si>
    <t>215054ba-xxxx-xxxx-xxxx-30f522d20823</t>
  </si>
  <si>
    <t>d0dfd0f6-xxxx-xxxx-xxxx-d9b139180ff8</t>
  </si>
  <si>
    <t>6e6ae215-xxxx-xxxx-xxxx-0621d17db18b</t>
  </si>
  <si>
    <t>2206de05-xxxx-xxxx-xxxx-b65f2a480397</t>
  </si>
  <si>
    <t>33d55ca3-xxxx-xxxx-xxxx-4b0c55d62671</t>
  </si>
  <si>
    <t>5773157b-xxxx-xxxx-xxxx-f2c6dcf26fb8</t>
  </si>
  <si>
    <t>bf90f122-xxxx-xxxx-xxxx-deba80a74f7a</t>
  </si>
  <si>
    <t>01a77075-xxxx-xxxx-xxxx-6305c556b08d</t>
  </si>
  <si>
    <t>2a27db97-xxxx-xxxx-xxxx-605d456cf280</t>
  </si>
  <si>
    <t>df9f702f-xxxx-xxxx-xxxx-0739975fbba1</t>
  </si>
  <si>
    <t>6c7bc3a5-xxxx-xxxx-xxxx-316a596110d0</t>
  </si>
  <si>
    <t>5d07d2c0-xxxx-xxxx-xxxx-261ce03d493f</t>
  </si>
  <si>
    <t>d107aba3-xxxx-xxxx-xxxx-6355b0b055fe</t>
  </si>
  <si>
    <t>977a7581-xxxx-xxxx-xxxx-2a075b51be75</t>
  </si>
  <si>
    <t>bfc2524a-xxxx-xxxx-xxxx-d2aad20b1e03</t>
  </si>
  <si>
    <t>6ddb8640-xxxx-xxxx-xxxx-b295460b1a52</t>
  </si>
  <si>
    <t>5431f35b-xxxx-xxxx-xxxx-be83821bbfa7</t>
  </si>
  <si>
    <t>caada976-xxxx-xxxx-xxxx-7e43db4a83ee</t>
  </si>
  <si>
    <t>4df44323-xxxx-xxxx-xxxx-e4e384ad2a2b</t>
  </si>
  <si>
    <t>ee8582fd-xxxx-xxxx-xxxx-c111b606b430</t>
  </si>
  <si>
    <t>5f1dfc22-xxxx-xxxx-xxxx-b7044a030337</t>
  </si>
  <si>
    <t>3dc0ee98-xxxx-xxxx-xxxx-799ab1264728</t>
  </si>
  <si>
    <t>65841c75-xxxx-xxxx-xxxx-e25e103d7e6a</t>
  </si>
  <si>
    <t>f217c0d8-xxxx-xxxx-xxxx-667b65fa2919</t>
  </si>
  <si>
    <t>fd8ac4dd-xxxx-xxxx-xxxx-3320aed017d8</t>
  </si>
  <si>
    <t>5b5899d7-xxxx-xxxx-xxxx-92be9d586c98</t>
  </si>
  <si>
    <t>9d08d488-xxxx-xxxx-xxxx-e02084eeb71e</t>
  </si>
  <si>
    <t>55999f60-xxxx-xxxx-xxxx-8d77d93fef4e</t>
  </si>
  <si>
    <t>22309ad2-xxxx-xxxx-xxxx-ce72652a6c2b</t>
  </si>
  <si>
    <t>a916ee2f-xxxx-xxxx-xxxx-9c88399304ca</t>
  </si>
  <si>
    <t>2b39ea7a-xxxx-xxxx-xxxx-255ac669981e</t>
  </si>
  <si>
    <t>383bfa5a-xxxx-xxxx-xxxx-c16acbd4c1d3</t>
  </si>
  <si>
    <t>31cfe16d-xxxx-xxxx-xxxx-bc36473a6f93</t>
  </si>
  <si>
    <t>3b36cb2e-xxxx-xxxx-xxxx-20a6e5c3ff11</t>
  </si>
  <si>
    <t>554b6f6c-xxxx-xxxx-xxxx-9b2bc9e6e2c0</t>
  </si>
  <si>
    <t>cf627803-xxxx-xxxx-xxxx-5f79fe500a98</t>
  </si>
  <si>
    <t>4fdeba37-xxxx-xxxx-xxxx-87f23f350dc3</t>
  </si>
  <si>
    <t>e873edde-xxxx-xxxx-xxxx-7d1058b3d63c</t>
  </si>
  <si>
    <t>50fab07b-xxxx-xxxx-xxxx-a9ba475c8dca</t>
  </si>
  <si>
    <t>71e3299d-xxxx-xxxx-xxxx-f2df77d592a6</t>
  </si>
  <si>
    <t>50399595-xxxx-xxxx-xxxx-556b1a9ad832</t>
  </si>
  <si>
    <t>e8a27684-xxxx-xxxx-xxxx-2ee370c019a2</t>
  </si>
  <si>
    <t>8764d3cf-xxxx-xxxx-xxxx-26238966da0b</t>
  </si>
  <si>
    <t>501b783e-xxxx-xxxx-xxxx-f5eef835ecad</t>
  </si>
  <si>
    <t>5df46c8c-xxxx-xxxx-xxxx-b9ae26cfb958</t>
  </si>
  <si>
    <t>c24a6457-xxxx-xxxx-xxxx-867164f53f01</t>
  </si>
  <si>
    <t>d3e784fd-xxxx-xxxx-xxxx-58c68a50197f</t>
  </si>
  <si>
    <t>42225212-xxxx-xxxx-xxxx-b2e87e2352d6</t>
  </si>
  <si>
    <t>059f286c-xxxx-xxxx-xxxx-1f48b0df266d</t>
  </si>
  <si>
    <t>28d570c4-xxxx-xxxx-xxxx-bc05eb090ac5</t>
  </si>
  <si>
    <t>5e2d8ec7-xxxx-xxxx-xxxx-76cc8cfbc219</t>
  </si>
  <si>
    <t>6fef0f7f-xxxx-xxxx-xxxx-24b2284f3863</t>
  </si>
  <si>
    <t>ba1e9e9f-xxxx-xxxx-xxxx-a343fe0dfaf4</t>
  </si>
  <si>
    <t>b1cd98b3-xxxx-xxxx-xxxx-0c01cf40ced0</t>
  </si>
  <si>
    <t>e379b1d3-xxxx-xxxx-xxxx-1d6940faf63c</t>
  </si>
  <si>
    <t>855641d4-xxxx-xxxx-xxxx-3f85d437b6be</t>
  </si>
  <si>
    <t>3792727b-xxxx-xxxx-xxxx-2d5aa36f9784</t>
  </si>
  <si>
    <t>17a982aa-xxxx-xxxx-xxxx-8bbef5c9db6a</t>
  </si>
  <si>
    <t>58cfcf74-xxxx-xxxx-xxxx-ea5efba95faf</t>
  </si>
  <si>
    <t>d19bce6d-xxxx-xxxx-xxxx-6c941c734048</t>
  </si>
  <si>
    <t>3c73228e-xxxx-xxxx-xxxx-9fca81a53058</t>
  </si>
  <si>
    <t>f0d0f222-xxxx-xxxx-xxxx-6d8966153416</t>
  </si>
  <si>
    <t>d8d8c75e-xxxx-xxxx-xxxx-25872f2d75ae</t>
  </si>
  <si>
    <t>03d7be16-xxxx-xxxx-xxxx-b303c1f5c6e8</t>
  </si>
  <si>
    <t>f22a128a-xxxx-xxxx-xxxx-10b4ece16f4d</t>
  </si>
  <si>
    <t>0c19af47-xxxx-xxxx-xxxx-a3a8e932f206</t>
  </si>
  <si>
    <t>37e1d618-xxxx-xxxx-xxxx-ef5dae2347a4</t>
  </si>
  <si>
    <t>b985fb07-xxxx-xxxx-xxxx-374d80798dc7</t>
  </si>
  <si>
    <t>c1456348-xxxx-xxxx-xxxx-e805ee5ef786</t>
  </si>
  <si>
    <t>b2121f6a-xxxx-xxxx-xxxx-a4ca10740873</t>
  </si>
  <si>
    <t>ee8460c8-xxxx-xxxx-xxxx-2a9bac327a57</t>
  </si>
  <si>
    <t>61c3906a-xxxx-xxxx-xxxx-d99416229747</t>
  </si>
  <si>
    <t>70213681-xxxx-xxxx-xxxx-3029ef4f23a9</t>
  </si>
  <si>
    <t>f251c077-xxxx-xxxx-xxxx-4fc2ed4d6d4c</t>
  </si>
  <si>
    <t>3fb8cc4d-xxxx-xxxx-xxxx-bf8ab4b0b912</t>
  </si>
  <si>
    <t>36c13a33-xxxx-xxxx-xxxx-f20068942464</t>
  </si>
  <si>
    <t>21be5b06-xxxx-xxxx-xxxx-4e85814b87f8</t>
  </si>
  <si>
    <t>70fa8df7-xxxx-xxxx-xxxx-e83863d38bf8</t>
  </si>
  <si>
    <t>3a461c40-xxxx-xxxx-xxxx-0c7d4ad19165</t>
  </si>
  <si>
    <t>b219286a-xxxx-xxxx-xxxx-3d63ff40806a</t>
  </si>
  <si>
    <t>30a0ab6d-xxxx-xxxx-xxxx-ac2deca89020</t>
  </si>
  <si>
    <t>22b5d2a9-xxxx-xxxx-xxxx-b04a7c57d481</t>
  </si>
  <si>
    <t>60522b5f-xxxx-xxxx-xxxx-07add70be70c</t>
  </si>
  <si>
    <t>f72a5c40-xxxx-xxxx-xxxx-4fe86b9fda46</t>
  </si>
  <si>
    <t>c9b78a80-xxxx-xxxx-xxxx-31ca939e7c27</t>
  </si>
  <si>
    <t>1a3d2bea-xxxx-xxxx-xxxx-0ef207b84f0d</t>
  </si>
  <si>
    <t>26f365b0-xxxx-xxxx-xxxx-ea255dcc3142</t>
  </si>
  <si>
    <t>6dc526c0-xxxx-xxxx-xxxx-a40fa7a738c2</t>
  </si>
  <si>
    <t>940fc72c-xxxx-xxxx-xxxx-b51092119b1d</t>
  </si>
  <si>
    <t>295bace5-xxxx-xxxx-xxxx-9e883e071638</t>
  </si>
  <si>
    <t>c92cdf7d-xxxx-xxxx-xxxx-c1d82c433521</t>
  </si>
  <si>
    <t>c110f775-xxxx-xxxx-xxxx-c7af91636279</t>
  </si>
  <si>
    <t>c927502d-xxxx-xxxx-xxxx-c6db404bda6b</t>
  </si>
  <si>
    <t>2818998b-xxxx-xxxx-xxxx-fd03160a9194</t>
  </si>
  <si>
    <t>5f67dac3-xxxx-xxxx-xxxx-f7f22ff493a8</t>
  </si>
  <si>
    <t>6433ae6b-xxxx-xxxx-xxxx-b9856386a483</t>
  </si>
  <si>
    <t>a1fbc813-xxxx-xxxx-xxxx-8.59901657E+99</t>
  </si>
  <si>
    <t>7be0ac69-xxxx-xxxx-xxxx-c1a0ce539e23</t>
  </si>
  <si>
    <t>0cc49622-xxxx-xxxx-xxxx-919031e07f1b</t>
  </si>
  <si>
    <t xml:space="preserve">Inquiries </t>
  </si>
  <si>
    <t>We have inquiries and bookings made by guests from Jan 2020 – Dec 2020. We have been tasked to carry out descriptive and predictive analysis using the provided data.</t>
  </si>
  <si>
    <t>First and foremost, we need to clean the data and get some quick insights</t>
  </si>
  <si>
    <t>·      The details in the rental column seems strange. Can we have the accurate information?</t>
  </si>
  <si>
    <t>Fill in this table with the appropriate values</t>
  </si>
  <si>
    <t>Total Inquiries</t>
  </si>
  <si>
    <t>Total Bookings</t>
  </si>
  <si>
    <t>Total number of bookings made in the first half of the year (Jan – Jun)?</t>
  </si>
  <si>
    <r>
      <t>T</t>
    </r>
    <r>
      <rPr>
        <sz val="11"/>
        <color rgb="FF000000"/>
        <rFont val="Tahoma"/>
        <family val="2"/>
      </rPr>
      <t xml:space="preserve">otal number of bookings made in the last half of the year (Jul – Dec)? </t>
    </r>
  </si>
  <si>
    <t>Number of bookings made via Airbnb?</t>
  </si>
  <si>
    <t>Total Revenue generated</t>
  </si>
  <si>
    <t>Total no of Occupants</t>
  </si>
  <si>
    <t>Average Revenue per person? {Total Revenue / Total No of Occupants}</t>
  </si>
  <si>
    <t>Total No of Days Occupants stayed in the period</t>
  </si>
  <si>
    <t>Average length of stay in days for apartments booked?</t>
  </si>
  <si>
    <t>Descriptive Analysis</t>
  </si>
  <si>
    <t xml:space="preserve">·       Most booked property </t>
  </si>
  <si>
    <t>·       Most booked source</t>
  </si>
  <si>
    <t>·       Booking rate for each property</t>
  </si>
  <si>
    <t xml:space="preserve">·       Revenue generated per month </t>
  </si>
  <si>
    <t xml:space="preserve">·       Revenue generated per property </t>
  </si>
  <si>
    <t xml:space="preserve">·       How many customers have we had? </t>
  </si>
  <si>
    <t>·       How long do they spend? On average</t>
  </si>
  <si>
    <t>·       Average number of bookings per guest</t>
  </si>
  <si>
    <t xml:space="preserve">·       Top 10 Guest with highest revenue </t>
  </si>
  <si>
    <t>·       Guests with more than one booking</t>
  </si>
  <si>
    <t>·       How many bookings do we get per day</t>
  </si>
  <si>
    <t>·       Bookings / revenue per guest</t>
  </si>
  <si>
    <t xml:space="preserve">·       Average revenue per booking </t>
  </si>
  <si>
    <t>Revenue</t>
  </si>
  <si>
    <r>
      <t xml:space="preserve">No of guests who made </t>
    </r>
    <r>
      <rPr>
        <b/>
        <sz val="12"/>
        <color theme="1"/>
        <rFont val="Tahoma"/>
        <family val="2"/>
      </rPr>
      <t>only</t>
    </r>
    <r>
      <rPr>
        <sz val="11"/>
        <color theme="1"/>
        <rFont val="Tahoma"/>
        <family val="2"/>
      </rPr>
      <t xml:space="preserve"> inquiry</t>
    </r>
  </si>
  <si>
    <t>NB: 
1. All the records are inquiries but not all lead to bookings. The inquiry only becomes bookings when the value in the Booked column is "Yes".
2. Revenue is only earned when inquiries become bookings
3. Occupants (adults and children) are for only confirmed bookings</t>
  </si>
  <si>
    <t xml:space="preserve">Create a dashboard to drive decision making. Provide information on at least five of the following </t>
  </si>
  <si>
    <t>Diff in Days</t>
  </si>
  <si>
    <t>Column1</t>
  </si>
  <si>
    <t>Rental2</t>
  </si>
  <si>
    <t>OCCUPATION</t>
  </si>
  <si>
    <t>DURATION</t>
  </si>
  <si>
    <t>Sophia Luxury Home</t>
  </si>
  <si>
    <t>Ope's 5 Star Short Let Apartment in Lekki</t>
  </si>
  <si>
    <t xml:space="preserve"> The Daniels 5 Star Short Let Apartment in Lekki</t>
  </si>
  <si>
    <t>Phiola's 5 Star Short Let Apartment in Lekki</t>
  </si>
  <si>
    <t>Keji's 5 Star Short let Apartment in Lekki</t>
  </si>
  <si>
    <t>Tiara's Luxury Home Away From Home</t>
  </si>
  <si>
    <t>Zoe's 5 Star Short let Apartment in Lekki</t>
  </si>
  <si>
    <t>Achikare 's Luxury Home Away from Home</t>
  </si>
  <si>
    <t>Apartments</t>
  </si>
  <si>
    <t>No of Bookings</t>
  </si>
  <si>
    <t>No of days</t>
  </si>
  <si>
    <t>No of individuals</t>
  </si>
  <si>
    <t>Booking rate per property</t>
  </si>
  <si>
    <t>Jan</t>
  </si>
  <si>
    <t>Mar</t>
  </si>
  <si>
    <t>Feb</t>
  </si>
  <si>
    <t>Apr</t>
  </si>
  <si>
    <t>May</t>
  </si>
  <si>
    <t>Jun</t>
  </si>
  <si>
    <t>Jul</t>
  </si>
  <si>
    <t>Aug</t>
  </si>
  <si>
    <t>Sep</t>
  </si>
  <si>
    <t>Oct</t>
  </si>
  <si>
    <t>Nov</t>
  </si>
  <si>
    <t>Dec</t>
  </si>
  <si>
    <t>Grand Total</t>
  </si>
  <si>
    <t>(All)</t>
  </si>
  <si>
    <t>Count of Booked</t>
  </si>
  <si>
    <t>Column Labels</t>
  </si>
  <si>
    <t>Rentals</t>
  </si>
  <si>
    <t>Booking Rate For Each Property</t>
  </si>
  <si>
    <t xml:space="preserve">Top 10 Guest </t>
  </si>
  <si>
    <t>Guest Revenue</t>
  </si>
  <si>
    <t>Guest Booking</t>
  </si>
  <si>
    <t xml:space="preserve">Guest </t>
  </si>
  <si>
    <t>Revenue Per Property</t>
  </si>
  <si>
    <t>Months</t>
  </si>
  <si>
    <t>Revenue Per Month</t>
  </si>
  <si>
    <t xml:space="preserve">                                                EXCEL PROJECT DASH BOARD</t>
  </si>
  <si>
    <t>Occupation</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</si>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</sst>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_-[$£-809]* #,##0.00_-;\-[$£-809]* #,##0.00_-;_-[$£-809]* &quot;-&quot;??_-;_-@_-"/>
  </numFmts>
  <fonts count="11" x14ac:knownFonts="1">
    <font>
      <sz val="11"/>
      <color theme="1"/>
      <name val="Calibri"/>
      <family val="2"/>
      <scheme val="minor"/>
    </font>
    <font>
      <sz val="11"/>
      <color theme="1"/>
      <name val="Calibri"/>
      <family val="2"/>
      <scheme val="minor"/>
    </font>
    <font>
      <u/>
      <sz val="11"/>
      <color theme="10"/>
      <name val="Calibri"/>
      <family val="2"/>
      <scheme val="minor"/>
    </font>
    <font>
      <b/>
      <sz val="16"/>
      <color theme="1"/>
      <name val="Forte"/>
      <family val="4"/>
    </font>
    <font>
      <sz val="11"/>
      <color theme="1"/>
      <name val="Tahoma"/>
      <family val="2"/>
    </font>
    <font>
      <sz val="11"/>
      <color rgb="FF000000"/>
      <name val="Tahoma"/>
      <family val="2"/>
    </font>
    <font>
      <b/>
      <sz val="12"/>
      <color theme="1"/>
      <name val="Tahoma"/>
      <family val="2"/>
    </font>
    <font>
      <b/>
      <sz val="12"/>
      <color theme="1"/>
      <name val="Calibri"/>
      <family val="2"/>
      <scheme val="minor"/>
    </font>
    <font>
      <b/>
      <sz val="11"/>
      <color theme="1"/>
      <name val="Calibri"/>
      <family val="2"/>
      <scheme val="minor"/>
    </font>
    <font>
      <sz val="8"/>
      <name val="Calibri"/>
      <family val="2"/>
      <scheme val="minor"/>
    </font>
    <font>
      <sz val="28"/>
      <color theme="7" tint="0.39997558519241921"/>
      <name val="Baskerville Old Face"/>
      <family val="1"/>
    </font>
  </fonts>
  <fills count="5">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2"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164" fontId="1" fillId="0" borderId="0" applyFont="0" applyFill="0" applyBorder="0" applyAlignment="0" applyProtection="0"/>
    <xf numFmtId="0" fontId="2" fillId="0" borderId="0" applyNumberFormat="0" applyFill="0" applyBorder="0" applyAlignment="0" applyProtection="0"/>
  </cellStyleXfs>
  <cellXfs count="29">
    <xf numFmtId="0" fontId="0" fillId="0" borderId="0" xfId="0"/>
    <xf numFmtId="14" fontId="0" fillId="0" borderId="0" xfId="0" applyNumberFormat="1"/>
    <xf numFmtId="20" fontId="0" fillId="0" borderId="0" xfId="0" applyNumberFormat="1"/>
    <xf numFmtId="46" fontId="0" fillId="0" borderId="0" xfId="0" applyNumberFormat="1"/>
    <xf numFmtId="11" fontId="0" fillId="0" borderId="0" xfId="0" applyNumberFormat="1"/>
    <xf numFmtId="0" fontId="2" fillId="0" borderId="0" xfId="2"/>
    <xf numFmtId="164" fontId="0" fillId="0" borderId="0" xfId="1" applyFont="1"/>
    <xf numFmtId="0" fontId="4" fillId="0" borderId="0" xfId="0" applyFont="1" applyAlignment="1">
      <alignment horizontal="left" wrapText="1" indent="3"/>
    </xf>
    <xf numFmtId="0" fontId="4" fillId="0" borderId="1" xfId="0" applyFont="1" applyBorder="1" applyAlignment="1">
      <alignment horizontal="left" wrapText="1" indent="3"/>
    </xf>
    <xf numFmtId="165" fontId="0" fillId="0" borderId="1" xfId="1" applyNumberFormat="1" applyFont="1" applyBorder="1"/>
    <xf numFmtId="0" fontId="5" fillId="0" borderId="1" xfId="0" applyFont="1" applyBorder="1" applyAlignment="1">
      <alignment horizontal="left" wrapText="1" indent="3"/>
    </xf>
    <xf numFmtId="0" fontId="0" fillId="0" borderId="0" xfId="0" applyAlignment="1">
      <alignment wrapText="1"/>
    </xf>
    <xf numFmtId="0" fontId="0" fillId="3" borderId="0" xfId="0" applyFill="1"/>
    <xf numFmtId="0" fontId="5" fillId="0" borderId="0" xfId="0" applyFont="1" applyAlignment="1">
      <alignment horizontal="left" wrapText="1" indent="3"/>
    </xf>
    <xf numFmtId="165" fontId="0" fillId="0" borderId="0" xfId="1" applyNumberFormat="1" applyFont="1" applyBorder="1"/>
    <xf numFmtId="0" fontId="7" fillId="0" borderId="0" xfId="0" applyFont="1" applyAlignment="1">
      <alignment wrapText="1"/>
    </xf>
    <xf numFmtId="0" fontId="8" fillId="0" borderId="0" xfId="0" applyFont="1"/>
    <xf numFmtId="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applyAlignment="1">
      <alignment horizontal="center"/>
    </xf>
    <xf numFmtId="0" fontId="0" fillId="4" borderId="0" xfId="0" applyFill="1"/>
    <xf numFmtId="0" fontId="10" fillId="4" borderId="0" xfId="0" applyFont="1" applyFill="1" applyAlignment="1">
      <alignment horizontal="left" vertical="center"/>
    </xf>
    <xf numFmtId="0" fontId="4" fillId="2" borderId="0" xfId="0" applyFont="1" applyFill="1" applyAlignment="1">
      <alignment wrapText="1"/>
    </xf>
    <xf numFmtId="0" fontId="4" fillId="0" borderId="0" xfId="0" applyFont="1" applyAlignment="1">
      <alignment wrapText="1"/>
    </xf>
    <xf numFmtId="0" fontId="4" fillId="0" borderId="2" xfId="0" applyFont="1" applyBorder="1" applyAlignment="1">
      <alignment horizontal="left" wrapText="1" indent="3"/>
    </xf>
    <xf numFmtId="0" fontId="3" fillId="0" borderId="0" xfId="0" applyFont="1" applyAlignment="1">
      <alignment horizontal="center" wrapText="1"/>
    </xf>
    <xf numFmtId="0" fontId="4" fillId="0" borderId="0" xfId="0" applyFont="1" applyAlignment="1">
      <alignment horizontal="left" wrapText="1" indent="3"/>
    </xf>
  </cellXfs>
  <cellStyles count="3">
    <cellStyle name="Comma" xfId="1" builtinId="3"/>
    <cellStyle name="Hyperlink" xfId="2" builtinId="8"/>
    <cellStyle name="Normal" xfId="0" builtinId="0"/>
  </cellStyles>
  <dxfs count="33">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ill>
        <patternFill patternType="solid">
          <fgColor indexed="64"/>
          <bgColor rgb="FFFFFF00"/>
        </patternFill>
      </fill>
    </dxf>
    <dxf>
      <numFmt numFmtId="25" formatCode="h:mm"/>
    </dxf>
    <dxf>
      <numFmt numFmtId="25" formatCode="h:mm"/>
    </dxf>
    <dxf>
      <numFmt numFmtId="19" formatCode="m/d/yyyy"/>
    </dxf>
    <dxf>
      <numFmt numFmtId="19" formatCode="m/d/yyyy"/>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ill>
        <patternFill patternType="solid">
          <fgColor indexed="64"/>
          <bgColor rgb="FFFFFF00"/>
        </patternFill>
      </fill>
    </dxf>
    <dxf>
      <numFmt numFmtId="25" formatCode="h:mm"/>
    </dxf>
    <dxf>
      <numFmt numFmtId="25" formatCode="h:mm"/>
    </dxf>
    <dxf>
      <numFmt numFmtId="19" formatCode="m/d/yyyy"/>
    </dxf>
    <dxf>
      <numFmt numFmtId="19" formatCode="m/d/yyyy"/>
    </dxf>
    <dxf>
      <numFmt numFmtId="19" formatCode="m/d/yyyy"/>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File_10_-_Inquiries_Assignment(1).xlsxIKECHUKWU UGOCHUKWU.xlsx]Pivot Table!PivotTable3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accent4">
                    <a:lumMod val="60000"/>
                    <a:lumOff val="40000"/>
                  </a:schemeClr>
                </a:solidFill>
              </a:rPr>
              <a:t>MOST</a:t>
            </a:r>
            <a:r>
              <a:rPr lang="en-US" sz="1400" baseline="0">
                <a:solidFill>
                  <a:schemeClr val="accent4">
                    <a:lumMod val="60000"/>
                    <a:lumOff val="40000"/>
                  </a:schemeClr>
                </a:solidFill>
              </a:rPr>
              <a:t> BOOKED PROPERTY</a:t>
            </a:r>
            <a:endParaRPr lang="en-US" sz="1400">
              <a:solidFill>
                <a:schemeClr val="accent4">
                  <a:lumMod val="60000"/>
                  <a:lumOff val="40000"/>
                </a:schemeClr>
              </a:solidFill>
            </a:endParaRPr>
          </a:p>
        </c:rich>
      </c:tx>
      <c:layout>
        <c:manualLayout>
          <c:xMode val="edge"/>
          <c:yMode val="edge"/>
          <c:x val="0.21706500401569126"/>
          <c:y val="0.18271482880783399"/>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rgbClr val="92D05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rgbClr val="92D05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rgbClr val="92D05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6">
                <a:lumMod val="75000"/>
              </a:schemeClr>
            </a:solidFill>
            <a:ln>
              <a:solidFill>
                <a:srgbClr val="92D050"/>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Table'!$A$4:$A$12</c:f>
              <c:strCache>
                <c:ptCount val="8"/>
                <c:pt idx="0">
                  <c:v> The Daniels 5 Star Short Let Apartment in Lekki</c:v>
                </c:pt>
                <c:pt idx="1">
                  <c:v>Ope's 5 Star Short Let Apartment in Lekki</c:v>
                </c:pt>
                <c:pt idx="2">
                  <c:v>Keji's 5 Star Short let Apartment in Lekki</c:v>
                </c:pt>
                <c:pt idx="3">
                  <c:v>Phiola's 5 Star Short Let Apartment in Lekki</c:v>
                </c:pt>
                <c:pt idx="4">
                  <c:v>Zoe's 5 Star Short let Apartment in Lekki</c:v>
                </c:pt>
                <c:pt idx="5">
                  <c:v>Tiara's Luxury Home Away From Home</c:v>
                </c:pt>
                <c:pt idx="6">
                  <c:v>Achikare 's Luxury Home Away from Home</c:v>
                </c:pt>
                <c:pt idx="7">
                  <c:v>Sophia Luxury Home</c:v>
                </c:pt>
              </c:strCache>
            </c:strRef>
          </c:cat>
          <c:val>
            <c:numRef>
              <c:f>'Pivot Table'!$B$4:$B$12</c:f>
              <c:numCache>
                <c:formatCode>General</c:formatCode>
                <c:ptCount val="8"/>
                <c:pt idx="0">
                  <c:v>82</c:v>
                </c:pt>
                <c:pt idx="1">
                  <c:v>82</c:v>
                </c:pt>
                <c:pt idx="2">
                  <c:v>72</c:v>
                </c:pt>
                <c:pt idx="3">
                  <c:v>63</c:v>
                </c:pt>
                <c:pt idx="4">
                  <c:v>53</c:v>
                </c:pt>
                <c:pt idx="5">
                  <c:v>28</c:v>
                </c:pt>
                <c:pt idx="6">
                  <c:v>10</c:v>
                </c:pt>
                <c:pt idx="7">
                  <c:v>2</c:v>
                </c:pt>
              </c:numCache>
            </c:numRef>
          </c:val>
          <c:extLst>
            <c:ext xmlns:c16="http://schemas.microsoft.com/office/drawing/2014/chart" uri="{C3380CC4-5D6E-409C-BE32-E72D297353CC}">
              <c16:uniqueId val="{00000000-6AB1-46ED-AB38-CE6A079BB33E}"/>
            </c:ext>
          </c:extLst>
        </c:ser>
        <c:dLbls>
          <c:dLblPos val="outEnd"/>
          <c:showLegendKey val="0"/>
          <c:showVal val="1"/>
          <c:showCatName val="0"/>
          <c:showSerName val="0"/>
          <c:showPercent val="0"/>
          <c:showBubbleSize val="0"/>
        </c:dLbls>
        <c:gapWidth val="444"/>
        <c:overlap val="-90"/>
        <c:axId val="993556495"/>
        <c:axId val="993551919"/>
      </c:barChart>
      <c:catAx>
        <c:axId val="99355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4">
                    <a:lumMod val="60000"/>
                    <a:lumOff val="40000"/>
                  </a:schemeClr>
                </a:solidFill>
                <a:latin typeface="+mn-lt"/>
                <a:ea typeface="+mn-ea"/>
                <a:cs typeface="+mn-cs"/>
              </a:defRPr>
            </a:pPr>
            <a:endParaRPr lang="en-US"/>
          </a:p>
        </c:txPr>
        <c:crossAx val="993551919"/>
        <c:crosses val="autoZero"/>
        <c:auto val="1"/>
        <c:lblAlgn val="ctr"/>
        <c:lblOffset val="100"/>
        <c:noMultiLvlLbl val="0"/>
      </c:catAx>
      <c:valAx>
        <c:axId val="993551919"/>
        <c:scaling>
          <c:orientation val="minMax"/>
        </c:scaling>
        <c:delete val="1"/>
        <c:axPos val="l"/>
        <c:numFmt formatCode="General" sourceLinked="1"/>
        <c:majorTickMark val="none"/>
        <c:minorTickMark val="none"/>
        <c:tickLblPos val="nextTo"/>
        <c:crossAx val="99355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File_10_-_Inquiries_Assignment(1).xlsxIKECHUKWU UGOCHUKWU.xlsx]Pivot Table!PivotTable4</c:name>
    <c:fmtId val="3"/>
  </c:pivotSource>
  <c:chart>
    <c:title>
      <c:tx>
        <c:rich>
          <a:bodyPr rot="0" spcFirstLastPara="1" vertOverflow="ellipsis" vert="horz" wrap="square" anchor="ctr" anchorCtr="1"/>
          <a:lstStyle/>
          <a:p>
            <a:pPr>
              <a:defRPr sz="1800" b="1" i="0" u="none" strike="noStrike" kern="1200" baseline="0">
                <a:solidFill>
                  <a:schemeClr val="accent4">
                    <a:lumMod val="60000"/>
                    <a:lumOff val="40000"/>
                  </a:schemeClr>
                </a:solidFill>
                <a:effectLst>
                  <a:glow rad="101600">
                    <a:schemeClr val="accent2">
                      <a:satMod val="175000"/>
                      <a:alpha val="40000"/>
                    </a:schemeClr>
                  </a:glow>
                </a:effectLst>
                <a:latin typeface="+mj-lt"/>
                <a:ea typeface="+mj-ea"/>
                <a:cs typeface="+mj-cs"/>
              </a:defRPr>
            </a:pPr>
            <a:r>
              <a:rPr lang="en-US">
                <a:solidFill>
                  <a:schemeClr val="accent4">
                    <a:lumMod val="60000"/>
                    <a:lumOff val="40000"/>
                  </a:schemeClr>
                </a:solidFill>
                <a:effectLst>
                  <a:glow rad="101600">
                    <a:schemeClr val="accent2">
                      <a:satMod val="175000"/>
                      <a:alpha val="40000"/>
                    </a:schemeClr>
                  </a:glow>
                </a:effectLst>
              </a:rPr>
              <a:t>Most</a:t>
            </a:r>
            <a:r>
              <a:rPr lang="en-US" baseline="0">
                <a:solidFill>
                  <a:schemeClr val="accent4">
                    <a:lumMod val="60000"/>
                    <a:lumOff val="40000"/>
                  </a:schemeClr>
                </a:solidFill>
                <a:effectLst>
                  <a:glow rad="101600">
                    <a:schemeClr val="accent2">
                      <a:satMod val="175000"/>
                      <a:alpha val="40000"/>
                    </a:schemeClr>
                  </a:glow>
                </a:effectLst>
              </a:rPr>
              <a:t> Booked Source</a:t>
            </a:r>
            <a:endParaRPr lang="en-US">
              <a:solidFill>
                <a:schemeClr val="accent4">
                  <a:lumMod val="60000"/>
                  <a:lumOff val="40000"/>
                </a:schemeClr>
              </a:solidFill>
              <a:effectLst>
                <a:glow rad="101600">
                  <a:schemeClr val="accent2">
                    <a:satMod val="175000"/>
                    <a:alpha val="40000"/>
                  </a:schemeClr>
                </a:glow>
              </a:effectLst>
            </a:endParaRPr>
          </a:p>
        </c:rich>
      </c:tx>
      <c:layout>
        <c:manualLayout>
          <c:xMode val="edge"/>
          <c:yMode val="edge"/>
          <c:x val="0.27550869581193649"/>
          <c:y val="8.89719972078045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60000"/>
                  <a:lumOff val="40000"/>
                </a:schemeClr>
              </a:solidFill>
              <a:effectLst>
                <a:glow rad="101600">
                  <a:schemeClr val="accent2">
                    <a:satMod val="175000"/>
                    <a:alpha val="40000"/>
                  </a:schemeClr>
                </a:glow>
              </a:effectLst>
              <a:latin typeface="+mj-lt"/>
              <a:ea typeface="+mj-ea"/>
              <a:cs typeface="+mj-cs"/>
            </a:defRPr>
          </a:pPr>
          <a:endParaRPr lang="en-US"/>
        </a:p>
      </c:txPr>
    </c:title>
    <c:autoTitleDeleted val="0"/>
    <c:pivotFmts>
      <c:pivotFmt>
        <c:idx val="0"/>
        <c:spPr>
          <a:solidFill>
            <a:schemeClr val="accent6">
              <a:lumMod val="75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60000"/>
                <a:lumOff val="40000"/>
              </a:schemeClr>
            </a:solidFill>
          </a:ln>
          <a:effectLst>
            <a:innerShdw dist="12700" dir="16200000">
              <a:schemeClr val="lt1">
                <a:alpha val="75000"/>
              </a:schemeClr>
            </a:innerShdw>
          </a:effectLst>
        </c:spPr>
      </c:pivotFmt>
      <c:pivotFmt>
        <c:idx val="2"/>
        <c:spPr>
          <a:solidFill>
            <a:schemeClr val="accent6">
              <a:lumMod val="75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6">
                <a:lumMod val="60000"/>
                <a:lumOff val="40000"/>
              </a:schemeClr>
            </a:solidFill>
          </a:ln>
          <a:effectLst>
            <a:innerShdw dist="12700" dir="16200000">
              <a:schemeClr val="lt1">
                <a:alpha val="75000"/>
              </a:schemeClr>
            </a:innerShdw>
          </a:effectLst>
        </c:spPr>
      </c:pivotFmt>
      <c:pivotFmt>
        <c:idx val="4"/>
        <c:spPr>
          <a:solidFill>
            <a:schemeClr val="accent6">
              <a:lumMod val="75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accent6">
                <a:lumMod val="60000"/>
                <a:lumOff val="40000"/>
              </a:schemeClr>
            </a:solidFill>
          </a:ln>
          <a:effectLst>
            <a:innerShdw dist="12700" dir="16200000">
              <a:schemeClr val="lt1">
                <a:alpha val="75000"/>
              </a:schemeClr>
            </a:innerShdw>
          </a:effectLst>
        </c:spPr>
      </c:pivotFmt>
    </c:pivotFmts>
    <c:plotArea>
      <c:layout/>
      <c:barChart>
        <c:barDir val="col"/>
        <c:grouping val="clustered"/>
        <c:varyColors val="0"/>
        <c:ser>
          <c:idx val="0"/>
          <c:order val="0"/>
          <c:tx>
            <c:strRef>
              <c:f>'Pivot Table'!$B$15:$B$16</c:f>
              <c:strCache>
                <c:ptCount val="1"/>
                <c:pt idx="0">
                  <c:v>Yes</c:v>
                </c:pt>
              </c:strCache>
            </c:strRef>
          </c:tx>
          <c:spPr>
            <a:solidFill>
              <a:schemeClr val="accent6">
                <a:lumMod val="75000"/>
              </a:schemeClr>
            </a:solidFill>
            <a:ln>
              <a:noFill/>
            </a:ln>
            <a:effectLst>
              <a:innerShdw dist="12700" dir="16200000">
                <a:schemeClr val="lt1">
                  <a:alpha val="75000"/>
                </a:schemeClr>
              </a:innerShdw>
            </a:effectLst>
          </c:spPr>
          <c:invertIfNegative val="0"/>
          <c:dPt>
            <c:idx val="0"/>
            <c:invertIfNegative val="0"/>
            <c:bubble3D val="0"/>
            <c:spPr>
              <a:solidFill>
                <a:schemeClr val="accent6">
                  <a:lumMod val="75000"/>
                </a:schemeClr>
              </a:solidFill>
              <a:ln>
                <a:solidFill>
                  <a:schemeClr val="accent6">
                    <a:lumMod val="60000"/>
                    <a:lumOff val="40000"/>
                  </a:schemeClr>
                </a:solidFill>
              </a:ln>
              <a:effectLst>
                <a:innerShdw dist="12700" dir="16200000">
                  <a:schemeClr val="lt1">
                    <a:alpha val="75000"/>
                  </a:schemeClr>
                </a:innerShdw>
              </a:effectLst>
            </c:spPr>
            <c:extLst>
              <c:ext xmlns:c16="http://schemas.microsoft.com/office/drawing/2014/chart" uri="{C3380CC4-5D6E-409C-BE32-E72D297353CC}">
                <c16:uniqueId val="{00000001-FEC8-4450-976D-7AC90FFAAE07}"/>
              </c:ext>
            </c:extLst>
          </c:dPt>
          <c:dPt>
            <c:idx val="2"/>
            <c:invertIfNegative val="0"/>
            <c:bubble3D val="0"/>
            <c:extLst>
              <c:ext xmlns:c16="http://schemas.microsoft.com/office/drawing/2014/chart" uri="{C3380CC4-5D6E-409C-BE32-E72D297353CC}">
                <c16:uniqueId val="{00000002-FEC8-4450-976D-7AC90FFAAE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Table'!$A$17:$A$20</c:f>
              <c:strCache>
                <c:ptCount val="3"/>
                <c:pt idx="0">
                  <c:v>tokeet</c:v>
                </c:pt>
                <c:pt idx="1">
                  <c:v>airbnb</c:v>
                </c:pt>
                <c:pt idx="2">
                  <c:v>airbnbapiv2</c:v>
                </c:pt>
              </c:strCache>
            </c:strRef>
          </c:cat>
          <c:val>
            <c:numRef>
              <c:f>'Pivot Table'!$B$17:$B$20</c:f>
              <c:numCache>
                <c:formatCode>General</c:formatCode>
                <c:ptCount val="3"/>
                <c:pt idx="0">
                  <c:v>389</c:v>
                </c:pt>
                <c:pt idx="1">
                  <c:v>2</c:v>
                </c:pt>
                <c:pt idx="2">
                  <c:v>1</c:v>
                </c:pt>
              </c:numCache>
            </c:numRef>
          </c:val>
          <c:extLst>
            <c:ext xmlns:c16="http://schemas.microsoft.com/office/drawing/2014/chart" uri="{C3380CC4-5D6E-409C-BE32-E72D297353CC}">
              <c16:uniqueId val="{00000003-FEC8-4450-976D-7AC90FFAAE07}"/>
            </c:ext>
          </c:extLst>
        </c:ser>
        <c:dLbls>
          <c:showLegendKey val="0"/>
          <c:showVal val="0"/>
          <c:showCatName val="0"/>
          <c:showSerName val="0"/>
          <c:showPercent val="0"/>
          <c:showBubbleSize val="0"/>
        </c:dLbls>
        <c:gapWidth val="150"/>
        <c:axId val="771095071"/>
        <c:axId val="771095903"/>
      </c:barChart>
      <c:catAx>
        <c:axId val="7710950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accent4">
                    <a:lumMod val="60000"/>
                    <a:lumOff val="40000"/>
                  </a:schemeClr>
                </a:solidFill>
                <a:latin typeface="+mn-lt"/>
                <a:ea typeface="+mn-ea"/>
                <a:cs typeface="+mn-cs"/>
              </a:defRPr>
            </a:pPr>
            <a:endParaRPr lang="en-US"/>
          </a:p>
        </c:txPr>
        <c:crossAx val="771095903"/>
        <c:crosses val="autoZero"/>
        <c:auto val="1"/>
        <c:lblAlgn val="ctr"/>
        <c:lblOffset val="100"/>
        <c:noMultiLvlLbl val="0"/>
      </c:catAx>
      <c:valAx>
        <c:axId val="77109590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77109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File_10_-_Inquiries_Assignment(1).xlsxIKECHUKWU UGOCHUKWU.xlsx]Pivot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60000"/>
                    <a:lumOff val="40000"/>
                  </a:schemeClr>
                </a:solidFill>
              </a:rPr>
              <a:t>Revenue</a:t>
            </a:r>
            <a:r>
              <a:rPr lang="en-US" baseline="0">
                <a:solidFill>
                  <a:schemeClr val="accent4">
                    <a:lumMod val="60000"/>
                    <a:lumOff val="40000"/>
                  </a:schemeClr>
                </a:solidFill>
              </a:rPr>
              <a:t> Generated Per Month</a:t>
            </a:r>
            <a:endParaRPr lang="en-US">
              <a:solidFill>
                <a:schemeClr val="accent4">
                  <a:lumMod val="60000"/>
                  <a:lumOff val="40000"/>
                </a:schemeClr>
              </a:solidFill>
            </a:endParaRPr>
          </a:p>
        </c:rich>
      </c:tx>
      <c:layout>
        <c:manualLayout>
          <c:xMode val="edge"/>
          <c:yMode val="edge"/>
          <c:x val="0.25642857142857145"/>
          <c:y val="0.14137571641530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c:f>
              <c:strCache>
                <c:ptCount val="1"/>
                <c:pt idx="0">
                  <c:v>Total</c:v>
                </c:pt>
              </c:strCache>
            </c:strRef>
          </c:tx>
          <c:spPr>
            <a:ln w="28575" cap="rnd">
              <a:solidFill>
                <a:schemeClr val="accent1"/>
              </a:solidFill>
              <a:round/>
            </a:ln>
            <a:effectLst/>
          </c:spPr>
          <c:marker>
            <c:symbol val="none"/>
          </c:marker>
          <c:cat>
            <c:strRef>
              <c:f>'Pivot Table'!$A$27:$A$39</c:f>
              <c:strCache>
                <c:ptCount val="12"/>
                <c:pt idx="0">
                  <c:v>Oct</c:v>
                </c:pt>
                <c:pt idx="1">
                  <c:v>Nov</c:v>
                </c:pt>
                <c:pt idx="2">
                  <c:v>Aug</c:v>
                </c:pt>
                <c:pt idx="3">
                  <c:v>Sep</c:v>
                </c:pt>
                <c:pt idx="4">
                  <c:v>Jul</c:v>
                </c:pt>
                <c:pt idx="5">
                  <c:v>Apr</c:v>
                </c:pt>
                <c:pt idx="6">
                  <c:v>May</c:v>
                </c:pt>
                <c:pt idx="7">
                  <c:v>Jun</c:v>
                </c:pt>
                <c:pt idx="8">
                  <c:v>Dec</c:v>
                </c:pt>
                <c:pt idx="9">
                  <c:v>Mar</c:v>
                </c:pt>
                <c:pt idx="10">
                  <c:v>Feb</c:v>
                </c:pt>
                <c:pt idx="11">
                  <c:v>Jan</c:v>
                </c:pt>
              </c:strCache>
            </c:strRef>
          </c:cat>
          <c:val>
            <c:numRef>
              <c:f>'Pivot Table'!$B$27:$B$39</c:f>
              <c:numCache>
                <c:formatCode>_-[$£-809]* #,##0.00_-;\-[$£-809]* #,##0.00_-;_-[$£-809]* "-"??_-;_-@_-</c:formatCode>
                <c:ptCount val="12"/>
                <c:pt idx="0">
                  <c:v>22184.78</c:v>
                </c:pt>
                <c:pt idx="1">
                  <c:v>20112.34</c:v>
                </c:pt>
                <c:pt idx="2">
                  <c:v>19526.87</c:v>
                </c:pt>
                <c:pt idx="3">
                  <c:v>16006.999999999998</c:v>
                </c:pt>
                <c:pt idx="4">
                  <c:v>14899</c:v>
                </c:pt>
                <c:pt idx="5">
                  <c:v>11440</c:v>
                </c:pt>
                <c:pt idx="6">
                  <c:v>11250</c:v>
                </c:pt>
                <c:pt idx="7">
                  <c:v>8910</c:v>
                </c:pt>
                <c:pt idx="8">
                  <c:v>8095.0400000000009</c:v>
                </c:pt>
                <c:pt idx="9">
                  <c:v>4501.6499999999996</c:v>
                </c:pt>
                <c:pt idx="10">
                  <c:v>2186</c:v>
                </c:pt>
                <c:pt idx="11">
                  <c:v>94.33</c:v>
                </c:pt>
              </c:numCache>
            </c:numRef>
          </c:val>
          <c:smooth val="0"/>
          <c:extLst>
            <c:ext xmlns:c16="http://schemas.microsoft.com/office/drawing/2014/chart" uri="{C3380CC4-5D6E-409C-BE32-E72D297353CC}">
              <c16:uniqueId val="{00000000-4FB3-4697-B770-E0FE9F18472B}"/>
            </c:ext>
          </c:extLst>
        </c:ser>
        <c:dLbls>
          <c:showLegendKey val="0"/>
          <c:showVal val="0"/>
          <c:showCatName val="0"/>
          <c:showSerName val="0"/>
          <c:showPercent val="0"/>
          <c:showBubbleSize val="0"/>
        </c:dLbls>
        <c:smooth val="0"/>
        <c:axId val="809172975"/>
        <c:axId val="809175055"/>
      </c:lineChart>
      <c:catAx>
        <c:axId val="80917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809175055"/>
        <c:crosses val="autoZero"/>
        <c:auto val="1"/>
        <c:lblAlgn val="ctr"/>
        <c:lblOffset val="100"/>
        <c:noMultiLvlLbl val="0"/>
      </c:catAx>
      <c:valAx>
        <c:axId val="809175055"/>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80917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File_10_-_Inquiries_Assignment(1).xlsxIKECHUKWU UGOCHUKWU.xlsx]Pivot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C000"/>
                </a:solidFill>
              </a:rPr>
              <a:t>Revenue Generated Per Property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'Pivot Table'!$B$44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87-45B9-A96C-5C7B73E83A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87-45B9-A96C-5C7B73E83A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87-45B9-A96C-5C7B73E83A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87-45B9-A96C-5C7B73E83A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87-45B9-A96C-5C7B73E83A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87-45B9-A96C-5C7B73E83A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F87-45B9-A96C-5C7B73E83AF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F87-45B9-A96C-5C7B73E83A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Table'!$A$45:$A$53</c:f>
              <c:strCache>
                <c:ptCount val="8"/>
                <c:pt idx="0">
                  <c:v> The Daniels 5 Star Short Let Apartment in Lekki</c:v>
                </c:pt>
                <c:pt idx="1">
                  <c:v>Tiara's Luxury Home Away From Home</c:v>
                </c:pt>
                <c:pt idx="2">
                  <c:v>Keji's 5 Star Short let Apartment in Lekki</c:v>
                </c:pt>
                <c:pt idx="3">
                  <c:v>Ope's 5 Star Short Let Apartment in Lekki</c:v>
                </c:pt>
                <c:pt idx="4">
                  <c:v>Phiola's 5 Star Short Let Apartment in Lekki</c:v>
                </c:pt>
                <c:pt idx="5">
                  <c:v>Zoe's 5 Star Short let Apartment in Lekki</c:v>
                </c:pt>
                <c:pt idx="6">
                  <c:v>Achikare 's Luxury Home Away from Home</c:v>
                </c:pt>
                <c:pt idx="7">
                  <c:v>Sophia Luxury Home</c:v>
                </c:pt>
              </c:strCache>
            </c:strRef>
          </c:cat>
          <c:val>
            <c:numRef>
              <c:f>'Pivot Table'!$B$45:$B$53</c:f>
              <c:numCache>
                <c:formatCode>_-[$£-809]* #,##0.00_-;\-[$£-809]* #,##0.00_-;_-[$£-809]* "-"??_-;_-@_-</c:formatCode>
                <c:ptCount val="8"/>
                <c:pt idx="0">
                  <c:v>24864.37</c:v>
                </c:pt>
                <c:pt idx="1">
                  <c:v>20667.960000000003</c:v>
                </c:pt>
                <c:pt idx="2">
                  <c:v>20531.5</c:v>
                </c:pt>
                <c:pt idx="3">
                  <c:v>19543.329999999998</c:v>
                </c:pt>
                <c:pt idx="4">
                  <c:v>19536.650000000001</c:v>
                </c:pt>
                <c:pt idx="5">
                  <c:v>17568.25</c:v>
                </c:pt>
                <c:pt idx="6">
                  <c:v>15507.949999999999</c:v>
                </c:pt>
                <c:pt idx="7">
                  <c:v>987</c:v>
                </c:pt>
              </c:numCache>
            </c:numRef>
          </c:val>
          <c:extLst>
            <c:ext xmlns:c16="http://schemas.microsoft.com/office/drawing/2014/chart" uri="{C3380CC4-5D6E-409C-BE32-E72D297353CC}">
              <c16:uniqueId val="{00000010-5F87-45B9-A96C-5C7B73E83A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075960743002364"/>
          <c:y val="0.46119252269038891"/>
          <c:w val="0.26218288666566059"/>
          <c:h val="0.41999519144076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File_10_-_Inquiries_Assignment(1).xlsxIKECHUKWU UGOCHUKWU.xlsx]Pivot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60000"/>
                    <a:lumOff val="40000"/>
                  </a:schemeClr>
                </a:solidFill>
              </a:rPr>
              <a:t>Guests</a:t>
            </a:r>
            <a:r>
              <a:rPr lang="en-US" baseline="0">
                <a:solidFill>
                  <a:schemeClr val="accent4">
                    <a:lumMod val="60000"/>
                    <a:lumOff val="40000"/>
                  </a:schemeClr>
                </a:solidFill>
              </a:rPr>
              <a:t> with more than one Booking</a:t>
            </a:r>
            <a:endParaRPr lang="en-US">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Table'!$B$68</c:f>
              <c:strCache>
                <c:ptCount val="1"/>
                <c:pt idx="0">
                  <c:v>Total</c:v>
                </c:pt>
              </c:strCache>
            </c:strRef>
          </c:tx>
          <c:spPr>
            <a:solidFill>
              <a:schemeClr val="accent6">
                <a:lumMod val="75000"/>
              </a:schemeClr>
            </a:solidFill>
            <a:ln>
              <a:noFill/>
            </a:ln>
            <a:effectLst/>
          </c:spPr>
          <c:invertIfNegative val="0"/>
          <c:cat>
            <c:strRef>
              <c:f>'Pivot Table'!$A$69:$A$132</c:f>
              <c:strCache>
                <c:ptCount val="63"/>
                <c:pt idx="0">
                  <c:v>Guest 452</c:v>
                </c:pt>
                <c:pt idx="1">
                  <c:v>Guest 454</c:v>
                </c:pt>
                <c:pt idx="2">
                  <c:v>Guest 103</c:v>
                </c:pt>
                <c:pt idx="3">
                  <c:v>Guest 32</c:v>
                </c:pt>
                <c:pt idx="4">
                  <c:v>Guest 537</c:v>
                </c:pt>
                <c:pt idx="5">
                  <c:v>Guest 205</c:v>
                </c:pt>
                <c:pt idx="6">
                  <c:v>Guest 275</c:v>
                </c:pt>
                <c:pt idx="7">
                  <c:v>Guest 379</c:v>
                </c:pt>
                <c:pt idx="8">
                  <c:v>Guest 294</c:v>
                </c:pt>
                <c:pt idx="9">
                  <c:v>Guest 335</c:v>
                </c:pt>
                <c:pt idx="10">
                  <c:v>Guest 203</c:v>
                </c:pt>
                <c:pt idx="11">
                  <c:v>Guest 425</c:v>
                </c:pt>
                <c:pt idx="12">
                  <c:v>Guest 508</c:v>
                </c:pt>
                <c:pt idx="13">
                  <c:v>Guest 295</c:v>
                </c:pt>
                <c:pt idx="14">
                  <c:v>Guest 445</c:v>
                </c:pt>
                <c:pt idx="15">
                  <c:v>Guest 307</c:v>
                </c:pt>
                <c:pt idx="16">
                  <c:v>Guest 473</c:v>
                </c:pt>
                <c:pt idx="17">
                  <c:v>Guest 80</c:v>
                </c:pt>
                <c:pt idx="18">
                  <c:v>Guest 403</c:v>
                </c:pt>
                <c:pt idx="19">
                  <c:v>Guest 143</c:v>
                </c:pt>
                <c:pt idx="20">
                  <c:v>Guest 535</c:v>
                </c:pt>
                <c:pt idx="21">
                  <c:v>Guest 483</c:v>
                </c:pt>
                <c:pt idx="22">
                  <c:v>Guest 200</c:v>
                </c:pt>
                <c:pt idx="23">
                  <c:v>Guest 302</c:v>
                </c:pt>
                <c:pt idx="24">
                  <c:v>Guest 497</c:v>
                </c:pt>
                <c:pt idx="25">
                  <c:v>Guest 264</c:v>
                </c:pt>
                <c:pt idx="26">
                  <c:v>Guest 297</c:v>
                </c:pt>
                <c:pt idx="27">
                  <c:v>Guest 192</c:v>
                </c:pt>
                <c:pt idx="28">
                  <c:v>Guest 46</c:v>
                </c:pt>
                <c:pt idx="29">
                  <c:v>Guest 324</c:v>
                </c:pt>
                <c:pt idx="30">
                  <c:v>Guest 489</c:v>
                </c:pt>
                <c:pt idx="31">
                  <c:v>Guest 328</c:v>
                </c:pt>
                <c:pt idx="32">
                  <c:v>Guest 218</c:v>
                </c:pt>
                <c:pt idx="33">
                  <c:v>Guest 334</c:v>
                </c:pt>
                <c:pt idx="34">
                  <c:v>Guest 204</c:v>
                </c:pt>
                <c:pt idx="35">
                  <c:v>Guest 570</c:v>
                </c:pt>
                <c:pt idx="36">
                  <c:v>Guest 146</c:v>
                </c:pt>
                <c:pt idx="37">
                  <c:v>Guest 66</c:v>
                </c:pt>
                <c:pt idx="38">
                  <c:v>Guest 291</c:v>
                </c:pt>
                <c:pt idx="39">
                  <c:v>Guest 268</c:v>
                </c:pt>
                <c:pt idx="40">
                  <c:v>Guest 149</c:v>
                </c:pt>
                <c:pt idx="41">
                  <c:v>Guest 84</c:v>
                </c:pt>
                <c:pt idx="42">
                  <c:v>Guest 487</c:v>
                </c:pt>
                <c:pt idx="43">
                  <c:v>Guest 1</c:v>
                </c:pt>
                <c:pt idx="44">
                  <c:v>Guest 494</c:v>
                </c:pt>
                <c:pt idx="45">
                  <c:v>Guest 560</c:v>
                </c:pt>
                <c:pt idx="46">
                  <c:v>Guest 505</c:v>
                </c:pt>
                <c:pt idx="47">
                  <c:v>Guest 380</c:v>
                </c:pt>
                <c:pt idx="48">
                  <c:v>Guest 52</c:v>
                </c:pt>
                <c:pt idx="49">
                  <c:v>Guest 398</c:v>
                </c:pt>
                <c:pt idx="50">
                  <c:v>Guest 536</c:v>
                </c:pt>
                <c:pt idx="51">
                  <c:v>Guest 272</c:v>
                </c:pt>
                <c:pt idx="52">
                  <c:v>Guest 545</c:v>
                </c:pt>
                <c:pt idx="53">
                  <c:v>Guest 41</c:v>
                </c:pt>
                <c:pt idx="54">
                  <c:v>Guest 274</c:v>
                </c:pt>
                <c:pt idx="55">
                  <c:v>Guest 196</c:v>
                </c:pt>
                <c:pt idx="56">
                  <c:v>Guest 72</c:v>
                </c:pt>
                <c:pt idx="57">
                  <c:v>Guest 338</c:v>
                </c:pt>
                <c:pt idx="58">
                  <c:v>Guest 83</c:v>
                </c:pt>
                <c:pt idx="59">
                  <c:v>Guest 343</c:v>
                </c:pt>
                <c:pt idx="60">
                  <c:v>Guest 99</c:v>
                </c:pt>
                <c:pt idx="61">
                  <c:v>Guest 346</c:v>
                </c:pt>
                <c:pt idx="62">
                  <c:v>Guest 373</c:v>
                </c:pt>
              </c:strCache>
            </c:strRef>
          </c:cat>
          <c:val>
            <c:numRef>
              <c:f>'Pivot Table'!$B$69:$B$132</c:f>
              <c:numCache>
                <c:formatCode>General</c:formatCode>
                <c:ptCount val="63"/>
                <c:pt idx="0">
                  <c:v>14</c:v>
                </c:pt>
                <c:pt idx="1">
                  <c:v>9</c:v>
                </c:pt>
                <c:pt idx="2">
                  <c:v>7</c:v>
                </c:pt>
                <c:pt idx="3">
                  <c:v>6</c:v>
                </c:pt>
                <c:pt idx="4">
                  <c:v>5</c:v>
                </c:pt>
                <c:pt idx="5">
                  <c:v>5</c:v>
                </c:pt>
                <c:pt idx="6">
                  <c:v>5</c:v>
                </c:pt>
                <c:pt idx="7">
                  <c:v>4</c:v>
                </c:pt>
                <c:pt idx="8">
                  <c:v>4</c:v>
                </c:pt>
                <c:pt idx="9">
                  <c:v>4</c:v>
                </c:pt>
                <c:pt idx="10">
                  <c:v>3</c:v>
                </c:pt>
                <c:pt idx="11">
                  <c:v>3</c:v>
                </c:pt>
                <c:pt idx="12">
                  <c:v>3</c:v>
                </c:pt>
                <c:pt idx="13">
                  <c:v>3</c:v>
                </c:pt>
                <c:pt idx="14">
                  <c:v>3</c:v>
                </c:pt>
                <c:pt idx="15">
                  <c:v>3</c:v>
                </c:pt>
                <c:pt idx="16">
                  <c:v>3</c:v>
                </c:pt>
                <c:pt idx="17">
                  <c:v>3</c:v>
                </c:pt>
                <c:pt idx="18">
                  <c:v>3</c:v>
                </c:pt>
                <c:pt idx="19">
                  <c:v>3</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numCache>
            </c:numRef>
          </c:val>
          <c:extLst>
            <c:ext xmlns:c16="http://schemas.microsoft.com/office/drawing/2014/chart" uri="{C3380CC4-5D6E-409C-BE32-E72D297353CC}">
              <c16:uniqueId val="{00000000-B386-41D9-A5F7-EB22B3F6850F}"/>
            </c:ext>
          </c:extLst>
        </c:ser>
        <c:dLbls>
          <c:showLegendKey val="0"/>
          <c:showVal val="0"/>
          <c:showCatName val="0"/>
          <c:showSerName val="0"/>
          <c:showPercent val="0"/>
          <c:showBubbleSize val="0"/>
        </c:dLbls>
        <c:gapWidth val="219"/>
        <c:overlap val="-27"/>
        <c:axId val="1342643711"/>
        <c:axId val="1342644543"/>
      </c:barChart>
      <c:catAx>
        <c:axId val="134264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342644543"/>
        <c:crosses val="autoZero"/>
        <c:auto val="1"/>
        <c:lblAlgn val="ctr"/>
        <c:lblOffset val="100"/>
        <c:noMultiLvlLbl val="0"/>
      </c:catAx>
      <c:valAx>
        <c:axId val="134264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34264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File_10_-_Inquiries_Assignment(1).xlsxIKECHUKWU UGOCHUKWU.xlsx]Pivot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60000"/>
                    <a:lumOff val="40000"/>
                  </a:schemeClr>
                </a:solidFill>
              </a:rPr>
              <a:t>Top</a:t>
            </a:r>
            <a:r>
              <a:rPr lang="en-US" baseline="0">
                <a:solidFill>
                  <a:schemeClr val="accent4">
                    <a:lumMod val="60000"/>
                    <a:lumOff val="40000"/>
                  </a:schemeClr>
                </a:solidFill>
              </a:rPr>
              <a:t> 10 Guests with highest Revenue</a:t>
            </a:r>
            <a:endParaRPr lang="en-US">
              <a:solidFill>
                <a:schemeClr val="accent4">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85892388451443"/>
          <c:y val="0.23550707203266255"/>
          <c:w val="0.48858092738407699"/>
          <c:h val="0.6293157626130067"/>
        </c:manualLayout>
      </c:layout>
      <c:barChart>
        <c:barDir val="bar"/>
        <c:grouping val="clustered"/>
        <c:varyColors val="0"/>
        <c:ser>
          <c:idx val="0"/>
          <c:order val="0"/>
          <c:tx>
            <c:strRef>
              <c:f>'Pivot Table'!$B$135</c:f>
              <c:strCache>
                <c:ptCount val="1"/>
                <c:pt idx="0">
                  <c:v>Total</c:v>
                </c:pt>
              </c:strCache>
            </c:strRef>
          </c:tx>
          <c:spPr>
            <a:solidFill>
              <a:schemeClr val="accent6">
                <a:lumMod val="75000"/>
              </a:schemeClr>
            </a:solidFill>
            <a:ln>
              <a:noFill/>
            </a:ln>
            <a:effectLst/>
          </c:spPr>
          <c:invertIfNegative val="0"/>
          <c:cat>
            <c:strRef>
              <c:f>'Pivot Table'!$A$136:$A$146</c:f>
              <c:strCache>
                <c:ptCount val="10"/>
                <c:pt idx="0">
                  <c:v>Guest 39</c:v>
                </c:pt>
                <c:pt idx="1">
                  <c:v>Guest 149</c:v>
                </c:pt>
                <c:pt idx="2">
                  <c:v>Guest 482</c:v>
                </c:pt>
                <c:pt idx="3">
                  <c:v>Guest 269</c:v>
                </c:pt>
                <c:pt idx="4">
                  <c:v>Guest 10</c:v>
                </c:pt>
                <c:pt idx="5">
                  <c:v>Guest 511</c:v>
                </c:pt>
                <c:pt idx="6">
                  <c:v>Guest 520</c:v>
                </c:pt>
                <c:pt idx="7">
                  <c:v>Guest 266</c:v>
                </c:pt>
                <c:pt idx="8">
                  <c:v>Guest 260</c:v>
                </c:pt>
                <c:pt idx="9">
                  <c:v>Guest 151</c:v>
                </c:pt>
              </c:strCache>
            </c:strRef>
          </c:cat>
          <c:val>
            <c:numRef>
              <c:f>'Pivot Table'!$B$136:$B$146</c:f>
              <c:numCache>
                <c:formatCode>_-[$£-809]* #,##0.00_-;\-[$£-809]* #,##0.00_-;_-[$£-809]* "-"??_-;_-@_-</c:formatCode>
                <c:ptCount val="10"/>
                <c:pt idx="0">
                  <c:v>1440000</c:v>
                </c:pt>
                <c:pt idx="1">
                  <c:v>1432655.25</c:v>
                </c:pt>
                <c:pt idx="2">
                  <c:v>1300000</c:v>
                </c:pt>
                <c:pt idx="3">
                  <c:v>1275000</c:v>
                </c:pt>
                <c:pt idx="4">
                  <c:v>1200000</c:v>
                </c:pt>
                <c:pt idx="5">
                  <c:v>1170000</c:v>
                </c:pt>
                <c:pt idx="6">
                  <c:v>910000</c:v>
                </c:pt>
                <c:pt idx="7">
                  <c:v>910000</c:v>
                </c:pt>
                <c:pt idx="8">
                  <c:v>900000</c:v>
                </c:pt>
                <c:pt idx="9">
                  <c:v>550000</c:v>
                </c:pt>
              </c:numCache>
            </c:numRef>
          </c:val>
          <c:extLst>
            <c:ext xmlns:c16="http://schemas.microsoft.com/office/drawing/2014/chart" uri="{C3380CC4-5D6E-409C-BE32-E72D297353CC}">
              <c16:uniqueId val="{00000000-74F4-460A-ACD0-F3EF4605BC71}"/>
            </c:ext>
          </c:extLst>
        </c:ser>
        <c:dLbls>
          <c:showLegendKey val="0"/>
          <c:showVal val="0"/>
          <c:showCatName val="0"/>
          <c:showSerName val="0"/>
          <c:showPercent val="0"/>
          <c:showBubbleSize val="0"/>
        </c:dLbls>
        <c:gapWidth val="182"/>
        <c:axId val="1493009023"/>
        <c:axId val="1493007775"/>
      </c:barChart>
      <c:catAx>
        <c:axId val="149300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493007775"/>
        <c:crosses val="autoZero"/>
        <c:auto val="1"/>
        <c:lblAlgn val="ctr"/>
        <c:lblOffset val="100"/>
        <c:noMultiLvlLbl val="0"/>
      </c:catAx>
      <c:valAx>
        <c:axId val="1493007775"/>
        <c:scaling>
          <c:orientation val="minMax"/>
        </c:scaling>
        <c:delete val="0"/>
        <c:axPos val="b"/>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49300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571500</xdr:colOff>
      <xdr:row>152</xdr:row>
      <xdr:rowOff>76200</xdr:rowOff>
    </xdr:from>
    <xdr:to>
      <xdr:col>2</xdr:col>
      <xdr:colOff>1381125</xdr:colOff>
      <xdr:row>157</xdr:row>
      <xdr:rowOff>66675</xdr:rowOff>
    </xdr:to>
    <mc:AlternateContent xmlns:mc="http://schemas.openxmlformats.org/markup-compatibility/2006" xmlns:a14="http://schemas.microsoft.com/office/drawing/2010/main">
      <mc:Choice Requires="a14">
        <xdr:graphicFrame macro="">
          <xdr:nvGraphicFramePr>
            <xdr:cNvPr id="9" name="Booked">
              <a:extLst>
                <a:ext uri="{FF2B5EF4-FFF2-40B4-BE49-F238E27FC236}">
                  <a16:creationId xmlns:a16="http://schemas.microsoft.com/office/drawing/2014/main" id="{67C3FAA0-B12C-49E2-91AC-743E8441E9FE}"/>
                </a:ext>
              </a:extLst>
            </xdr:cNvPr>
            <xdr:cNvGraphicFramePr/>
          </xdr:nvGraphicFramePr>
          <xdr:xfrm>
            <a:off x="0" y="0"/>
            <a:ext cx="0" cy="0"/>
          </xdr:xfrm>
          <a:graphic>
            <a:graphicData uri="http://schemas.microsoft.com/office/drawing/2010/slicer">
              <sle:slicer xmlns:sle="http://schemas.microsoft.com/office/drawing/2010/slicer" name="Booked"/>
            </a:graphicData>
          </a:graphic>
        </xdr:graphicFrame>
      </mc:Choice>
      <mc:Fallback xmlns="">
        <xdr:sp macro="" textlink="">
          <xdr:nvSpPr>
            <xdr:cNvPr id="0" name=""/>
            <xdr:cNvSpPr>
              <a:spLocks noTextEdit="1"/>
            </xdr:cNvSpPr>
          </xdr:nvSpPr>
          <xdr:spPr>
            <a:xfrm>
              <a:off x="1581150" y="2903220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2333625</xdr:colOff>
      <xdr:row>150</xdr:row>
      <xdr:rowOff>85725</xdr:rowOff>
    </xdr:from>
    <xdr:to>
      <xdr:col>5</xdr:col>
      <xdr:colOff>762000</xdr:colOff>
      <xdr:row>163</xdr:row>
      <xdr:rowOff>133350</xdr:rowOff>
    </xdr:to>
    <mc:AlternateContent xmlns:mc="http://schemas.openxmlformats.org/markup-compatibility/2006" xmlns:a14="http://schemas.microsoft.com/office/drawing/2010/main">
      <mc:Choice Requires="a14">
        <xdr:graphicFrame macro="">
          <xdr:nvGraphicFramePr>
            <xdr:cNvPr id="10" name="Rental">
              <a:extLst>
                <a:ext uri="{FF2B5EF4-FFF2-40B4-BE49-F238E27FC236}">
                  <a16:creationId xmlns:a16="http://schemas.microsoft.com/office/drawing/2014/main" id="{278F43D2-FBB2-43DF-A866-9C78CA9BF133}"/>
                </a:ext>
              </a:extLst>
            </xdr:cNvPr>
            <xdr:cNvGraphicFramePr/>
          </xdr:nvGraphicFramePr>
          <xdr:xfrm>
            <a:off x="0" y="0"/>
            <a:ext cx="0" cy="0"/>
          </xdr:xfrm>
          <a:graphic>
            <a:graphicData uri="http://schemas.microsoft.com/office/drawing/2010/slicer">
              <sle:slicer xmlns:sle="http://schemas.microsoft.com/office/drawing/2010/slicer" name="Rental"/>
            </a:graphicData>
          </a:graphic>
        </xdr:graphicFrame>
      </mc:Choice>
      <mc:Fallback xmlns="">
        <xdr:sp macro="" textlink="">
          <xdr:nvSpPr>
            <xdr:cNvPr id="0" name=""/>
            <xdr:cNvSpPr>
              <a:spLocks noTextEdit="1"/>
            </xdr:cNvSpPr>
          </xdr:nvSpPr>
          <xdr:spPr>
            <a:xfrm>
              <a:off x="6877050" y="28660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137</xdr:row>
      <xdr:rowOff>9525</xdr:rowOff>
    </xdr:from>
    <xdr:to>
      <xdr:col>7</xdr:col>
      <xdr:colOff>57150</xdr:colOff>
      <xdr:row>150</xdr:row>
      <xdr:rowOff>57150</xdr:rowOff>
    </xdr:to>
    <mc:AlternateContent xmlns:mc="http://schemas.openxmlformats.org/markup-compatibility/2006" xmlns:a14="http://schemas.microsoft.com/office/drawing/2010/main">
      <mc:Choice Requires="a14">
        <xdr:graphicFrame macro="">
          <xdr:nvGraphicFramePr>
            <xdr:cNvPr id="11" name="Source">
              <a:extLst>
                <a:ext uri="{FF2B5EF4-FFF2-40B4-BE49-F238E27FC236}">
                  <a16:creationId xmlns:a16="http://schemas.microsoft.com/office/drawing/2014/main" id="{CF73F500-DA1F-44BA-A686-110EFC03ADE6}"/>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8134350" y="26108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xdr:colOff>
      <xdr:row>0</xdr:row>
      <xdr:rowOff>447675</xdr:rowOff>
    </xdr:from>
    <xdr:to>
      <xdr:col>10</xdr:col>
      <xdr:colOff>381000</xdr:colOff>
      <xdr:row>12</xdr:row>
      <xdr:rowOff>19050</xdr:rowOff>
    </xdr:to>
    <xdr:graphicFrame macro="">
      <xdr:nvGraphicFramePr>
        <xdr:cNvPr id="2" name="Chart 1">
          <a:extLst>
            <a:ext uri="{FF2B5EF4-FFF2-40B4-BE49-F238E27FC236}">
              <a16:creationId xmlns:a16="http://schemas.microsoft.com/office/drawing/2014/main" id="{A9BF9B1E-2BD6-4937-B194-3ACB3A98F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361950</xdr:colOff>
      <xdr:row>15</xdr:row>
      <xdr:rowOff>161925</xdr:rowOff>
    </xdr:from>
    <xdr:to>
      <xdr:col>18</xdr:col>
      <xdr:colOff>342900</xdr:colOff>
      <xdr:row>27</xdr:row>
      <xdr:rowOff>57150</xdr:rowOff>
    </xdr:to>
    <xdr:graphicFrame macro="">
      <xdr:nvGraphicFramePr>
        <xdr:cNvPr id="3" name="Chart 2">
          <a:extLst>
            <a:ext uri="{FF2B5EF4-FFF2-40B4-BE49-F238E27FC236}">
              <a16:creationId xmlns:a16="http://schemas.microsoft.com/office/drawing/2014/main" id="{9E97C907-53EA-4DC4-99B7-60F101DF4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85727</xdr:colOff>
      <xdr:row>12</xdr:row>
      <xdr:rowOff>28574</xdr:rowOff>
    </xdr:from>
    <xdr:to>
      <xdr:col>10</xdr:col>
      <xdr:colOff>371475</xdr:colOff>
      <xdr:row>27</xdr:row>
      <xdr:rowOff>57150</xdr:rowOff>
    </xdr:to>
    <xdr:graphicFrame macro="">
      <xdr:nvGraphicFramePr>
        <xdr:cNvPr id="4" name="Chart 3">
          <a:extLst>
            <a:ext uri="{FF2B5EF4-FFF2-40B4-BE49-F238E27FC236}">
              <a16:creationId xmlns:a16="http://schemas.microsoft.com/office/drawing/2014/main" id="{1D78E402-774A-4A3B-83B8-4E9AC5C5C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390525</xdr:colOff>
      <xdr:row>0</xdr:row>
      <xdr:rowOff>457198</xdr:rowOff>
    </xdr:from>
    <xdr:to>
      <xdr:col>18</xdr:col>
      <xdr:colOff>304800</xdr:colOff>
      <xdr:row>15</xdr:row>
      <xdr:rowOff>152399</xdr:rowOff>
    </xdr:to>
    <xdr:graphicFrame macro="">
      <xdr:nvGraphicFramePr>
        <xdr:cNvPr id="5" name="Chart 4">
          <a:extLst>
            <a:ext uri="{FF2B5EF4-FFF2-40B4-BE49-F238E27FC236}">
              <a16:creationId xmlns:a16="http://schemas.microsoft.com/office/drawing/2014/main" id="{4A17843C-91CD-421F-9155-C12FE58D8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323850</xdr:colOff>
      <xdr:row>0</xdr:row>
      <xdr:rowOff>447676</xdr:rowOff>
    </xdr:from>
    <xdr:to>
      <xdr:col>26</xdr:col>
      <xdr:colOff>66675</xdr:colOff>
      <xdr:row>14</xdr:row>
      <xdr:rowOff>85726</xdr:rowOff>
    </xdr:to>
    <xdr:graphicFrame macro="">
      <xdr:nvGraphicFramePr>
        <xdr:cNvPr id="7" name="Chart 6">
          <a:extLst>
            <a:ext uri="{FF2B5EF4-FFF2-40B4-BE49-F238E27FC236}">
              <a16:creationId xmlns:a16="http://schemas.microsoft.com/office/drawing/2014/main" id="{754C625A-3C51-43B2-958F-FBA152BDA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314325</xdr:colOff>
      <xdr:row>14</xdr:row>
      <xdr:rowOff>76200</xdr:rowOff>
    </xdr:from>
    <xdr:to>
      <xdr:col>26</xdr:col>
      <xdr:colOff>247650</xdr:colOff>
      <xdr:row>27</xdr:row>
      <xdr:rowOff>133350</xdr:rowOff>
    </xdr:to>
    <xdr:graphicFrame macro="">
      <xdr:nvGraphicFramePr>
        <xdr:cNvPr id="8" name="Chart 7">
          <a:extLst>
            <a:ext uri="{FF2B5EF4-FFF2-40B4-BE49-F238E27FC236}">
              <a16:creationId xmlns:a16="http://schemas.microsoft.com/office/drawing/2014/main" id="{4E986884-0730-4DD3-9EAD-0BC12CDCB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38100</xdr:rowOff>
    </xdr:from>
    <xdr:to>
      <xdr:col>3</xdr:col>
      <xdr:colOff>76200</xdr:colOff>
      <xdr:row>5</xdr:row>
      <xdr:rowOff>95250</xdr:rowOff>
    </xdr:to>
    <mc:AlternateContent xmlns:mc="http://schemas.openxmlformats.org/markup-compatibility/2006" xmlns:a14="http://schemas.microsoft.com/office/drawing/2010/main">
      <mc:Choice Requires="a14">
        <xdr:graphicFrame macro="">
          <xdr:nvGraphicFramePr>
            <xdr:cNvPr id="9" name="Booked 1">
              <a:extLst>
                <a:ext uri="{FF2B5EF4-FFF2-40B4-BE49-F238E27FC236}">
                  <a16:creationId xmlns:a16="http://schemas.microsoft.com/office/drawing/2014/main" id="{F628B4A0-62EC-4BD6-AD38-23EA216BEE54}"/>
                </a:ext>
              </a:extLst>
            </xdr:cNvPr>
            <xdr:cNvGraphicFramePr/>
          </xdr:nvGraphicFramePr>
          <xdr:xfrm>
            <a:off x="0" y="0"/>
            <a:ext cx="0" cy="0"/>
          </xdr:xfrm>
          <a:graphic>
            <a:graphicData uri="http://schemas.microsoft.com/office/drawing/2010/slicer">
              <sle:slicer xmlns:sle="http://schemas.microsoft.com/office/drawing/2010/slicer" name="Booked 1"/>
            </a:graphicData>
          </a:graphic>
        </xdr:graphicFrame>
      </mc:Choice>
      <mc:Fallback xmlns="">
        <xdr:sp macro="" textlink="">
          <xdr:nvSpPr>
            <xdr:cNvPr id="0" name=""/>
            <xdr:cNvSpPr>
              <a:spLocks noTextEdit="1"/>
            </xdr:cNvSpPr>
          </xdr:nvSpPr>
          <xdr:spPr>
            <a:xfrm>
              <a:off x="0" y="495300"/>
              <a:ext cx="1905000" cy="81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95250</xdr:rowOff>
    </xdr:from>
    <xdr:to>
      <xdr:col>3</xdr:col>
      <xdr:colOff>85725</xdr:colOff>
      <xdr:row>18</xdr:row>
      <xdr:rowOff>87630</xdr:rowOff>
    </xdr:to>
    <mc:AlternateContent xmlns:mc="http://schemas.openxmlformats.org/markup-compatibility/2006" xmlns:a14="http://schemas.microsoft.com/office/drawing/2010/main">
      <mc:Choice Requires="a14">
        <xdr:graphicFrame macro="">
          <xdr:nvGraphicFramePr>
            <xdr:cNvPr id="10" name="Rental 1">
              <a:extLst>
                <a:ext uri="{FF2B5EF4-FFF2-40B4-BE49-F238E27FC236}">
                  <a16:creationId xmlns:a16="http://schemas.microsoft.com/office/drawing/2014/main" id="{F172F997-9147-4328-8F53-A50B67886233}"/>
                </a:ext>
              </a:extLst>
            </xdr:cNvPr>
            <xdr:cNvGraphicFramePr/>
          </xdr:nvGraphicFramePr>
          <xdr:xfrm>
            <a:off x="0" y="0"/>
            <a:ext cx="0" cy="0"/>
          </xdr:xfrm>
          <a:graphic>
            <a:graphicData uri="http://schemas.microsoft.com/office/drawing/2010/slicer">
              <sle:slicer xmlns:sle="http://schemas.microsoft.com/office/drawing/2010/slicer" name="Rental 1"/>
            </a:graphicData>
          </a:graphic>
        </xdr:graphicFrame>
      </mc:Choice>
      <mc:Fallback xmlns="">
        <xdr:sp macro="" textlink="">
          <xdr:nvSpPr>
            <xdr:cNvPr id="0" name=""/>
            <xdr:cNvSpPr>
              <a:spLocks noTextEdit="1"/>
            </xdr:cNvSpPr>
          </xdr:nvSpPr>
          <xdr:spPr>
            <a:xfrm>
              <a:off x="0" y="1314450"/>
              <a:ext cx="1914525"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18</xdr:row>
      <xdr:rowOff>95250</xdr:rowOff>
    </xdr:from>
    <xdr:to>
      <xdr:col>3</xdr:col>
      <xdr:colOff>85725</xdr:colOff>
      <xdr:row>27</xdr:row>
      <xdr:rowOff>118110</xdr:rowOff>
    </xdr:to>
    <mc:AlternateContent xmlns:mc="http://schemas.openxmlformats.org/markup-compatibility/2006" xmlns:a14="http://schemas.microsoft.com/office/drawing/2010/main">
      <mc:Choice Requires="a14">
        <xdr:graphicFrame macro="">
          <xdr:nvGraphicFramePr>
            <xdr:cNvPr id="11" name="Source 1">
              <a:extLst>
                <a:ext uri="{FF2B5EF4-FFF2-40B4-BE49-F238E27FC236}">
                  <a16:creationId xmlns:a16="http://schemas.microsoft.com/office/drawing/2014/main" id="{03C2A6EC-0043-44D9-AF30-D66DFDCA6F08}"/>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9525" y="3790950"/>
              <a:ext cx="190500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136.910589930558" createdVersion="7" refreshedVersion="7" minRefreshableVersion="3" recordCount="949" xr:uid="{3255E35A-8E3C-4873-BDB2-709E4F09818B}">
  <cacheSource type="worksheet">
    <worksheetSource name="Table13"/>
  </cacheSource>
  <cacheFields count="18">
    <cacheField name="Name" numFmtId="0">
      <sharedItems count="545">
        <s v="Guest 325"/>
        <s v="Guest 205"/>
        <s v="Guest 551"/>
        <s v="Guest 535"/>
        <s v="Guest 369"/>
        <s v="Guest 520"/>
        <s v="Guest 480"/>
        <s v="Guest 311"/>
        <s v="Guest 575"/>
        <s v="Guest 193"/>
        <s v="Guest 204"/>
        <s v="Guest 548"/>
        <s v="Guest 330"/>
        <s v="Guest 65"/>
        <s v="Guest 307"/>
        <s v="Guest 428"/>
        <s v="Guest 479"/>
        <s v="Guest 272"/>
        <s v="Guest 58"/>
        <s v="Guest 529"/>
        <s v="Guest 112"/>
        <s v="Guest 534"/>
        <s v="Guest 345"/>
        <s v="Guest 105"/>
        <s v="Guest 346"/>
        <s v="Guest 108"/>
        <s v="Guest 362"/>
        <s v="Guest 500"/>
        <s v="Guest 139"/>
        <s v="Guest 453"/>
        <s v="Guest 267"/>
        <s v="Guest 226"/>
        <s v="Guest 517"/>
        <s v="Guest 384"/>
        <s v="Guest 531"/>
        <s v="Guest 135"/>
        <s v="Guest 299"/>
        <s v="Guest 454"/>
        <s v="Guest 440"/>
        <s v="Guest 100"/>
        <s v="Guest 79"/>
        <s v="Guest 499"/>
        <s v="Guest 377"/>
        <s v="Guest 459"/>
        <s v="Guest 533"/>
        <s v="Guest 301"/>
        <s v="Guest 257"/>
        <s v="Guest 426"/>
        <s v="Guest 458"/>
        <s v="Guest 101"/>
        <s v="Guest 32"/>
        <s v="Guest 334"/>
        <s v="Guest 116"/>
        <s v="Guest 518"/>
        <s v="Guest 491"/>
        <s v="Guest 138"/>
        <s v="Guest 155"/>
        <s v="Guest 122"/>
        <s v="Guest 415"/>
        <s v="Guest 300"/>
        <s v="Guest 16"/>
        <s v="Guest 468"/>
        <s v="Guest 290"/>
        <s v="Guest 142"/>
        <s v="Guest 315"/>
        <s v="Guest 237"/>
        <s v="Guest 39"/>
        <s v="Guest 151"/>
        <s v="Guest 456"/>
        <s v="Guest 460"/>
        <s v="Guest 420"/>
        <s v="Guest 158"/>
        <s v="Guest 313"/>
        <s v="Guest 34"/>
        <s v="Guest 557"/>
        <s v="Guest 335"/>
        <s v="Guest 15"/>
        <s v="Guest 84"/>
        <s v="Guest 566"/>
        <s v="Guest 256"/>
        <s v="Guest 126"/>
        <s v="Guest 202"/>
        <s v="Guest 439"/>
        <s v="Guest 254"/>
        <s v="Guest 258"/>
        <s v="Guest 332"/>
        <s v="Guest 219"/>
        <s v="Guest 143"/>
        <s v="Guest 275"/>
        <s v="Guest 26"/>
        <s v="Guest 216"/>
        <s v="Guest 54"/>
        <s v="Guest 576"/>
        <s v="Guest 473"/>
        <s v="Guest 407"/>
        <s v="Guest 282"/>
        <s v="Guest 7"/>
        <s v="Guest 441"/>
        <s v="Guest 505"/>
        <s v="Guest 382"/>
        <s v="Guest 93"/>
        <s v="Guest 303"/>
        <s v="Guest 422"/>
        <s v="Guest 261"/>
        <s v="Guest 367"/>
        <s v="Guest 44"/>
        <s v="Guest 281"/>
        <s v="Guest 425"/>
        <s v="Guest 102"/>
        <s v="Guest 228"/>
        <s v="Guest 45"/>
        <s v="Guest 273"/>
        <s v="Guest 568"/>
        <s v="Guest 508"/>
        <s v="Guest 496"/>
        <s v="Guest 250"/>
        <s v="Guest 180"/>
        <s v="Guest 429"/>
        <s v="Guest 438"/>
        <s v="Guest 368"/>
        <s v="Guest 198"/>
        <s v="Guest 542"/>
        <s v="Guest 320"/>
        <s v="Guest 88"/>
        <s v="Guest 492"/>
        <s v="Guest 414"/>
        <s v="Guest 571"/>
        <s v="Guest 243"/>
        <s v="Guest 561"/>
        <s v="Guest 308"/>
        <s v="Guest 124"/>
        <s v="Guest 141"/>
        <s v="Guest 452"/>
        <s v="Guest 154"/>
        <s v="Guest 536"/>
        <s v="Guest 148"/>
        <s v="Guest 448"/>
        <s v="Guest 317"/>
        <s v="Guest 244"/>
        <s v="Guest 567"/>
        <s v="Guest 212"/>
        <s v="Guest 118"/>
        <s v="Guest 306"/>
        <s v="Guest 475"/>
        <s v="Guest 485"/>
        <s v="Guest 5"/>
        <s v="Guest 19"/>
        <s v="Guest 349"/>
        <s v="Guest 509"/>
        <s v="Guest 210"/>
        <s v="Guest 304"/>
        <s v="Guest 285"/>
        <s v="Guest 117"/>
        <s v="Guest 527"/>
        <s v="Guest 528"/>
        <s v="Guest 545"/>
        <s v="Guest 168"/>
        <s v="Guest 406"/>
        <s v="Guest 179"/>
        <s v="Guest 230"/>
        <s v="Guest 9"/>
        <s v="Guest 162"/>
        <s v="Guest 444"/>
        <s v="Guest 48"/>
        <s v="Guest 131"/>
        <s v="Guest 36"/>
        <s v="Guest 555"/>
        <s v="Guest 398"/>
        <s v="Guest 434"/>
        <s v="Guest 570"/>
        <s v="Guest 217"/>
        <s v="Guest 539"/>
        <s v="Guest 218"/>
        <s v="Guest 153"/>
        <s v="Guest 161"/>
        <s v="Guest 21"/>
        <s v="Guest 341"/>
        <s v="Guest 78"/>
        <s v="Guest 516"/>
        <s v="Guest 191"/>
        <s v="Guest 471"/>
        <s v="Guest 558"/>
        <s v="Guest 424"/>
        <s v="Guest 211"/>
        <s v="Guest 336"/>
        <s v="Guest 240"/>
        <s v="Guest 274"/>
        <s v="Guest 186"/>
        <s v="Guest 401"/>
        <s v="Guest 233"/>
        <s v="Guest 374"/>
        <s v="Guest 417"/>
        <s v="Guest 411"/>
        <s v="Guest 41"/>
        <s v="Guest 200"/>
        <s v="Guest 483"/>
        <s v="Guest 283"/>
        <s v="Guest 289"/>
        <s v="Guest 42"/>
        <s v="Guest 451"/>
        <s v="Guest 61"/>
        <s v="Guest 55"/>
        <s v="Guest 389"/>
        <s v="Guest 465"/>
        <s v="Guest 358"/>
        <s v="Guest 569"/>
        <s v="Guest 447"/>
        <s v="Guest 326"/>
        <s v="Guest 35"/>
        <s v="Guest 430"/>
        <s v="Guest 156"/>
        <s v="Guest 312"/>
        <s v="Guest 489"/>
        <s v="Guest 77"/>
        <s v="Guest 291"/>
        <s v="Guest 353"/>
        <s v="Guest 145"/>
        <s v="Guest 523"/>
        <s v="Guest 322"/>
        <s v="Guest 262"/>
        <s v="Guest 478"/>
        <s v="Guest 234"/>
        <s v="Guest 214"/>
        <s v="Guest 246"/>
        <s v="Guest 99"/>
        <s v="Guest 462"/>
        <s v="Guest 574"/>
        <s v="Guest 174"/>
        <s v="Guest 328"/>
        <s v="Guest 184"/>
        <s v="Guest 498"/>
        <s v="Guest 423"/>
        <s v="Guest 442"/>
        <s v="Guest 387"/>
        <s v="Guest 188"/>
        <s v="Guest 560"/>
        <s v="Guest 277"/>
        <s v="Guest 68"/>
        <s v="Guest 50"/>
        <s v="Guest 295"/>
        <s v="Guest 72"/>
        <s v="Guest 201"/>
        <s v="Guest 507"/>
        <s v="Guest 119"/>
        <s v="Guest 232"/>
        <s v="Guest 192"/>
        <s v="Guest 371"/>
        <s v="Guest 385"/>
        <s v="Guest 421"/>
        <s v="Guest 182"/>
        <s v="Guest 29"/>
        <s v="Guest 1"/>
        <s v="Guest 103"/>
        <s v="Guest 114"/>
        <s v="Guest 537"/>
        <s v="Guest 497"/>
        <s v="Guest 113"/>
        <s v="Guest 134"/>
        <s v="Guest 343"/>
        <s v="Guest 187"/>
        <s v="Guest 380"/>
        <s v="Guest 405"/>
        <s v="Guest 450"/>
        <s v="Guest 11"/>
        <s v="Guest 199"/>
        <s v="Guest 562"/>
        <s v="Guest 63"/>
        <s v="Guest 247"/>
        <s v="Guest 408"/>
        <s v="Guest 66"/>
        <s v="Guest 402"/>
        <s v="Guest 171"/>
        <s v="Guest 339"/>
        <s v="Guest 14"/>
        <s v="Guest 433"/>
        <s v="Guest 351"/>
        <s v="Guest 510"/>
        <s v="Guest 57"/>
        <s v="Guest 172"/>
        <s v="Guest 173"/>
        <s v="Guest 554"/>
        <s v="Guest 340"/>
        <s v="Guest 64"/>
        <s v="Guest 524"/>
        <s v="Guest 391"/>
        <s v="Guest 71"/>
        <s v="Guest 110"/>
        <s v="Guest 104"/>
        <s v="Guest 294"/>
        <s v="Guest 25"/>
        <s v="Guest 89"/>
        <s v="Guest 540"/>
        <s v="Guest 501"/>
        <s v="Guest 13"/>
        <s v="Guest 264"/>
        <s v="Guest 403"/>
        <s v="Guest 538"/>
        <s v="Guest 318"/>
        <s v="Guest 445"/>
        <s v="Guest 3"/>
        <s v="Guest 399"/>
        <s v="Guest 166"/>
        <s v="Guest 146"/>
        <s v="Guest 344"/>
        <s v="Guest 160"/>
        <s v="Guest 352"/>
        <s v="Guest 120"/>
        <s v="Guest 46"/>
        <s v="Guest 123"/>
        <s v="Guest 397"/>
        <s v="Guest 396"/>
        <s v="Guest 229"/>
        <s v="Guest 392"/>
        <s v="Guest 215"/>
        <s v="Guest 337"/>
        <s v="Guest 24"/>
        <s v="Guest 443"/>
        <s v="Guest 366"/>
        <s v="Guest 388"/>
        <s v="Guest 220"/>
        <s v="Guest 404"/>
        <s v="Guest 27"/>
        <s v="Guest 248"/>
        <s v="Guest 436"/>
        <s v="Guest 470"/>
        <s v="Guest 487"/>
        <s v="Guest 338"/>
        <s v="Guest 364"/>
        <s v="Guest 323"/>
        <s v="Guest 52"/>
        <s v="Guest 418"/>
        <s v="Guest 121"/>
        <s v="Guest 94"/>
        <s v="Guest 75"/>
        <s v="Guest 87"/>
        <s v="Guest 17"/>
        <s v="Guest 412"/>
        <s v="Guest 270"/>
        <s v="Guest 305"/>
        <s v="Guest 175"/>
        <s v="Guest 4"/>
        <s v="Guest 342"/>
        <s v="Guest 493"/>
        <s v="Guest 437"/>
        <s v="Guest 472"/>
        <s v="Guest 463"/>
        <s v="Guest 106"/>
        <s v="Guest 331"/>
        <s v="Guest 449"/>
        <s v="Guest 249"/>
        <s v="Guest 494"/>
        <s v="Guest 196"/>
        <s v="Guest 373"/>
        <s v="Guest 378"/>
        <s v="Guest 375"/>
        <s v="Guest 20"/>
        <s v="Guest 495"/>
        <s v="Guest 435"/>
        <s v="Guest 241"/>
        <s v="Guest 98"/>
        <s v="Guest 286"/>
        <s v="Guest 8"/>
        <s v="Guest 53"/>
        <s v="Guest 183"/>
        <s v="Guest 213"/>
        <s v="Guest 553"/>
        <s v="Guest 467"/>
        <s v="Guest 195"/>
        <s v="Guest 383"/>
        <s v="Guest 504"/>
        <s v="Guest 178"/>
        <s v="Guest 157"/>
        <s v="Guest 355"/>
        <s v="Guest 132"/>
        <s v="Guest 572"/>
        <s v="Guest 128"/>
        <s v="Guest 147"/>
        <s v="Guest 235"/>
        <s v="Guest 490"/>
        <s v="Guest 203"/>
        <s v="Guest 37"/>
        <s v="Guest 167"/>
        <s v="Guest 224"/>
        <s v="Guest 565"/>
        <s v="Guest 271"/>
        <s v="Guest 91"/>
        <s v="Guest 547"/>
        <s v="Guest 189"/>
        <s v="Guest 457"/>
        <s v="Guest 125"/>
        <s v="Guest 236"/>
        <s v="Guest 427"/>
        <s v="Guest 231"/>
        <s v="Guest 386"/>
        <s v="Guest 559"/>
        <s v="Guest 302"/>
        <s v="Guest 221"/>
        <s v="Guest 410"/>
        <s v="Guest 357"/>
        <s v="Guest 381"/>
        <s v="Guest 238"/>
        <s v="Guest 194"/>
        <s v="Guest 276"/>
        <s v="Guest 222"/>
        <s v="Guest 149"/>
        <s v="Guest 227"/>
        <s v="Guest 400"/>
        <s v="Guest 541"/>
        <s v="Guest 316"/>
        <s v="Guest 354"/>
        <s v="Guest 432"/>
        <s v="Guest 481"/>
        <s v="Guest 251"/>
        <s v="Guest 365"/>
        <s v="Guest 76"/>
        <s v="Guest 455"/>
        <s v="Guest 419"/>
        <s v="Guest 564"/>
        <s v="Guest 169"/>
        <s v="Guest 525"/>
        <s v="Guest 109"/>
        <s v="Guest 287"/>
        <s v="Guest 327"/>
        <s v="Guest 361"/>
        <s v="Guest 43"/>
        <s v="Guest 259"/>
        <s v="Guest 333"/>
        <s v="Guest 181"/>
        <s v="Guest 376"/>
        <s v="Guest 511"/>
        <s v="Guest 521"/>
        <s v="Guest 474"/>
        <s v="Guest 74"/>
        <s v="Guest 165"/>
        <s v="Guest 356"/>
        <s v="Guest 350"/>
        <s v="Guest 393"/>
        <s v="Guest 359"/>
        <s v="Guest 159"/>
        <s v="Guest 190"/>
        <s v="Guest 329"/>
        <s v="Guest 107"/>
        <s v="Guest 379"/>
        <s v="Guest 38"/>
        <s v="Guest 164"/>
        <s v="Guest 544"/>
        <s v="Guest 280"/>
        <s v="Guest 73"/>
        <s v="Guest 360"/>
        <s v="Guest 464"/>
        <s v="Guest 513"/>
        <s v="Guest 197"/>
        <s v="Guest 80"/>
        <s v="Guest 268"/>
        <s v="Guest 372"/>
        <s v="Guest 514"/>
        <s v="Guest 502"/>
        <s v="Guest 482"/>
        <s v="Guest 461"/>
        <s v="Guest 293"/>
        <s v="Guest 83"/>
        <s v="Guest 22"/>
        <s v="Guest 40"/>
        <s v="Guest 12"/>
        <s v="Guest 556"/>
        <s v="Guest 363"/>
        <s v="Guest 503"/>
        <s v="Guest 370"/>
        <s v="Guest 6"/>
        <s v="Guest 546"/>
        <s v="Guest 2"/>
        <s v="Guest 446"/>
        <s v="Guest 395"/>
        <s v="Guest 409"/>
        <s v="Guest 185"/>
        <s v="Guest 319"/>
        <s v="Guest 288"/>
        <s v="Guest 239"/>
        <s v="Guest 526"/>
        <s v="Guest 59"/>
        <s v="Guest 348"/>
        <s v="Guest 347"/>
        <s v="Guest 390"/>
        <s v="Guest 484"/>
        <s v="Guest 95"/>
        <s v="Guest 23"/>
        <s v="Guest 31"/>
        <s v="Guest 324"/>
        <s v="Guest 543"/>
        <s v="Guest 252"/>
        <s v="Guest 144"/>
        <s v="Guest 115"/>
        <s v="Guest 314"/>
        <s v="Guest 150"/>
        <s v="Guest 263"/>
        <s v="Guest 265"/>
        <s v="Guest 297"/>
        <s v="Guest 85"/>
        <s v="Guest 86"/>
        <s v="Guest 431"/>
        <s v="Guest 111"/>
        <s v="Guest 90"/>
        <s v="Guest 309"/>
        <s v="Guest 136"/>
        <s v="Guest 253"/>
        <s v="Guest 266"/>
        <s v="Guest 552"/>
        <s v="Guest 477"/>
        <s v="Guest 176"/>
        <s v="Guest 152"/>
        <s v="Guest 416"/>
        <s v="Guest 56"/>
        <s v="Guest 67"/>
        <s v="Guest 296"/>
        <s v="Guest 127"/>
        <s v="Guest 82"/>
        <s v="Guest 208"/>
        <s v="Guest 278"/>
        <s v="Guest 223"/>
        <s v="Guest 47"/>
        <s v="Guest 242"/>
        <s v="Guest 260"/>
        <s v="Guest 33"/>
        <s v="Guest 92"/>
        <s v="Guest 486"/>
        <s v="Guest 506"/>
        <s v="Guest 573"/>
        <s v="Guest 97"/>
        <s v="Guest 269"/>
        <s v="Guest 140"/>
        <s v="Guest 550"/>
        <s v="Guest 137"/>
        <s v="Guest 515"/>
        <s v="Guest 413"/>
        <s v="Guest 10"/>
        <s v="Guest 28"/>
        <s v="Guest 321"/>
        <s v="Guest 522"/>
        <s v="Guest 466"/>
        <s v="Guest 292"/>
        <s v="Guest 563"/>
        <s v="Guest 163"/>
        <s v="Guest 30"/>
        <s v="Guest 206"/>
        <s v="Guest 512"/>
      </sharedItems>
    </cacheField>
    <cacheField name="Email" numFmtId="0">
      <sharedItems/>
    </cacheField>
    <cacheField name="Rental" numFmtId="0">
      <sharedItems count="8">
        <s v="Sophia Luxury Home"/>
        <s v="Ope's 5 Star Short Let Apartment in Lekki"/>
        <s v=" The Daniels 5 Star Short Let Apartment in Lekki"/>
        <s v="Phiola's 5 Star Short Let Apartment in Lekki"/>
        <s v="Keji's 5 Star Short let Apartment in Lekki"/>
        <s v="Tiara's Luxury Home Away From Home"/>
        <s v="Zoe's 5 Star Short let Apartment in Lekki"/>
        <s v="Achikare 's Luxury Home Away from Home"/>
      </sharedItems>
    </cacheField>
    <cacheField name="Arrive" numFmtId="14">
      <sharedItems containsSemiMixedTypes="0" containsNonDate="0" containsDate="1" containsString="0" minDate="2020-01-01T00:00:00" maxDate="2021-01-01T00:00:00" count="280">
        <d v="2020-01-01T00:00:00"/>
        <d v="2020-01-20T00:00:00"/>
        <d v="2020-01-21T00:00:00"/>
        <d v="2020-02-11T00:00:00"/>
        <d v="2020-02-12T00:00:00"/>
        <d v="2020-02-13T00:00:00"/>
        <d v="2020-02-14T00:00:00"/>
        <d v="2020-02-15T00:00:00"/>
        <d v="2020-02-16T00:00:00"/>
        <d v="2020-02-18T00:00:00"/>
        <d v="2020-02-19T00:00:00"/>
        <d v="2020-02-20T00:00:00"/>
        <d v="2020-02-23T00:00:00"/>
        <d v="2020-02-24T00:00:00"/>
        <d v="2020-02-25T00:00:00"/>
        <d v="2020-02-27T00:00:00"/>
        <d v="2020-02-28T00:00:00"/>
        <d v="2020-02-29T00:00:00"/>
        <d v="2020-03-01T00:00:00"/>
        <d v="2020-03-02T00:00:00"/>
        <d v="2020-03-05T00:00:00"/>
        <d v="2020-03-07T00:00:00"/>
        <d v="2020-03-09T00:00:00"/>
        <d v="2020-03-10T00:00:00"/>
        <d v="2020-03-11T00:00:00"/>
        <d v="2020-03-12T00:00:00"/>
        <d v="2020-03-13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4T00:00:00"/>
        <d v="2020-04-05T00:00:00"/>
        <d v="2020-04-06T00:00:00"/>
        <d v="2020-04-07T00:00:00"/>
        <d v="2020-04-08T00:00:00"/>
        <d v="2020-04-10T00:00:00"/>
        <d v="2020-04-11T00:00:00"/>
        <d v="2020-04-12T00:00:00"/>
        <d v="2020-04-13T00:00:00"/>
        <d v="2020-04-14T00:00:00"/>
        <d v="2020-04-15T00:00:00"/>
        <d v="2020-04-16T00:00:00"/>
        <d v="2020-04-17T00:00:00"/>
        <d v="2020-04-18T00:00:00"/>
        <d v="2020-04-21T00:00:00"/>
        <d v="2020-04-22T00:00:00"/>
        <d v="2020-04-23T00:00:00"/>
        <d v="2020-04-24T00:00:00"/>
        <d v="2020-04-25T00:00:00"/>
        <d v="2020-04-26T00:00:00"/>
        <d v="2020-04-28T00:00:00"/>
        <d v="2020-04-29T00:00:00"/>
        <d v="2020-04-30T00:00:00"/>
        <d v="2020-05-04T00:00:00"/>
        <d v="2020-05-09T00:00:00"/>
        <d v="2020-05-10T00:00:00"/>
        <d v="2020-05-11T00:00:00"/>
        <d v="2020-05-16T00:00:00"/>
        <d v="2020-05-17T00:00:00"/>
        <d v="2020-05-18T00:00:00"/>
        <d v="2020-05-19T00:00:00"/>
        <d v="2020-05-21T00:00:00"/>
        <d v="2020-05-24T00:00:00"/>
        <d v="2020-05-25T00:00:00"/>
        <d v="2020-05-26T00:00:00"/>
        <d v="2020-05-27T00:00:00"/>
        <d v="2020-05-28T00:00:00"/>
        <d v="2020-05-29T00:00:00"/>
        <d v="2020-06-01T00:00:00"/>
        <d v="2020-06-03T00:00:00"/>
        <d v="2020-06-04T00:00:00"/>
        <d v="2020-06-05T00:00:00"/>
        <d v="2020-06-06T00:00:00"/>
        <d v="2020-06-07T00:00:00"/>
        <d v="2020-06-08T00:00:00"/>
        <d v="2020-06-09T00:00:00"/>
        <d v="2020-06-10T00:00:00"/>
        <d v="2020-06-11T00:00:00"/>
        <d v="2020-06-12T00:00:00"/>
        <d v="2020-06-13T00:00:00"/>
        <d v="2020-06-15T00:00:00"/>
        <d v="2020-06-17T00:00:00"/>
        <d v="2020-06-18T00:00:00"/>
        <d v="2020-06-19T00:00:00"/>
        <d v="2020-06-20T00:00:00"/>
        <d v="2020-06-21T00:00:00"/>
        <d v="2020-06-22T00:00:00"/>
        <d v="2020-06-23T00:00:00"/>
        <d v="2020-06-24T00:00:00"/>
        <d v="2020-06-25T00:00:00"/>
        <d v="2020-06-26T00:00:00"/>
        <d v="2020-06-27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10T00:00:00"/>
        <d v="2020-09-11T00:00:00"/>
        <d v="2020-09-12T00:00:00"/>
        <d v="2020-09-13T00:00:00"/>
        <d v="2020-09-14T00:00:00"/>
        <d v="2020-09-15T00:00:00"/>
        <d v="2020-09-16T00:00:00"/>
        <d v="2020-09-17T00:00:00"/>
        <d v="2020-09-18T00:00:00"/>
        <d v="2020-09-19T00:00:00"/>
        <d v="2020-09-20T00:00:00"/>
        <d v="2020-09-21T00:00:00"/>
        <d v="2020-09-22T00:00:00"/>
        <d v="2020-09-24T00:00:00"/>
        <d v="2020-09-25T00:00:00"/>
        <d v="2020-09-26T00:00:00"/>
        <d v="2020-09-27T00:00:00"/>
        <d v="2020-09-29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2T00:00:00"/>
        <d v="2020-11-03T00:00:00"/>
        <d v="2020-11-04T00:00:00"/>
        <d v="2020-11-05T00:00:00"/>
        <d v="2020-11-06T00:00:00"/>
        <d v="2020-11-07T00:00:00"/>
        <d v="2020-11-08T00:00:00"/>
        <d v="2020-11-09T00:00:00"/>
        <d v="2020-11-10T00:00:00"/>
        <d v="2020-11-11T00:00:00"/>
        <d v="2020-11-13T00:00:00"/>
        <d v="2020-11-14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3T00:00:00"/>
        <d v="2020-12-24T00:00:00"/>
        <d v="2020-12-25T00:00:00"/>
        <d v="2020-12-26T00:00:00"/>
        <d v="2020-12-27T00:00:00"/>
        <d v="2020-12-28T00:00:00"/>
        <d v="2020-12-31T00:00:00"/>
      </sharedItems>
      <fieldGroup par="17" base="3">
        <rangePr groupBy="days" startDate="2020-01-01T00:00:00" endDate="2021-01-01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1"/>
        </groupItems>
      </fieldGroup>
    </cacheField>
    <cacheField name="Depart" numFmtId="14">
      <sharedItems containsSemiMixedTypes="0" containsNonDate="0" containsDate="1" containsString="0" minDate="2020-01-22T00:00:00" maxDate="2021-01-15T00:00:00"/>
    </cacheField>
    <cacheField name="Received" numFmtId="14">
      <sharedItems containsSemiMixedTypes="0" containsNonDate="0" containsDate="1" containsString="0" minDate="2020-01-16T00:00:00" maxDate="2020-12-06T00:00:00"/>
    </cacheField>
    <cacheField name="Checkin" numFmtId="20">
      <sharedItems containsSemiMixedTypes="0" containsNonDate="0" containsDate="1" containsString="0" minDate="1899-12-30T02:00:00" maxDate="1899-12-30T14:00:00"/>
    </cacheField>
    <cacheField name="Checkout" numFmtId="0">
      <sharedItems containsSemiMixedTypes="0" containsNonDate="0" containsDate="1" containsString="0" minDate="1899-12-30T10:00:00" maxDate="1900-01-01T00:00:00"/>
    </cacheField>
    <cacheField name="Source" numFmtId="0">
      <sharedItems count="5">
        <s v="tokeet"/>
        <s v="airbnb"/>
        <s v="Booking.com"/>
        <s v="airbnbapiv2"/>
        <s v="Agoda.com"/>
      </sharedItems>
    </cacheField>
    <cacheField name="Booked" numFmtId="0">
      <sharedItems count="2">
        <s v="No"/>
        <s v="Yes"/>
      </sharedItems>
    </cacheField>
    <cacheField name="Adults" numFmtId="0">
      <sharedItems containsSemiMixedTypes="0" containsString="0" containsNumber="1" containsInteger="1" minValue="1" maxValue="14"/>
    </cacheField>
    <cacheField name="Children" numFmtId="0">
      <sharedItems containsSemiMixedTypes="0" containsString="0" containsNumber="1" containsInteger="1" minValue="0" maxValue="3"/>
    </cacheField>
    <cacheField name="Currency" numFmtId="0">
      <sharedItems/>
    </cacheField>
    <cacheField name="Revenue" numFmtId="164">
      <sharedItems containsSemiMixedTypes="0" containsString="0" containsNumber="1" minValue="0" maxValue="910000" count="217">
        <n v="36240"/>
        <n v="94.33"/>
        <n v="0"/>
        <n v="110"/>
        <n v="130000"/>
        <n v="550"/>
        <n v="1"/>
        <n v="96"/>
        <n v="637"/>
        <n v="212"/>
        <n v="85"/>
        <n v="220"/>
        <n v="106"/>
        <n v="656"/>
        <n v="849"/>
        <n v="531"/>
        <n v="1197"/>
        <n v="85000"/>
        <n v="121.41"/>
        <n v="255.6"/>
        <n v="454.65"/>
        <n v="307"/>
        <n v="1650"/>
        <n v="330"/>
        <n v="440"/>
        <n v="660"/>
        <n v="319"/>
        <n v="105"/>
        <n v="210"/>
        <n v="910"/>
        <n v="315"/>
        <n v="955"/>
        <n v="107"/>
        <n v="880"/>
        <n v="770"/>
        <n v="1210"/>
        <n v="1749"/>
        <n v="740"/>
        <n v="260000"/>
        <n v="720"/>
        <n v="1517.34"/>
        <n v="142"/>
        <n v="1273"/>
        <n v="932"/>
        <n v="1100"/>
        <n v="318"/>
        <n v="3076"/>
        <n v="3022"/>
        <n v="4070"/>
        <n v="150"/>
        <n v="300"/>
        <n v="213"/>
        <n v="990"/>
        <n v="450"/>
        <n v="4050"/>
        <n v="5280"/>
        <n v="1441"/>
        <n v="1851"/>
        <n v="194.04"/>
        <n v="1249.82"/>
        <n v="848"/>
        <n v="1789.2"/>
        <n v="1044.9000000000001"/>
        <n v="810"/>
        <n v="2205"/>
        <n v="750"/>
        <n v="191"/>
        <n v="1646"/>
        <n v="232"/>
        <n v="675"/>
        <n v="525"/>
        <n v="2310"/>
        <n v="135"/>
        <n v="195"/>
        <n v="75000"/>
        <n v="390000"/>
        <n v="1485"/>
        <n v="270"/>
        <n v="175"/>
        <n v="155"/>
        <n v="928.8"/>
        <n v="264"/>
        <n v="405"/>
        <n v="1234"/>
        <n v="391"/>
        <n v="65000"/>
        <n v="620"/>
        <n v="1540"/>
        <n v="390"/>
        <n v="230"/>
        <n v="190"/>
        <n v="651"/>
        <n v="465"/>
        <n v="1101"/>
        <n v="103"/>
        <n v="131.62"/>
        <n v="131"/>
        <n v="536"/>
        <n v="521"/>
        <n v="1917"/>
        <n v="1440"/>
        <n v="520"/>
        <n v="4031.25"/>
        <n v="313"/>
        <n v="118.25"/>
        <n v="473"/>
        <n v="236.5"/>
        <n v="312"/>
        <n v="4500"/>
        <n v="806"/>
        <n v="1064.25"/>
        <n v="129"/>
        <n v="134.38"/>
        <n v="591.25"/>
        <n v="354.75"/>
        <n v="425"/>
        <n v="258"/>
        <n v="123"/>
        <n v="745"/>
        <n v="387"/>
        <n v="903"/>
        <n v="91.58"/>
        <n v="709.5"/>
        <n v="251"/>
        <n v="1029"/>
        <n v="215"/>
        <n v="940.62"/>
        <n v="338"/>
        <n v="324"/>
        <n v="247"/>
        <n v="376.25"/>
        <n v="2069.38"/>
        <n v="752.5"/>
        <n v="516"/>
        <n v="235"/>
        <n v="255"/>
        <n v="1268"/>
        <n v="564.38"/>
        <n v="192"/>
        <n v="1111"/>
        <n v="1015"/>
        <n v="1419"/>
        <n v="645"/>
        <n v="889"/>
        <n v="188.12"/>
        <n v="213.93"/>
        <n v="188.13"/>
        <n v="650000"/>
        <n v="4492.43"/>
        <n v="711"/>
        <n v="780000"/>
        <n v="2139.25"/>
        <n v="588"/>
        <n v="231"/>
        <n v="1151"/>
        <n v="617"/>
        <n v="827.75"/>
        <n v="427.85"/>
        <n v="1962"/>
        <n v="774"/>
        <n v="384"/>
        <n v="641.77"/>
        <n v="238"/>
        <n v="239"/>
        <n v="119"/>
        <n v="172"/>
        <n v="6203.82"/>
        <n v="449.35"/>
        <n v="161.25"/>
        <n v="120"/>
        <n v="290.25"/>
        <n v="1069.6199999999999"/>
        <n v="794"/>
        <n v="119.33"/>
        <n v="301"/>
        <n v="117"/>
        <n v="240"/>
        <n v="573"/>
        <n v="600"/>
        <n v="234"/>
        <n v="641.78"/>
        <n v="170000"/>
        <n v="255000"/>
        <n v="241"/>
        <n v="470.85"/>
        <n v="855.7"/>
        <n v="916"/>
        <n v="364"/>
        <n v="1283.55"/>
        <n v="2567.1"/>
        <n v="356.12"/>
        <n v="225000"/>
        <n v="910000"/>
        <n v="233"/>
        <n v="520000"/>
        <n v="150000"/>
        <n v="118"/>
        <n v="361"/>
        <n v="706.27"/>
        <n v="236"/>
        <n v="140"/>
        <n v="1118"/>
        <n v="1505"/>
        <n v="806.25"/>
        <n v="281"/>
        <n v="633"/>
        <n v="1632"/>
        <n v="750000"/>
        <n v="525000"/>
        <n v="954"/>
        <n v="824"/>
        <n v="528"/>
        <n v="600000"/>
        <n v="375000"/>
        <n v="1594"/>
        <n v="801"/>
        <n v="1144"/>
      </sharedItems>
    </cacheField>
    <cacheField name="OCCUPATION" numFmtId="0">
      <sharedItems containsSemiMixedTypes="0" containsString="0" containsNumber="1" containsInteger="1" minValue="1" maxValue="14"/>
    </cacheField>
    <cacheField name="DURATION" numFmtId="0">
      <sharedItems containsSemiMixedTypes="0" containsString="0" containsNumber="1" containsInteger="1" minValue="1" maxValue="302"/>
    </cacheField>
    <cacheField name="Booking rate per Property" numFmtId="0">
      <sharedItems containsMixedTypes="1" containsNumber="1" minValue="112.27959770114943" maxValue="209.56689189189191" count="9">
        <n v="123.375"/>
        <n v="112.96722543352602"/>
        <n v="115.64823255813953"/>
        <n v="112.27959770114943"/>
        <n v="115.99717514124293"/>
        <n v="187.89054545454545"/>
        <n v="115.58059210526316"/>
        <n v="209.56689189189191"/>
        <e v="#DIV/0!"/>
      </sharedItems>
    </cacheField>
    <cacheField name="Months" numFmtId="0" databaseField="0">
      <fieldGroup base="3">
        <rangePr groupBy="months" startDate="2020-01-01T00:00:00" endDate="2021-01-01T00:00:00"/>
        <groupItems count="14">
          <s v="&lt;1/1/2020"/>
          <s v="Jan"/>
          <s v="Feb"/>
          <s v="Mar"/>
          <s v="Apr"/>
          <s v="May"/>
          <s v="Jun"/>
          <s v="Jul"/>
          <s v="Aug"/>
          <s v="Sep"/>
          <s v="Oct"/>
          <s v="Nov"/>
          <s v="Dec"/>
          <s v="&gt;1/1/2021"/>
        </groupItems>
      </fieldGroup>
    </cacheField>
  </cacheFields>
  <extLst>
    <ext xmlns:x14="http://schemas.microsoft.com/office/spreadsheetml/2009/9/main" uri="{725AE2AE-9491-48be-B2B4-4EB974FC3084}">
      <x14:pivotCacheDefinition pivotCacheId="9716349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136.932230787039" createdVersion="7" refreshedVersion="7" minRefreshableVersion="3" recordCount="1001" xr:uid="{87F04ABA-2396-4BBB-8480-B619F3E84D1A}">
  <cacheSource type="worksheet">
    <worksheetSource ref="A1:P1048576" sheet="Inquiries (2)"/>
  </cacheSource>
  <cacheFields count="16">
    <cacheField name="Name" numFmtId="0">
      <sharedItems containsBlank="1"/>
    </cacheField>
    <cacheField name="Email" numFmtId="0">
      <sharedItems containsBlank="1"/>
    </cacheField>
    <cacheField name="Rental" numFmtId="0">
      <sharedItems containsBlank="1" count="9">
        <s v="Sophia Luxury Home"/>
        <s v="Ope's 5 Star Short Let Apartment in Lekki"/>
        <s v=" The Daniels 5 Star Short Let Apartment in Lekki"/>
        <s v="Phiola's 5 Star Short Let Apartment in Lekki"/>
        <s v="Keji's 5 Star Short let Apartment in Lekki"/>
        <s v="Tiara's Luxury Home Away From Home"/>
        <s v="Zoe's 5 Star Short let Apartment in Lekki"/>
        <s v="Achikare 's Luxury Home Away from Home"/>
        <m/>
      </sharedItems>
    </cacheField>
    <cacheField name="Arrive" numFmtId="0">
      <sharedItems containsNonDate="0" containsDate="1" containsString="0" containsBlank="1" minDate="2020-01-01T00:00:00" maxDate="2021-01-01T00:00:00"/>
    </cacheField>
    <cacheField name="Depart" numFmtId="0">
      <sharedItems containsNonDate="0" containsDate="1" containsString="0" containsBlank="1" minDate="2020-01-22T00:00:00" maxDate="2021-01-15T00:00:00"/>
    </cacheField>
    <cacheField name="Received" numFmtId="0">
      <sharedItems containsNonDate="0" containsDate="1" containsString="0" containsBlank="1" minDate="2020-01-16T00:00:00" maxDate="2020-12-06T00:00:00"/>
    </cacheField>
    <cacheField name="Checkin" numFmtId="0">
      <sharedItems containsNonDate="0" containsDate="1" containsString="0" containsBlank="1" minDate="1899-12-30T02:00:00" maxDate="1899-12-30T14:00:00"/>
    </cacheField>
    <cacheField name="Checkout" numFmtId="0">
      <sharedItems containsNonDate="0" containsDate="1" containsString="0" containsBlank="1" minDate="1899-12-30T10:00:00" maxDate="1900-01-01T00:00:00"/>
    </cacheField>
    <cacheField name="Source" numFmtId="0">
      <sharedItems containsBlank="1"/>
    </cacheField>
    <cacheField name="Booked" numFmtId="0">
      <sharedItems containsBlank="1" count="3">
        <s v="No"/>
        <s v="Yes"/>
        <m/>
      </sharedItems>
    </cacheField>
    <cacheField name="Adults" numFmtId="0">
      <sharedItems containsString="0" containsBlank="1" containsNumber="1" containsInteger="1" minValue="1" maxValue="14"/>
    </cacheField>
    <cacheField name="Children" numFmtId="0">
      <sharedItems containsString="0" containsBlank="1" containsNumber="1" containsInteger="1" minValue="0" maxValue="3"/>
    </cacheField>
    <cacheField name="Currency" numFmtId="0">
      <sharedItems containsBlank="1"/>
    </cacheField>
    <cacheField name="Revenue" numFmtId="164">
      <sharedItems containsString="0" containsBlank="1" containsNumber="1" minValue="0" maxValue="910000"/>
    </cacheField>
    <cacheField name="OCCUPATION" numFmtId="0">
      <sharedItems containsString="0" containsBlank="1" containsNumber="1" containsInteger="1" minValue="1" maxValue="14"/>
    </cacheField>
    <cacheField name="DURATION" numFmtId="0">
      <sharedItems containsString="0" containsBlank="1" containsNumber="1" containsInteger="1" minValue="1" maxValue="3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9">
  <r>
    <x v="0"/>
    <s v="Guest325@slh.com"/>
    <x v="0"/>
    <x v="0"/>
    <d v="2020-10-29T00:00:00"/>
    <d v="2020-11-11T00:00:00"/>
    <d v="1899-12-30T11:00:00"/>
    <d v="1899-12-30T10:00:00"/>
    <x v="0"/>
    <x v="0"/>
    <n v="2"/>
    <n v="0"/>
    <s v="GBP"/>
    <x v="0"/>
    <n v="2"/>
    <n v="302"/>
    <x v="0"/>
  </r>
  <r>
    <x v="1"/>
    <s v="Guest205@gmail.com"/>
    <x v="1"/>
    <x v="1"/>
    <d v="2020-01-26T00:00:00"/>
    <d v="2020-04-26T00:00:00"/>
    <d v="1899-12-30T08:00:00"/>
    <d v="1899-12-31T00:00:00"/>
    <x v="0"/>
    <x v="1"/>
    <n v="1"/>
    <n v="0"/>
    <s v="GBP"/>
    <x v="1"/>
    <n v="1"/>
    <n v="6"/>
    <x v="1"/>
  </r>
  <r>
    <x v="2"/>
    <s v="Guest551@encry.com"/>
    <x v="2"/>
    <x v="2"/>
    <d v="2020-01-22T00:00:00"/>
    <d v="2020-04-26T00:00:00"/>
    <d v="1899-12-30T08:00:00"/>
    <d v="1899-12-31T00:00:00"/>
    <x v="0"/>
    <x v="1"/>
    <n v="2"/>
    <n v="0"/>
    <s v="GBP"/>
    <x v="2"/>
    <n v="2"/>
    <n v="1"/>
    <x v="2"/>
  </r>
  <r>
    <x v="3"/>
    <s v="Guest535@encry.com"/>
    <x v="1"/>
    <x v="3"/>
    <d v="2020-02-13T00:00:00"/>
    <d v="2020-02-11T00:00:00"/>
    <d v="1899-12-30T08:00:00"/>
    <d v="1899-12-31T00:00:00"/>
    <x v="0"/>
    <x v="1"/>
    <n v="1"/>
    <n v="1"/>
    <s v="GBP"/>
    <x v="3"/>
    <n v="2"/>
    <n v="2"/>
    <x v="3"/>
  </r>
  <r>
    <x v="4"/>
    <s v="Guest369@guest.airbnb.com"/>
    <x v="3"/>
    <x v="3"/>
    <d v="2020-02-12T00:00:00"/>
    <d v="2020-04-09T00:00:00"/>
    <d v="1899-12-30T08:00:00"/>
    <d v="1899-12-31T00:00:00"/>
    <x v="0"/>
    <x v="1"/>
    <n v="1"/>
    <n v="0"/>
    <s v="GBP"/>
    <x v="3"/>
    <n v="1"/>
    <n v="1"/>
    <x v="4"/>
  </r>
  <r>
    <x v="5"/>
    <s v="Guest520@yahoo.com"/>
    <x v="4"/>
    <x v="3"/>
    <d v="2020-03-11T00:00:00"/>
    <d v="2020-10-23T00:00:00"/>
    <d v="1899-12-30T12:00:00"/>
    <d v="1899-12-30T14:00:00"/>
    <x v="0"/>
    <x v="0"/>
    <n v="1"/>
    <n v="0"/>
    <s v="GBP"/>
    <x v="4"/>
    <n v="1"/>
    <n v="29"/>
    <x v="5"/>
  </r>
  <r>
    <x v="5"/>
    <s v="Guest520@yahoo.com"/>
    <x v="4"/>
    <x v="3"/>
    <d v="2020-03-11T00:00:00"/>
    <d v="2020-10-23T00:00:00"/>
    <d v="1899-12-30T12:00:00"/>
    <d v="1899-12-30T14:00:00"/>
    <x v="0"/>
    <x v="0"/>
    <n v="1"/>
    <n v="0"/>
    <s v="GBP"/>
    <x v="4"/>
    <n v="1"/>
    <n v="29"/>
    <x v="6"/>
  </r>
  <r>
    <x v="5"/>
    <s v="Guest520@yahoo.com"/>
    <x v="4"/>
    <x v="3"/>
    <d v="2020-03-11T00:00:00"/>
    <d v="2020-10-23T00:00:00"/>
    <d v="1899-12-30T12:00:00"/>
    <d v="1899-12-30T14:00:00"/>
    <x v="0"/>
    <x v="0"/>
    <n v="1"/>
    <n v="0"/>
    <s v="GBP"/>
    <x v="4"/>
    <n v="1"/>
    <n v="29"/>
    <x v="7"/>
  </r>
  <r>
    <x v="1"/>
    <s v="Guest205@gmail.com"/>
    <x v="4"/>
    <x v="4"/>
    <d v="2020-02-13T00:00:00"/>
    <d v="2020-02-12T00:00:00"/>
    <d v="1899-12-30T08:00:00"/>
    <d v="1899-12-31T00:00:00"/>
    <x v="0"/>
    <x v="0"/>
    <n v="2"/>
    <n v="1"/>
    <s v="GBP"/>
    <x v="3"/>
    <n v="3"/>
    <n v="1"/>
    <x v="8"/>
  </r>
  <r>
    <x v="3"/>
    <s v="Guest535@encry.com"/>
    <x v="4"/>
    <x v="5"/>
    <d v="2020-02-14T00:00:00"/>
    <d v="2020-02-12T00:00:00"/>
    <d v="1899-12-30T08:00:00"/>
    <d v="1899-12-31T00:00:00"/>
    <x v="0"/>
    <x v="1"/>
    <n v="2"/>
    <n v="1"/>
    <s v="GBP"/>
    <x v="3"/>
    <n v="3"/>
    <n v="1"/>
    <x v="8"/>
  </r>
  <r>
    <x v="1"/>
    <s v="Guest205@gmail.com"/>
    <x v="1"/>
    <x v="5"/>
    <d v="2020-02-18T00:00:00"/>
    <d v="2020-02-11T00:00:00"/>
    <d v="1899-12-30T08:00:00"/>
    <d v="1899-12-31T00:00:00"/>
    <x v="0"/>
    <x v="1"/>
    <n v="2"/>
    <n v="1"/>
    <s v="GBP"/>
    <x v="5"/>
    <n v="3"/>
    <n v="5"/>
    <x v="8"/>
  </r>
  <r>
    <x v="3"/>
    <s v="Guest535@encry.com"/>
    <x v="3"/>
    <x v="6"/>
    <d v="2020-02-15T00:00:00"/>
    <d v="2020-02-12T00:00:00"/>
    <d v="1899-12-30T08:00:00"/>
    <d v="1899-12-31T00:00:00"/>
    <x v="0"/>
    <x v="0"/>
    <n v="2"/>
    <n v="1"/>
    <s v="GBP"/>
    <x v="6"/>
    <n v="3"/>
    <n v="1"/>
    <x v="8"/>
  </r>
  <r>
    <x v="6"/>
    <s v="Guest480@airbnb.com"/>
    <x v="4"/>
    <x v="7"/>
    <d v="2020-02-16T00:00:00"/>
    <d v="2020-02-13T00:00:00"/>
    <d v="1899-12-30T08:00:00"/>
    <d v="1899-12-31T00:00:00"/>
    <x v="1"/>
    <x v="0"/>
    <n v="2"/>
    <n v="0"/>
    <s v="GBP"/>
    <x v="7"/>
    <n v="2"/>
    <n v="1"/>
    <x v="8"/>
  </r>
  <r>
    <x v="7"/>
    <s v="Guest311@airbnb.com"/>
    <x v="1"/>
    <x v="8"/>
    <d v="2020-02-22T00:00:00"/>
    <d v="2020-02-13T00:00:00"/>
    <d v="1899-12-30T08:00:00"/>
    <d v="1899-12-31T00:00:00"/>
    <x v="1"/>
    <x v="0"/>
    <n v="1"/>
    <n v="0"/>
    <s v="GBP"/>
    <x v="8"/>
    <n v="1"/>
    <n v="6"/>
    <x v="8"/>
  </r>
  <r>
    <x v="8"/>
    <s v="Guest575@airbnb.com"/>
    <x v="1"/>
    <x v="9"/>
    <d v="2020-02-20T00:00:00"/>
    <d v="2020-02-15T00:00:00"/>
    <d v="1899-12-30T08:00:00"/>
    <d v="1899-12-31T00:00:00"/>
    <x v="1"/>
    <x v="0"/>
    <n v="1"/>
    <n v="0"/>
    <s v="GBP"/>
    <x v="9"/>
    <n v="1"/>
    <n v="2"/>
    <x v="8"/>
  </r>
  <r>
    <x v="1"/>
    <s v="Guest205@gmail.com"/>
    <x v="1"/>
    <x v="9"/>
    <d v="2020-02-19T00:00:00"/>
    <d v="2020-02-18T00:00:00"/>
    <d v="1899-12-30T08:00:00"/>
    <d v="1899-12-31T00:00:00"/>
    <x v="0"/>
    <x v="1"/>
    <n v="2"/>
    <n v="1"/>
    <s v="GBP"/>
    <x v="3"/>
    <n v="3"/>
    <n v="1"/>
    <x v="8"/>
  </r>
  <r>
    <x v="9"/>
    <s v="Guest193@airbnb.com"/>
    <x v="5"/>
    <x v="9"/>
    <d v="2020-02-19T00:00:00"/>
    <d v="2020-02-18T00:00:00"/>
    <d v="1899-12-30T14:00:00"/>
    <d v="1899-12-30T11:00:00"/>
    <x v="1"/>
    <x v="0"/>
    <n v="4"/>
    <n v="0"/>
    <s v="GBP"/>
    <x v="10"/>
    <n v="4"/>
    <n v="1"/>
    <x v="8"/>
  </r>
  <r>
    <x v="10"/>
    <s v="Guest204@gmail.com"/>
    <x v="2"/>
    <x v="10"/>
    <d v="2020-02-20T00:00:00"/>
    <d v="2020-02-18T00:00:00"/>
    <d v="1899-12-30T08:00:00"/>
    <d v="1899-12-31T00:00:00"/>
    <x v="0"/>
    <x v="1"/>
    <n v="2"/>
    <n v="1"/>
    <s v="GBP"/>
    <x v="3"/>
    <n v="3"/>
    <n v="1"/>
    <x v="8"/>
  </r>
  <r>
    <x v="8"/>
    <s v="Guest575@airbnb.com"/>
    <x v="2"/>
    <x v="11"/>
    <d v="2020-02-22T00:00:00"/>
    <d v="2020-02-19T00:00:00"/>
    <d v="1899-12-30T08:00:00"/>
    <d v="1899-12-31T00:00:00"/>
    <x v="1"/>
    <x v="0"/>
    <n v="1"/>
    <n v="0"/>
    <s v="GBP"/>
    <x v="9"/>
    <n v="1"/>
    <n v="2"/>
    <x v="8"/>
  </r>
  <r>
    <x v="1"/>
    <s v="Guest205@gmail.com"/>
    <x v="2"/>
    <x v="11"/>
    <d v="2020-02-22T00:00:00"/>
    <d v="2020-02-19T00:00:00"/>
    <d v="1899-12-30T08:00:00"/>
    <d v="1899-12-31T00:00:00"/>
    <x v="0"/>
    <x v="1"/>
    <n v="2"/>
    <n v="0"/>
    <s v="GBP"/>
    <x v="3"/>
    <n v="2"/>
    <n v="2"/>
    <x v="8"/>
  </r>
  <r>
    <x v="11"/>
    <s v="Guest548@airbnb.com"/>
    <x v="1"/>
    <x v="12"/>
    <d v="2020-02-25T00:00:00"/>
    <d v="2020-02-22T00:00:00"/>
    <d v="1899-12-30T08:00:00"/>
    <d v="1899-12-31T00:00:00"/>
    <x v="1"/>
    <x v="0"/>
    <n v="1"/>
    <n v="0"/>
    <s v="GBP"/>
    <x v="9"/>
    <n v="1"/>
    <n v="2"/>
    <x v="8"/>
  </r>
  <r>
    <x v="12"/>
    <s v="Guest330@yahoo.com"/>
    <x v="1"/>
    <x v="12"/>
    <d v="2020-02-25T00:00:00"/>
    <d v="2020-02-22T00:00:00"/>
    <d v="1899-12-30T08:00:00"/>
    <d v="1899-12-31T00:00:00"/>
    <x v="0"/>
    <x v="1"/>
    <n v="3"/>
    <n v="0"/>
    <s v="GBP"/>
    <x v="11"/>
    <n v="3"/>
    <n v="2"/>
    <x v="8"/>
  </r>
  <r>
    <x v="13"/>
    <s v="Guest65@airbnb.com"/>
    <x v="1"/>
    <x v="13"/>
    <d v="2020-02-26T00:00:00"/>
    <d v="2020-02-21T00:00:00"/>
    <d v="1899-12-30T08:00:00"/>
    <d v="1899-12-31T00:00:00"/>
    <x v="1"/>
    <x v="0"/>
    <n v="4"/>
    <n v="0"/>
    <s v="GBP"/>
    <x v="9"/>
    <n v="4"/>
    <n v="2"/>
    <x v="8"/>
  </r>
  <r>
    <x v="14"/>
    <s v="Guest307@yahoo.com"/>
    <x v="1"/>
    <x v="14"/>
    <d v="2020-02-26T00:00:00"/>
    <d v="2020-02-24T00:00:00"/>
    <d v="1899-12-30T08:00:00"/>
    <d v="1899-12-31T00:00:00"/>
    <x v="0"/>
    <x v="1"/>
    <n v="3"/>
    <n v="0"/>
    <s v="GBP"/>
    <x v="3"/>
    <n v="3"/>
    <n v="1"/>
    <x v="8"/>
  </r>
  <r>
    <x v="15"/>
    <s v="Guest428@airbnb.com"/>
    <x v="4"/>
    <x v="15"/>
    <d v="2020-02-28T00:00:00"/>
    <d v="2020-02-14T00:00:00"/>
    <d v="1899-12-30T08:00:00"/>
    <d v="1899-12-31T00:00:00"/>
    <x v="1"/>
    <x v="0"/>
    <n v="1"/>
    <n v="0"/>
    <s v="GBP"/>
    <x v="12"/>
    <n v="1"/>
    <n v="1"/>
    <x v="8"/>
  </r>
  <r>
    <x v="14"/>
    <s v="Guest307@yahoo.com"/>
    <x v="1"/>
    <x v="15"/>
    <d v="2020-02-28T00:00:00"/>
    <d v="2020-02-18T00:00:00"/>
    <d v="1899-12-30T08:00:00"/>
    <d v="1899-12-31T00:00:00"/>
    <x v="0"/>
    <x v="0"/>
    <n v="3"/>
    <n v="0"/>
    <s v="GBP"/>
    <x v="3"/>
    <n v="3"/>
    <n v="1"/>
    <x v="8"/>
  </r>
  <r>
    <x v="16"/>
    <s v="Guest479@airbnb.com"/>
    <x v="4"/>
    <x v="15"/>
    <d v="2020-02-28T00:00:00"/>
    <d v="2020-02-19T00:00:00"/>
    <d v="1899-12-30T08:00:00"/>
    <d v="1899-12-31T00:00:00"/>
    <x v="1"/>
    <x v="0"/>
    <n v="1"/>
    <n v="0"/>
    <s v="GBP"/>
    <x v="12"/>
    <n v="1"/>
    <n v="1"/>
    <x v="8"/>
  </r>
  <r>
    <x v="14"/>
    <s v="Guest307@yahoo.com"/>
    <x v="1"/>
    <x v="16"/>
    <d v="2020-02-29T00:00:00"/>
    <d v="2020-02-18T00:00:00"/>
    <d v="1899-12-30T08:00:00"/>
    <d v="1899-12-31T00:00:00"/>
    <x v="0"/>
    <x v="1"/>
    <n v="2"/>
    <n v="0"/>
    <s v="GBP"/>
    <x v="3"/>
    <n v="2"/>
    <n v="1"/>
    <x v="8"/>
  </r>
  <r>
    <x v="17"/>
    <s v="Guest272@yahoo.co.uk"/>
    <x v="4"/>
    <x v="16"/>
    <d v="2020-02-29T00:00:00"/>
    <d v="2020-02-23T00:00:00"/>
    <d v="1899-12-30T08:00:00"/>
    <d v="1899-12-31T00:00:00"/>
    <x v="0"/>
    <x v="1"/>
    <n v="3"/>
    <n v="0"/>
    <s v="GBP"/>
    <x v="3"/>
    <n v="3"/>
    <n v="1"/>
    <x v="8"/>
  </r>
  <r>
    <x v="18"/>
    <s v="Guest58@guest.airbnb.com"/>
    <x v="3"/>
    <x v="17"/>
    <d v="2020-03-04T00:00:00"/>
    <d v="2020-02-19T00:00:00"/>
    <d v="1899-12-30T08:00:00"/>
    <d v="1899-12-31T00:00:00"/>
    <x v="0"/>
    <x v="0"/>
    <n v="4"/>
    <n v="0"/>
    <s v="GBP"/>
    <x v="11"/>
    <n v="4"/>
    <n v="4"/>
    <x v="8"/>
  </r>
  <r>
    <x v="17"/>
    <s v="Guest272@yahoo.co.uk"/>
    <x v="4"/>
    <x v="17"/>
    <d v="2020-03-01T00:00:00"/>
    <d v="2020-02-23T00:00:00"/>
    <d v="1899-12-30T08:00:00"/>
    <d v="1899-12-31T00:00:00"/>
    <x v="0"/>
    <x v="1"/>
    <n v="3"/>
    <n v="0"/>
    <s v="GBP"/>
    <x v="3"/>
    <n v="3"/>
    <n v="1"/>
    <x v="8"/>
  </r>
  <r>
    <x v="19"/>
    <s v="Guest529@airbnb.com"/>
    <x v="1"/>
    <x v="17"/>
    <d v="2020-03-01T00:00:00"/>
    <d v="2020-02-24T00:00:00"/>
    <d v="1899-12-30T08:00:00"/>
    <d v="1899-12-31T00:00:00"/>
    <x v="1"/>
    <x v="0"/>
    <n v="1"/>
    <n v="0"/>
    <s v="GBP"/>
    <x v="12"/>
    <n v="1"/>
    <n v="1"/>
    <x v="8"/>
  </r>
  <r>
    <x v="20"/>
    <s v="Guest112@airbnb.com"/>
    <x v="1"/>
    <x v="17"/>
    <d v="2020-03-01T00:00:00"/>
    <d v="2020-02-28T00:00:00"/>
    <d v="1899-12-30T08:00:00"/>
    <d v="1899-12-31T00:00:00"/>
    <x v="1"/>
    <x v="0"/>
    <n v="4"/>
    <n v="0"/>
    <s v="GBP"/>
    <x v="12"/>
    <n v="4"/>
    <n v="1"/>
    <x v="8"/>
  </r>
  <r>
    <x v="18"/>
    <s v="Guest58@guest.airbnb.com"/>
    <x v="3"/>
    <x v="17"/>
    <d v="2020-03-04T00:00:00"/>
    <d v="2020-02-28T00:00:00"/>
    <d v="1899-12-30T08:00:00"/>
    <d v="1899-12-31T00:00:00"/>
    <x v="0"/>
    <x v="1"/>
    <n v="3"/>
    <n v="0"/>
    <s v="GBP"/>
    <x v="7"/>
    <n v="3"/>
    <n v="4"/>
    <x v="8"/>
  </r>
  <r>
    <x v="21"/>
    <s v="Guest534@icloud.com"/>
    <x v="1"/>
    <x v="17"/>
    <d v="2020-03-02T00:00:00"/>
    <d v="2020-02-29T00:00:00"/>
    <d v="1899-12-30T08:00:00"/>
    <d v="1899-12-31T00:00:00"/>
    <x v="0"/>
    <x v="1"/>
    <n v="2"/>
    <n v="0"/>
    <s v="GBP"/>
    <x v="11"/>
    <n v="2"/>
    <n v="2"/>
    <x v="8"/>
  </r>
  <r>
    <x v="22"/>
    <s v="Guest345@airbnb.com"/>
    <x v="1"/>
    <x v="17"/>
    <d v="2020-03-02T00:00:00"/>
    <d v="2020-02-29T00:00:00"/>
    <d v="1899-12-30T08:00:00"/>
    <d v="1899-12-31T00:00:00"/>
    <x v="1"/>
    <x v="0"/>
    <n v="3"/>
    <n v="0"/>
    <s v="GBP"/>
    <x v="9"/>
    <n v="3"/>
    <n v="2"/>
    <x v="8"/>
  </r>
  <r>
    <x v="23"/>
    <s v="Guest105@airbnb.com"/>
    <x v="3"/>
    <x v="18"/>
    <d v="2020-03-07T00:00:00"/>
    <d v="2020-02-24T00:00:00"/>
    <d v="1899-12-30T08:00:00"/>
    <d v="1899-12-31T00:00:00"/>
    <x v="1"/>
    <x v="0"/>
    <n v="1"/>
    <n v="0"/>
    <s v="GBP"/>
    <x v="13"/>
    <n v="1"/>
    <n v="6"/>
    <x v="8"/>
  </r>
  <r>
    <x v="24"/>
    <s v="Guest346@yahoo.com"/>
    <x v="1"/>
    <x v="19"/>
    <d v="2020-03-03T00:00:00"/>
    <d v="2020-03-02T00:00:00"/>
    <d v="1899-12-30T08:00:00"/>
    <d v="1899-12-31T00:00:00"/>
    <x v="0"/>
    <x v="1"/>
    <n v="2"/>
    <n v="0"/>
    <s v="GBP"/>
    <x v="3"/>
    <n v="2"/>
    <n v="1"/>
    <x v="8"/>
  </r>
  <r>
    <x v="25"/>
    <s v="Guest108@gmail.com"/>
    <x v="3"/>
    <x v="20"/>
    <d v="2020-03-07T00:00:00"/>
    <d v="2020-03-05T00:00:00"/>
    <d v="1899-12-30T08:00:00"/>
    <d v="1899-12-31T00:00:00"/>
    <x v="0"/>
    <x v="1"/>
    <n v="2"/>
    <n v="0"/>
    <s v="GBP"/>
    <x v="11"/>
    <n v="2"/>
    <n v="2"/>
    <x v="8"/>
  </r>
  <r>
    <x v="26"/>
    <s v="Guest362@airbnb.com"/>
    <x v="1"/>
    <x v="21"/>
    <d v="2020-03-15T00:00:00"/>
    <d v="2020-02-21T00:00:00"/>
    <d v="1899-12-30T08:00:00"/>
    <d v="1899-12-31T00:00:00"/>
    <x v="1"/>
    <x v="0"/>
    <n v="1"/>
    <n v="0"/>
    <s v="GBP"/>
    <x v="14"/>
    <n v="1"/>
    <n v="8"/>
    <x v="8"/>
  </r>
  <r>
    <x v="27"/>
    <s v="Guest500@airbnb.com"/>
    <x v="3"/>
    <x v="21"/>
    <d v="2020-03-08T00:00:00"/>
    <d v="2020-03-04T00:00:00"/>
    <d v="1899-12-30T08:00:00"/>
    <d v="1899-12-31T00:00:00"/>
    <x v="0"/>
    <x v="1"/>
    <n v="1"/>
    <n v="0"/>
    <s v="GBP"/>
    <x v="3"/>
    <n v="1"/>
    <n v="1"/>
    <x v="8"/>
  </r>
  <r>
    <x v="28"/>
    <s v="Guest139@airbnb.com"/>
    <x v="4"/>
    <x v="22"/>
    <d v="2020-03-10T00:00:00"/>
    <d v="2020-02-22T00:00:00"/>
    <d v="1899-12-30T08:00:00"/>
    <d v="1899-12-31T00:00:00"/>
    <x v="1"/>
    <x v="0"/>
    <n v="1"/>
    <n v="0"/>
    <s v="GBP"/>
    <x v="12"/>
    <n v="1"/>
    <n v="1"/>
    <x v="8"/>
  </r>
  <r>
    <x v="29"/>
    <s v="Guest453@airbnb.com"/>
    <x v="1"/>
    <x v="23"/>
    <d v="2020-03-15T00:00:00"/>
    <d v="2020-02-18T00:00:00"/>
    <d v="1899-12-30T08:00:00"/>
    <d v="1899-12-31T00:00:00"/>
    <x v="1"/>
    <x v="0"/>
    <n v="1"/>
    <n v="0"/>
    <s v="GBP"/>
    <x v="15"/>
    <n v="1"/>
    <n v="5"/>
    <x v="8"/>
  </r>
  <r>
    <x v="30"/>
    <s v="Guest267@booking.com"/>
    <x v="4"/>
    <x v="23"/>
    <d v="2020-03-19T00:00:00"/>
    <d v="2020-01-21T00:00:00"/>
    <d v="1899-12-30T08:00:00"/>
    <d v="1899-12-31T00:00:00"/>
    <x v="2"/>
    <x v="0"/>
    <n v="3"/>
    <n v="0"/>
    <s v="GBP"/>
    <x v="16"/>
    <n v="3"/>
    <n v="9"/>
    <x v="8"/>
  </r>
  <r>
    <x v="31"/>
    <s v="Guest226@yahoo.com"/>
    <x v="3"/>
    <x v="23"/>
    <d v="2020-03-11T00:00:00"/>
    <d v="2020-03-10T00:00:00"/>
    <d v="1899-12-30T08:00:00"/>
    <d v="1899-12-31T00:00:00"/>
    <x v="0"/>
    <x v="1"/>
    <n v="5"/>
    <n v="0"/>
    <s v="GBP"/>
    <x v="3"/>
    <n v="5"/>
    <n v="1"/>
    <x v="8"/>
  </r>
  <r>
    <x v="32"/>
    <s v="Guest517@gmail%2Ecom"/>
    <x v="4"/>
    <x v="23"/>
    <d v="2020-03-12T00:00:00"/>
    <d v="2020-03-07T00:00:00"/>
    <d v="1899-12-30T08:00:00"/>
    <d v="1899-12-31T00:00:00"/>
    <x v="0"/>
    <x v="0"/>
    <n v="3"/>
    <n v="0"/>
    <s v="GBP"/>
    <x v="11"/>
    <n v="3"/>
    <n v="2"/>
    <x v="8"/>
  </r>
  <r>
    <x v="33"/>
    <s v="Guest384@yahoo%2Ecom"/>
    <x v="4"/>
    <x v="24"/>
    <d v="2020-04-11T00:00:00"/>
    <d v="2020-10-30T00:00:00"/>
    <d v="1899-12-30T12:00:00"/>
    <d v="1899-12-30T14:00:00"/>
    <x v="0"/>
    <x v="0"/>
    <n v="2"/>
    <n v="0"/>
    <s v="GBP"/>
    <x v="17"/>
    <n v="2"/>
    <n v="31"/>
    <x v="8"/>
  </r>
  <r>
    <x v="33"/>
    <s v="Guest384@yahoo%2Ecom"/>
    <x v="4"/>
    <x v="24"/>
    <d v="2020-04-11T00:00:00"/>
    <d v="2020-10-30T00:00:00"/>
    <d v="1899-12-30T12:00:00"/>
    <d v="1899-12-30T14:00:00"/>
    <x v="0"/>
    <x v="0"/>
    <n v="2"/>
    <n v="0"/>
    <s v="GBP"/>
    <x v="17"/>
    <n v="2"/>
    <n v="31"/>
    <x v="8"/>
  </r>
  <r>
    <x v="33"/>
    <s v="Guest384@yahoo%2Ecom"/>
    <x v="4"/>
    <x v="24"/>
    <d v="2020-04-11T00:00:00"/>
    <d v="2020-10-30T00:00:00"/>
    <d v="1899-12-30T12:00:00"/>
    <d v="1899-12-30T14:00:00"/>
    <x v="0"/>
    <x v="0"/>
    <n v="2"/>
    <n v="0"/>
    <s v="GBP"/>
    <x v="17"/>
    <n v="2"/>
    <n v="31"/>
    <x v="8"/>
  </r>
  <r>
    <x v="34"/>
    <s v="Guest531@yahoo.com"/>
    <x v="4"/>
    <x v="24"/>
    <d v="2020-04-11T00:00:00"/>
    <d v="2020-10-30T00:00:00"/>
    <d v="1899-12-30T12:00:00"/>
    <d v="1899-12-30T14:00:00"/>
    <x v="0"/>
    <x v="0"/>
    <n v="1"/>
    <n v="0"/>
    <s v="GBP"/>
    <x v="17"/>
    <n v="1"/>
    <n v="31"/>
    <x v="8"/>
  </r>
  <r>
    <x v="35"/>
    <s v="Guest135@guest.booking.com"/>
    <x v="4"/>
    <x v="25"/>
    <d v="2020-03-13T00:00:00"/>
    <d v="2020-03-12T00:00:00"/>
    <d v="1899-12-30T08:00:00"/>
    <d v="1899-12-31T00:00:00"/>
    <x v="2"/>
    <x v="0"/>
    <n v="2"/>
    <n v="0"/>
    <s v="GBP"/>
    <x v="18"/>
    <n v="2"/>
    <n v="1"/>
    <x v="8"/>
  </r>
  <r>
    <x v="36"/>
    <s v="Guest299@gmail.com"/>
    <x v="4"/>
    <x v="26"/>
    <d v="2020-03-15T00:00:00"/>
    <d v="2020-03-11T00:00:00"/>
    <d v="1899-12-30T08:00:00"/>
    <d v="1899-12-31T00:00:00"/>
    <x v="0"/>
    <x v="1"/>
    <n v="3"/>
    <n v="0"/>
    <s v="GBP"/>
    <x v="11"/>
    <n v="3"/>
    <n v="2"/>
    <x v="8"/>
  </r>
  <r>
    <x v="37"/>
    <s v="Guest454@guest.booking.com"/>
    <x v="3"/>
    <x v="27"/>
    <d v="2020-03-19T00:00:00"/>
    <d v="2020-03-08T00:00:00"/>
    <d v="1899-12-30T08:00:00"/>
    <d v="1899-12-31T00:00:00"/>
    <x v="2"/>
    <x v="0"/>
    <n v="6"/>
    <n v="0"/>
    <s v="GBP"/>
    <x v="19"/>
    <n v="6"/>
    <n v="2"/>
    <x v="8"/>
  </r>
  <r>
    <x v="38"/>
    <s v="Guest440@gmail.com"/>
    <x v="3"/>
    <x v="27"/>
    <d v="2020-03-18T00:00:00"/>
    <d v="2020-03-12T00:00:00"/>
    <d v="1899-12-30T08:00:00"/>
    <d v="1899-12-31T00:00:00"/>
    <x v="0"/>
    <x v="0"/>
    <n v="3"/>
    <n v="0"/>
    <s v="GBP"/>
    <x v="3"/>
    <n v="3"/>
    <n v="1"/>
    <x v="8"/>
  </r>
  <r>
    <x v="38"/>
    <s v="Guest440@gmail.com"/>
    <x v="3"/>
    <x v="27"/>
    <d v="2020-03-18T00:00:00"/>
    <d v="2020-03-13T00:00:00"/>
    <d v="1899-12-30T08:00:00"/>
    <d v="1899-12-31T00:00:00"/>
    <x v="0"/>
    <x v="0"/>
    <n v="2"/>
    <n v="0"/>
    <s v="GBP"/>
    <x v="3"/>
    <n v="2"/>
    <n v="1"/>
    <x v="8"/>
  </r>
  <r>
    <x v="37"/>
    <s v="Guest454@guest.booking.com"/>
    <x v="3"/>
    <x v="28"/>
    <d v="2020-03-20T00:00:00"/>
    <d v="2020-03-12T00:00:00"/>
    <d v="1899-12-30T08:00:00"/>
    <d v="1899-12-31T00:00:00"/>
    <x v="0"/>
    <x v="0"/>
    <n v="3"/>
    <n v="0"/>
    <s v="GBP"/>
    <x v="11"/>
    <n v="3"/>
    <n v="2"/>
    <x v="8"/>
  </r>
  <r>
    <x v="39"/>
    <s v="Guest100@encry.com"/>
    <x v="1"/>
    <x v="28"/>
    <d v="2020-03-19T00:00:00"/>
    <d v="2020-03-05T00:00:00"/>
    <d v="1899-12-30T08:00:00"/>
    <d v="1899-12-31T00:00:00"/>
    <x v="0"/>
    <x v="0"/>
    <n v="2"/>
    <n v="0"/>
    <s v="GBP"/>
    <x v="3"/>
    <n v="2"/>
    <n v="1"/>
    <x v="8"/>
  </r>
  <r>
    <x v="38"/>
    <s v="Guest440@gmail.com"/>
    <x v="3"/>
    <x v="28"/>
    <d v="2020-03-21T00:00:00"/>
    <d v="2020-03-13T00:00:00"/>
    <d v="1899-12-30T08:00:00"/>
    <d v="1899-12-31T00:00:00"/>
    <x v="0"/>
    <x v="1"/>
    <n v="2"/>
    <n v="0"/>
    <s v="GBP"/>
    <x v="20"/>
    <n v="2"/>
    <n v="3"/>
    <x v="8"/>
  </r>
  <r>
    <x v="39"/>
    <s v="Guest100@encry.com"/>
    <x v="2"/>
    <x v="29"/>
    <d v="2020-03-24T00:00:00"/>
    <d v="2020-02-18T00:00:00"/>
    <d v="1899-12-30T08:00:00"/>
    <d v="1899-12-31T00:00:00"/>
    <x v="1"/>
    <x v="0"/>
    <n v="1"/>
    <n v="0"/>
    <s v="GBP"/>
    <x v="5"/>
    <n v="1"/>
    <n v="5"/>
    <x v="8"/>
  </r>
  <r>
    <x v="37"/>
    <s v="Guest454@guest.booking.com"/>
    <x v="3"/>
    <x v="29"/>
    <d v="2020-03-20T00:00:00"/>
    <d v="2020-03-11T00:00:00"/>
    <d v="1899-12-30T08:00:00"/>
    <d v="1899-12-31T00:00:00"/>
    <x v="0"/>
    <x v="0"/>
    <n v="3"/>
    <n v="0"/>
    <s v="GBP"/>
    <x v="3"/>
    <n v="3"/>
    <n v="1"/>
    <x v="8"/>
  </r>
  <r>
    <x v="27"/>
    <s v="Guest500@airbnb.com"/>
    <x v="1"/>
    <x v="29"/>
    <d v="2020-03-20T00:00:00"/>
    <d v="2020-03-13T00:00:00"/>
    <d v="1899-12-30T08:00:00"/>
    <d v="1899-12-31T00:00:00"/>
    <x v="0"/>
    <x v="0"/>
    <n v="2"/>
    <n v="0"/>
    <s v="GBP"/>
    <x v="3"/>
    <n v="2"/>
    <n v="1"/>
    <x v="8"/>
  </r>
  <r>
    <x v="37"/>
    <s v="Guest454@guest.booking.com"/>
    <x v="1"/>
    <x v="29"/>
    <d v="2020-03-21T00:00:00"/>
    <d v="2020-03-18T00:00:00"/>
    <d v="1899-12-30T08:00:00"/>
    <d v="1899-12-31T00:00:00"/>
    <x v="0"/>
    <x v="1"/>
    <n v="6"/>
    <n v="0"/>
    <s v="GBP"/>
    <x v="21"/>
    <n v="6"/>
    <n v="2"/>
    <x v="8"/>
  </r>
  <r>
    <x v="40"/>
    <s v="Guest79@hotmail.co.uk"/>
    <x v="2"/>
    <x v="29"/>
    <d v="2020-03-21T00:00:00"/>
    <d v="2020-03-19T00:00:00"/>
    <d v="1899-12-30T08:00:00"/>
    <d v="1899-12-31T00:00:00"/>
    <x v="0"/>
    <x v="1"/>
    <n v="2"/>
    <n v="0"/>
    <s v="GBP"/>
    <x v="11"/>
    <n v="2"/>
    <n v="2"/>
    <x v="8"/>
  </r>
  <r>
    <x v="41"/>
    <s v="Guest499@airbnb.com"/>
    <x v="1"/>
    <x v="30"/>
    <d v="2020-03-21T00:00:00"/>
    <d v="2020-03-06T00:00:00"/>
    <d v="1899-12-30T08:00:00"/>
    <d v="1899-12-31T00:00:00"/>
    <x v="0"/>
    <x v="0"/>
    <n v="1"/>
    <n v="0"/>
    <s v="GBP"/>
    <x v="3"/>
    <n v="1"/>
    <n v="1"/>
    <x v="8"/>
  </r>
  <r>
    <x v="39"/>
    <s v="Guest100@encry.com"/>
    <x v="2"/>
    <x v="30"/>
    <d v="2020-03-25T00:00:00"/>
    <d v="2020-02-24T00:00:00"/>
    <d v="1899-12-30T08:00:00"/>
    <d v="1899-12-31T00:00:00"/>
    <x v="0"/>
    <x v="0"/>
    <n v="2"/>
    <n v="0"/>
    <s v="GBP"/>
    <x v="5"/>
    <n v="2"/>
    <n v="5"/>
    <x v="8"/>
  </r>
  <r>
    <x v="42"/>
    <s v="Guest377@guest.booking.com"/>
    <x v="3"/>
    <x v="30"/>
    <d v="2020-03-22T00:00:00"/>
    <d v="2020-03-18T00:00:00"/>
    <d v="1899-12-30T08:00:00"/>
    <d v="1899-12-31T00:00:00"/>
    <x v="2"/>
    <x v="0"/>
    <n v="2"/>
    <n v="0"/>
    <s v="GBP"/>
    <x v="19"/>
    <n v="2"/>
    <n v="2"/>
    <x v="8"/>
  </r>
  <r>
    <x v="43"/>
    <s v="Guest459@gmail.com"/>
    <x v="3"/>
    <x v="31"/>
    <d v="2020-04-05T00:00:00"/>
    <d v="2020-02-20T00:00:00"/>
    <d v="1899-12-30T08:00:00"/>
    <d v="1899-12-31T00:00:00"/>
    <x v="0"/>
    <x v="0"/>
    <n v="2"/>
    <n v="0"/>
    <s v="GBP"/>
    <x v="22"/>
    <n v="2"/>
    <n v="15"/>
    <x v="8"/>
  </r>
  <r>
    <x v="31"/>
    <s v="Guest226@yahoo.com"/>
    <x v="3"/>
    <x v="31"/>
    <d v="2020-03-24T00:00:00"/>
    <d v="2020-03-20T00:00:00"/>
    <d v="1899-12-30T08:00:00"/>
    <d v="1899-12-31T00:00:00"/>
    <x v="0"/>
    <x v="0"/>
    <n v="1"/>
    <n v="0"/>
    <s v="GBP"/>
    <x v="23"/>
    <n v="1"/>
    <n v="3"/>
    <x v="8"/>
  </r>
  <r>
    <x v="37"/>
    <s v="Guest454@guest.booking.com"/>
    <x v="2"/>
    <x v="31"/>
    <d v="2020-03-24T00:00:00"/>
    <d v="2020-03-21T00:00:00"/>
    <d v="1899-12-30T08:00:00"/>
    <d v="1899-12-31T00:00:00"/>
    <x v="0"/>
    <x v="1"/>
    <n v="2"/>
    <n v="0"/>
    <s v="GBP"/>
    <x v="24"/>
    <n v="2"/>
    <n v="3"/>
    <x v="8"/>
  </r>
  <r>
    <x v="44"/>
    <s v="Guest533@yahoo.com"/>
    <x v="4"/>
    <x v="32"/>
    <d v="2020-03-28T00:00:00"/>
    <d v="2020-03-14T00:00:00"/>
    <d v="1899-12-30T08:00:00"/>
    <d v="1899-12-31T00:00:00"/>
    <x v="0"/>
    <x v="0"/>
    <n v="2"/>
    <n v="0"/>
    <s v="GBP"/>
    <x v="25"/>
    <n v="2"/>
    <n v="6"/>
    <x v="8"/>
  </r>
  <r>
    <x v="45"/>
    <s v="Guest301@airbnb.com"/>
    <x v="4"/>
    <x v="32"/>
    <d v="2020-03-25T00:00:00"/>
    <d v="2020-03-20T00:00:00"/>
    <d v="1899-12-30T08:00:00"/>
    <d v="1899-12-31T00:00:00"/>
    <x v="1"/>
    <x v="0"/>
    <n v="1"/>
    <n v="0"/>
    <s v="GBP"/>
    <x v="26"/>
    <n v="1"/>
    <n v="3"/>
    <x v="8"/>
  </r>
  <r>
    <x v="46"/>
    <s v="Guest257@guest.airbnb.com"/>
    <x v="1"/>
    <x v="32"/>
    <d v="2020-03-23T00:00:00"/>
    <d v="2020-03-22T00:00:00"/>
    <d v="1899-12-30T08:00:00"/>
    <d v="1899-12-31T00:00:00"/>
    <x v="0"/>
    <x v="0"/>
    <n v="2"/>
    <n v="0"/>
    <s v="GBP"/>
    <x v="27"/>
    <n v="2"/>
    <n v="1"/>
    <x v="8"/>
  </r>
  <r>
    <x v="47"/>
    <s v="Guest426@gmail.com"/>
    <x v="1"/>
    <x v="33"/>
    <d v="2020-03-24T00:00:00"/>
    <d v="2020-03-18T00:00:00"/>
    <d v="1899-12-30T08:00:00"/>
    <d v="1899-12-31T00:00:00"/>
    <x v="0"/>
    <x v="1"/>
    <n v="5"/>
    <n v="0"/>
    <s v="GBP"/>
    <x v="3"/>
    <n v="5"/>
    <n v="1"/>
    <x v="8"/>
  </r>
  <r>
    <x v="46"/>
    <s v="Guest257@guest.airbnb.com"/>
    <x v="3"/>
    <x v="33"/>
    <d v="2020-03-25T00:00:00"/>
    <d v="2020-03-22T00:00:00"/>
    <d v="1899-12-30T08:00:00"/>
    <d v="1899-12-31T00:00:00"/>
    <x v="0"/>
    <x v="0"/>
    <n v="3"/>
    <n v="0"/>
    <s v="GBP"/>
    <x v="28"/>
    <n v="3"/>
    <n v="2"/>
    <x v="8"/>
  </r>
  <r>
    <x v="32"/>
    <s v="Guest517@gmail%2Ecom"/>
    <x v="3"/>
    <x v="33"/>
    <d v="2020-03-24T00:00:00"/>
    <d v="2020-03-22T00:00:00"/>
    <d v="1899-12-30T08:00:00"/>
    <d v="1899-12-31T00:00:00"/>
    <x v="0"/>
    <x v="0"/>
    <n v="1"/>
    <n v="0"/>
    <s v="GBP"/>
    <x v="3"/>
    <n v="1"/>
    <n v="1"/>
    <x v="8"/>
  </r>
  <r>
    <x v="48"/>
    <s v="Guest458@encry.com"/>
    <x v="3"/>
    <x v="34"/>
    <d v="2020-04-09T00:00:00"/>
    <d v="2020-02-09T00:00:00"/>
    <d v="1899-12-30T08:00:00"/>
    <d v="1899-12-31T00:00:00"/>
    <x v="3"/>
    <x v="0"/>
    <n v="3"/>
    <n v="0"/>
    <s v="GBP"/>
    <x v="29"/>
    <n v="3"/>
    <n v="16"/>
    <x v="8"/>
  </r>
  <r>
    <x v="49"/>
    <s v="Guest101@airbnb.com"/>
    <x v="1"/>
    <x v="34"/>
    <d v="2020-03-26T00:00:00"/>
    <d v="2020-03-23T00:00:00"/>
    <d v="1899-12-30T08:00:00"/>
    <d v="1899-12-31T00:00:00"/>
    <x v="1"/>
    <x v="0"/>
    <n v="4"/>
    <n v="0"/>
    <s v="GBP"/>
    <x v="9"/>
    <n v="4"/>
    <n v="2"/>
    <x v="8"/>
  </r>
  <r>
    <x v="31"/>
    <s v="Guest226@yahoo.com"/>
    <x v="2"/>
    <x v="34"/>
    <d v="2020-03-26T00:00:00"/>
    <d v="2020-03-21T00:00:00"/>
    <d v="1899-12-30T08:00:00"/>
    <d v="1899-12-31T00:00:00"/>
    <x v="0"/>
    <x v="0"/>
    <n v="5"/>
    <n v="0"/>
    <s v="GBP"/>
    <x v="11"/>
    <n v="5"/>
    <n v="2"/>
    <x v="8"/>
  </r>
  <r>
    <x v="37"/>
    <s v="Guest454@guest.booking.com"/>
    <x v="2"/>
    <x v="34"/>
    <d v="2020-03-25T00:00:00"/>
    <d v="2020-03-24T00:00:00"/>
    <d v="1899-12-30T08:00:00"/>
    <d v="1899-12-31T00:00:00"/>
    <x v="0"/>
    <x v="1"/>
    <n v="1"/>
    <n v="0"/>
    <s v="GBP"/>
    <x v="3"/>
    <n v="1"/>
    <n v="1"/>
    <x v="8"/>
  </r>
  <r>
    <x v="37"/>
    <s v="Guest454@guest.booking.com"/>
    <x v="1"/>
    <x v="34"/>
    <d v="2020-03-25T00:00:00"/>
    <d v="2020-03-23T00:00:00"/>
    <d v="1899-12-30T08:00:00"/>
    <d v="1899-12-31T00:00:00"/>
    <x v="0"/>
    <x v="0"/>
    <n v="3"/>
    <n v="0"/>
    <s v="GBP"/>
    <x v="3"/>
    <n v="3"/>
    <n v="1"/>
    <x v="8"/>
  </r>
  <r>
    <x v="50"/>
    <s v="Guest32@yahoo.com"/>
    <x v="1"/>
    <x v="34"/>
    <d v="2020-03-29T00:00:00"/>
    <d v="2020-03-24T00:00:00"/>
    <d v="1899-12-30T08:00:00"/>
    <d v="1899-12-31T00:00:00"/>
    <x v="0"/>
    <x v="1"/>
    <n v="5"/>
    <n v="0"/>
    <s v="GBP"/>
    <x v="5"/>
    <n v="5"/>
    <n v="5"/>
    <x v="8"/>
  </r>
  <r>
    <x v="46"/>
    <s v="Guest257@guest.airbnb.com"/>
    <x v="4"/>
    <x v="35"/>
    <d v="2020-03-28T00:00:00"/>
    <d v="2020-03-22T00:00:00"/>
    <d v="1899-12-30T08:00:00"/>
    <d v="1899-12-31T00:00:00"/>
    <x v="0"/>
    <x v="0"/>
    <n v="2"/>
    <n v="0"/>
    <s v="GBP"/>
    <x v="30"/>
    <n v="2"/>
    <n v="3"/>
    <x v="8"/>
  </r>
  <r>
    <x v="51"/>
    <s v="Guest334@yahoo.com"/>
    <x v="2"/>
    <x v="35"/>
    <d v="2020-03-28T00:00:00"/>
    <d v="2020-03-24T00:00:00"/>
    <d v="1899-12-30T08:00:00"/>
    <d v="1899-12-31T00:00:00"/>
    <x v="0"/>
    <x v="1"/>
    <n v="4"/>
    <n v="0"/>
    <s v="GBP"/>
    <x v="23"/>
    <n v="4"/>
    <n v="3"/>
    <x v="8"/>
  </r>
  <r>
    <x v="31"/>
    <s v="Guest226@yahoo.com"/>
    <x v="1"/>
    <x v="36"/>
    <d v="2020-03-29T00:00:00"/>
    <d v="2020-03-21T00:00:00"/>
    <d v="1899-12-30T08:00:00"/>
    <d v="1899-12-31T00:00:00"/>
    <x v="0"/>
    <x v="0"/>
    <n v="3"/>
    <n v="0"/>
    <s v="GBP"/>
    <x v="23"/>
    <n v="3"/>
    <n v="3"/>
    <x v="8"/>
  </r>
  <r>
    <x v="44"/>
    <s v="Guest533@yahoo.com"/>
    <x v="4"/>
    <x v="37"/>
    <d v="2020-03-28T00:00:00"/>
    <d v="2020-03-15T00:00:00"/>
    <d v="1899-12-30T08:00:00"/>
    <d v="1899-12-31T00:00:00"/>
    <x v="0"/>
    <x v="0"/>
    <n v="4"/>
    <n v="0"/>
    <s v="GBP"/>
    <x v="3"/>
    <n v="4"/>
    <n v="1"/>
    <x v="8"/>
  </r>
  <r>
    <x v="52"/>
    <s v="Guest116@airbnb.com"/>
    <x v="2"/>
    <x v="37"/>
    <d v="2020-04-05T00:00:00"/>
    <d v="2020-03-21T00:00:00"/>
    <d v="1899-12-30T08:00:00"/>
    <d v="1899-12-31T00:00:00"/>
    <x v="1"/>
    <x v="0"/>
    <n v="1"/>
    <n v="0"/>
    <s v="GBP"/>
    <x v="31"/>
    <n v="1"/>
    <n v="9"/>
    <x v="8"/>
  </r>
  <r>
    <x v="53"/>
    <s v="Guest518@airbnb.com"/>
    <x v="1"/>
    <x v="37"/>
    <d v="2020-03-28T00:00:00"/>
    <d v="2020-03-16T00:00:00"/>
    <d v="1899-12-30T08:00:00"/>
    <d v="1899-12-31T00:00:00"/>
    <x v="1"/>
    <x v="0"/>
    <n v="1"/>
    <n v="0"/>
    <s v="GBP"/>
    <x v="32"/>
    <n v="1"/>
    <n v="1"/>
    <x v="8"/>
  </r>
  <r>
    <x v="54"/>
    <s v="Guest491@yahoo.com"/>
    <x v="1"/>
    <x v="38"/>
    <d v="2020-03-31T00:00:00"/>
    <d v="2020-03-03T00:00:00"/>
    <d v="1899-12-30T08:00:00"/>
    <d v="1899-12-31T00:00:00"/>
    <x v="0"/>
    <x v="0"/>
    <n v="3"/>
    <n v="0"/>
    <s v="GBP"/>
    <x v="23"/>
    <n v="3"/>
    <n v="3"/>
    <x v="8"/>
  </r>
  <r>
    <x v="55"/>
    <s v="Guest138@yahoo%2Ecom"/>
    <x v="4"/>
    <x v="38"/>
    <d v="2020-04-05T00:00:00"/>
    <d v="2020-02-08T00:00:00"/>
    <d v="1899-12-30T08:00:00"/>
    <d v="1899-12-31T00:00:00"/>
    <x v="1"/>
    <x v="0"/>
    <n v="2"/>
    <n v="0"/>
    <s v="GBP"/>
    <x v="33"/>
    <n v="2"/>
    <n v="8"/>
    <x v="8"/>
  </r>
  <r>
    <x v="56"/>
    <s v="Guest155@gmail.com"/>
    <x v="2"/>
    <x v="38"/>
    <d v="2020-03-29T00:00:00"/>
    <d v="2020-03-23T00:00:00"/>
    <d v="1899-12-30T08:00:00"/>
    <d v="1899-12-31T00:00:00"/>
    <x v="0"/>
    <x v="1"/>
    <n v="4"/>
    <n v="0"/>
    <s v="GBP"/>
    <x v="3"/>
    <n v="4"/>
    <n v="1"/>
    <x v="8"/>
  </r>
  <r>
    <x v="37"/>
    <s v="Guest454@guest.booking.com"/>
    <x v="3"/>
    <x v="38"/>
    <d v="2020-03-30T00:00:00"/>
    <d v="2020-03-26T00:00:00"/>
    <d v="1899-12-30T08:00:00"/>
    <d v="1899-12-31T00:00:00"/>
    <x v="0"/>
    <x v="1"/>
    <n v="3"/>
    <n v="0"/>
    <s v="GBP"/>
    <x v="11"/>
    <n v="3"/>
    <n v="2"/>
    <x v="8"/>
  </r>
  <r>
    <x v="55"/>
    <s v="Guest138@yahoo%2Ecom"/>
    <x v="1"/>
    <x v="39"/>
    <d v="2020-04-05T00:00:00"/>
    <d v="2020-02-18T00:00:00"/>
    <d v="1899-12-30T08:00:00"/>
    <d v="1899-12-31T00:00:00"/>
    <x v="0"/>
    <x v="0"/>
    <n v="4"/>
    <n v="0"/>
    <s v="GBP"/>
    <x v="34"/>
    <n v="4"/>
    <n v="7"/>
    <x v="8"/>
  </r>
  <r>
    <x v="57"/>
    <s v="Guest122@airbnb.com"/>
    <x v="2"/>
    <x v="39"/>
    <d v="2020-04-01T00:00:00"/>
    <d v="2020-03-28T00:00:00"/>
    <d v="1899-12-30T08:00:00"/>
    <d v="1899-12-31T00:00:00"/>
    <x v="1"/>
    <x v="0"/>
    <n v="2"/>
    <n v="0"/>
    <s v="GBP"/>
    <x v="26"/>
    <n v="2"/>
    <n v="3"/>
    <x v="8"/>
  </r>
  <r>
    <x v="51"/>
    <s v="Guest334@yahoo.com"/>
    <x v="2"/>
    <x v="39"/>
    <d v="2020-03-31T00:00:00"/>
    <d v="2020-03-28T00:00:00"/>
    <d v="1899-12-30T08:00:00"/>
    <d v="1899-12-31T00:00:00"/>
    <x v="0"/>
    <x v="0"/>
    <n v="2"/>
    <n v="0"/>
    <s v="GBP"/>
    <x v="11"/>
    <n v="2"/>
    <n v="2"/>
    <x v="8"/>
  </r>
  <r>
    <x v="50"/>
    <s v="Guest32@yahoo.com"/>
    <x v="1"/>
    <x v="39"/>
    <d v="2020-04-04T00:00:00"/>
    <d v="2020-03-27T00:00:00"/>
    <d v="1899-12-30T08:00:00"/>
    <d v="1899-12-31T00:00:00"/>
    <x v="0"/>
    <x v="1"/>
    <n v="3"/>
    <n v="0"/>
    <s v="GBP"/>
    <x v="25"/>
    <n v="3"/>
    <n v="6"/>
    <x v="8"/>
  </r>
  <r>
    <x v="18"/>
    <s v="Guest58@guest.airbnb.com"/>
    <x v="3"/>
    <x v="40"/>
    <d v="2020-04-04T00:00:00"/>
    <d v="2020-02-25T00:00:00"/>
    <d v="1899-12-30T08:00:00"/>
    <d v="1899-12-31T00:00:00"/>
    <x v="0"/>
    <x v="0"/>
    <n v="3"/>
    <n v="0"/>
    <s v="GBP"/>
    <x v="5"/>
    <n v="3"/>
    <n v="5"/>
    <x v="8"/>
  </r>
  <r>
    <x v="37"/>
    <s v="Guest454@guest.booking.com"/>
    <x v="2"/>
    <x v="40"/>
    <d v="2020-04-01T00:00:00"/>
    <d v="2020-03-30T00:00:00"/>
    <d v="1899-12-30T08:00:00"/>
    <d v="1899-12-31T00:00:00"/>
    <x v="0"/>
    <x v="1"/>
    <n v="3"/>
    <n v="0"/>
    <s v="GBP"/>
    <x v="11"/>
    <n v="3"/>
    <n v="2"/>
    <x v="8"/>
  </r>
  <r>
    <x v="58"/>
    <s v="Guest415@gmail%2Ecom"/>
    <x v="5"/>
    <x v="41"/>
    <d v="2020-04-07T00:00:00"/>
    <d v="2020-02-18T00:00:00"/>
    <d v="1899-12-30T08:00:00"/>
    <d v="1899-12-31T00:00:00"/>
    <x v="0"/>
    <x v="0"/>
    <n v="4"/>
    <n v="3"/>
    <s v="GBP"/>
    <x v="3"/>
    <n v="7"/>
    <n v="7"/>
    <x v="8"/>
  </r>
  <r>
    <x v="59"/>
    <s v="Guest300@airbnb.com"/>
    <x v="1"/>
    <x v="42"/>
    <d v="2020-04-02T00:00:00"/>
    <d v="2020-03-17T00:00:00"/>
    <d v="1899-12-30T08:00:00"/>
    <d v="1899-12-31T00:00:00"/>
    <x v="1"/>
    <x v="0"/>
    <n v="1"/>
    <n v="0"/>
    <s v="GBP"/>
    <x v="32"/>
    <n v="1"/>
    <n v="1"/>
    <x v="8"/>
  </r>
  <r>
    <x v="37"/>
    <s v="Guest454@guest.booking.com"/>
    <x v="2"/>
    <x v="42"/>
    <d v="2020-04-12T00:00:00"/>
    <d v="2020-03-30T00:00:00"/>
    <d v="1899-12-30T08:00:00"/>
    <d v="1899-12-31T00:00:00"/>
    <x v="0"/>
    <x v="1"/>
    <n v="2"/>
    <n v="0"/>
    <s v="GBP"/>
    <x v="35"/>
    <n v="2"/>
    <n v="11"/>
    <x v="8"/>
  </r>
  <r>
    <x v="60"/>
    <s v="Guest16@gmail%2Ecom"/>
    <x v="3"/>
    <x v="43"/>
    <d v="2020-04-05T00:00:00"/>
    <d v="2020-04-02T00:00:00"/>
    <d v="1899-12-30T08:00:00"/>
    <d v="1899-12-31T00:00:00"/>
    <x v="0"/>
    <x v="1"/>
    <n v="4"/>
    <n v="0"/>
    <s v="GBP"/>
    <x v="23"/>
    <n v="4"/>
    <n v="3"/>
    <x v="8"/>
  </r>
  <r>
    <x v="50"/>
    <s v="Guest32@yahoo.com"/>
    <x v="1"/>
    <x v="44"/>
    <d v="2020-04-05T00:00:00"/>
    <d v="2020-04-09T00:00:00"/>
    <d v="1899-12-30T08:00:00"/>
    <d v="1899-12-31T00:00:00"/>
    <x v="0"/>
    <x v="1"/>
    <n v="2"/>
    <n v="0"/>
    <s v="GBP"/>
    <x v="3"/>
    <n v="2"/>
    <n v="1"/>
    <x v="8"/>
  </r>
  <r>
    <x v="61"/>
    <s v="Guest468@airbnb.com"/>
    <x v="1"/>
    <x v="45"/>
    <d v="2020-04-06T00:00:00"/>
    <d v="2020-03-27T00:00:00"/>
    <d v="1899-12-30T08:00:00"/>
    <d v="1899-12-31T00:00:00"/>
    <x v="1"/>
    <x v="0"/>
    <n v="1"/>
    <n v="0"/>
    <s v="GBP"/>
    <x v="32"/>
    <n v="1"/>
    <n v="1"/>
    <x v="8"/>
  </r>
  <r>
    <x v="50"/>
    <s v="Guest32@yahoo.com"/>
    <x v="1"/>
    <x v="45"/>
    <d v="2020-04-06T00:00:00"/>
    <d v="2020-04-04T00:00:00"/>
    <d v="1899-12-30T08:00:00"/>
    <d v="1899-12-31T00:00:00"/>
    <x v="0"/>
    <x v="1"/>
    <n v="3"/>
    <n v="0"/>
    <s v="GBP"/>
    <x v="3"/>
    <n v="3"/>
    <n v="1"/>
    <x v="8"/>
  </r>
  <r>
    <x v="62"/>
    <s v="Guest290@airbnb.com"/>
    <x v="4"/>
    <x v="46"/>
    <d v="2020-04-07T00:00:00"/>
    <d v="2020-03-26T00:00:00"/>
    <d v="1899-12-30T08:00:00"/>
    <d v="1899-12-31T00:00:00"/>
    <x v="1"/>
    <x v="0"/>
    <n v="6"/>
    <n v="0"/>
    <s v="GBP"/>
    <x v="32"/>
    <n v="6"/>
    <n v="1"/>
    <x v="8"/>
  </r>
  <r>
    <x v="50"/>
    <s v="Guest32@yahoo.com"/>
    <x v="1"/>
    <x v="46"/>
    <d v="2020-04-12T00:00:00"/>
    <d v="2020-04-02T00:00:00"/>
    <d v="1899-12-30T08:00:00"/>
    <d v="1899-12-31T00:00:00"/>
    <x v="0"/>
    <x v="1"/>
    <n v="3"/>
    <n v="0"/>
    <s v="GBP"/>
    <x v="3"/>
    <n v="3"/>
    <n v="6"/>
    <x v="8"/>
  </r>
  <r>
    <x v="63"/>
    <s v="Guest142@airbnb.com"/>
    <x v="4"/>
    <x v="47"/>
    <d v="2020-04-13T00:00:00"/>
    <d v="2020-03-05T00:00:00"/>
    <d v="1899-12-30T08:00:00"/>
    <d v="1899-12-31T00:00:00"/>
    <x v="1"/>
    <x v="0"/>
    <n v="1"/>
    <n v="0"/>
    <s v="GBP"/>
    <x v="8"/>
    <n v="1"/>
    <n v="6"/>
    <x v="8"/>
  </r>
  <r>
    <x v="64"/>
    <s v="Guest315@airbnb.com"/>
    <x v="4"/>
    <x v="48"/>
    <d v="2020-04-25T00:00:00"/>
    <d v="2020-02-29T00:00:00"/>
    <d v="1899-12-30T08:00:00"/>
    <d v="1899-12-31T00:00:00"/>
    <x v="1"/>
    <x v="0"/>
    <n v="1"/>
    <n v="0"/>
    <s v="GBP"/>
    <x v="36"/>
    <n v="1"/>
    <n v="17"/>
    <x v="8"/>
  </r>
  <r>
    <x v="65"/>
    <s v="Guest237@airbnb.com"/>
    <x v="3"/>
    <x v="49"/>
    <d v="2020-04-17T00:00:00"/>
    <d v="2020-02-23T00:00:00"/>
    <d v="1899-12-30T08:00:00"/>
    <d v="1899-12-31T00:00:00"/>
    <x v="1"/>
    <x v="0"/>
    <n v="1"/>
    <n v="0"/>
    <s v="GBP"/>
    <x v="37"/>
    <n v="1"/>
    <n v="7"/>
    <x v="8"/>
  </r>
  <r>
    <x v="5"/>
    <s v="Guest520@yahoo.com"/>
    <x v="4"/>
    <x v="50"/>
    <d v="2020-05-11T00:00:00"/>
    <d v="2020-11-02T00:00:00"/>
    <d v="1899-12-30T12:00:00"/>
    <d v="1899-12-30T14:00:00"/>
    <x v="0"/>
    <x v="0"/>
    <n v="1"/>
    <n v="0"/>
    <s v="GBP"/>
    <x v="4"/>
    <n v="1"/>
    <n v="30"/>
    <x v="8"/>
  </r>
  <r>
    <x v="5"/>
    <s v="Guest520@yahoo.com"/>
    <x v="4"/>
    <x v="50"/>
    <d v="2020-05-11T00:00:00"/>
    <d v="2020-11-02T00:00:00"/>
    <d v="1899-12-30T12:00:00"/>
    <d v="1899-12-30T14:00:00"/>
    <x v="0"/>
    <x v="0"/>
    <n v="1"/>
    <n v="0"/>
    <s v="GBP"/>
    <x v="4"/>
    <n v="1"/>
    <n v="30"/>
    <x v="8"/>
  </r>
  <r>
    <x v="37"/>
    <s v="Guest454@guest.booking.com"/>
    <x v="2"/>
    <x v="51"/>
    <d v="2020-04-15T00:00:00"/>
    <d v="2020-04-10T00:00:00"/>
    <d v="1899-12-30T08:00:00"/>
    <d v="1899-12-31T00:00:00"/>
    <x v="0"/>
    <x v="1"/>
    <n v="3"/>
    <n v="0"/>
    <s v="GBP"/>
    <x v="23"/>
    <n v="3"/>
    <n v="3"/>
    <x v="8"/>
  </r>
  <r>
    <x v="50"/>
    <s v="Guest32@yahoo.com"/>
    <x v="1"/>
    <x v="51"/>
    <d v="2020-04-20T00:00:00"/>
    <d v="2020-04-07T00:00:00"/>
    <d v="1899-12-30T08:00:00"/>
    <d v="1899-12-31T00:00:00"/>
    <x v="0"/>
    <x v="1"/>
    <n v="3"/>
    <n v="0"/>
    <s v="GBP"/>
    <x v="33"/>
    <n v="3"/>
    <n v="8"/>
    <x v="8"/>
  </r>
  <r>
    <x v="5"/>
    <s v="Guest520@yahoo.com"/>
    <x v="4"/>
    <x v="51"/>
    <d v="2020-06-12T00:00:00"/>
    <d v="2020-10-23T00:00:00"/>
    <d v="1899-12-30T12:00:00"/>
    <d v="1899-12-30T14:00:00"/>
    <x v="0"/>
    <x v="0"/>
    <n v="1"/>
    <n v="0"/>
    <s v="GBP"/>
    <x v="38"/>
    <n v="1"/>
    <n v="61"/>
    <x v="8"/>
  </r>
  <r>
    <x v="66"/>
    <s v="Guest39@sdf.fsd"/>
    <x v="4"/>
    <x v="51"/>
    <d v="2020-05-12T00:00:00"/>
    <d v="2020-10-26T00:00:00"/>
    <d v="1899-12-30T12:00:00"/>
    <d v="1899-12-30T14:00:00"/>
    <x v="0"/>
    <x v="0"/>
    <n v="1"/>
    <n v="0"/>
    <s v="GBP"/>
    <x v="4"/>
    <n v="1"/>
    <n v="30"/>
    <x v="8"/>
  </r>
  <r>
    <x v="67"/>
    <s v="Guest151@careerinsights.tv"/>
    <x v="4"/>
    <x v="51"/>
    <d v="2020-05-12T00:00:00"/>
    <d v="2020-10-27T00:00:00"/>
    <d v="1899-12-30T12:00:00"/>
    <d v="1899-12-30T14:00:00"/>
    <x v="0"/>
    <x v="0"/>
    <n v="1"/>
    <n v="0"/>
    <s v="GBP"/>
    <x v="4"/>
    <n v="1"/>
    <n v="30"/>
    <x v="8"/>
  </r>
  <r>
    <x v="67"/>
    <s v="Guest151@careerinsights.tv"/>
    <x v="4"/>
    <x v="51"/>
    <d v="2020-05-12T00:00:00"/>
    <d v="2020-10-28T00:00:00"/>
    <d v="1899-12-30T12:00:00"/>
    <d v="1899-12-30T14:00:00"/>
    <x v="0"/>
    <x v="0"/>
    <n v="1"/>
    <n v="0"/>
    <s v="GBP"/>
    <x v="4"/>
    <n v="1"/>
    <n v="30"/>
    <x v="8"/>
  </r>
  <r>
    <x v="68"/>
    <s v="Guest456@gmail.com"/>
    <x v="4"/>
    <x v="51"/>
    <d v="2020-05-12T00:00:00"/>
    <d v="2020-11-04T00:00:00"/>
    <d v="1899-12-30T12:00:00"/>
    <d v="1899-12-30T14:00:00"/>
    <x v="0"/>
    <x v="0"/>
    <n v="8"/>
    <n v="0"/>
    <s v="GBP"/>
    <x v="4"/>
    <n v="8"/>
    <n v="30"/>
    <x v="8"/>
  </r>
  <r>
    <x v="69"/>
    <s v="Guest460@gmail.com"/>
    <x v="3"/>
    <x v="52"/>
    <d v="2020-04-21T00:00:00"/>
    <d v="2020-03-14T00:00:00"/>
    <d v="1899-12-30T08:00:00"/>
    <d v="1899-12-31T00:00:00"/>
    <x v="0"/>
    <x v="0"/>
    <n v="3"/>
    <n v="0"/>
    <s v="GBP"/>
    <x v="33"/>
    <n v="3"/>
    <n v="8"/>
    <x v="8"/>
  </r>
  <r>
    <x v="70"/>
    <s v="Guest420@airbnb.com"/>
    <x v="1"/>
    <x v="53"/>
    <d v="2020-04-15T00:00:00"/>
    <d v="2020-03-04T00:00:00"/>
    <d v="1899-12-30T08:00:00"/>
    <d v="1899-12-31T00:00:00"/>
    <x v="1"/>
    <x v="0"/>
    <n v="1"/>
    <n v="0"/>
    <s v="GBP"/>
    <x v="12"/>
    <n v="1"/>
    <n v="1"/>
    <x v="8"/>
  </r>
  <r>
    <x v="71"/>
    <s v="Guest158@gmail.com"/>
    <x v="1"/>
    <x v="53"/>
    <d v="2020-04-19T00:00:00"/>
    <d v="2020-03-07T00:00:00"/>
    <d v="1899-12-30T08:00:00"/>
    <d v="1899-12-31T00:00:00"/>
    <x v="0"/>
    <x v="0"/>
    <n v="2"/>
    <n v="0"/>
    <s v="GBP"/>
    <x v="5"/>
    <n v="2"/>
    <n v="5"/>
    <x v="8"/>
  </r>
  <r>
    <x v="50"/>
    <s v="Guest32@yahoo.com"/>
    <x v="1"/>
    <x v="54"/>
    <d v="2020-04-21T00:00:00"/>
    <d v="2020-04-14T00:00:00"/>
    <d v="1899-12-30T08:00:00"/>
    <d v="1899-12-31T00:00:00"/>
    <x v="0"/>
    <x v="0"/>
    <n v="4"/>
    <n v="0"/>
    <s v="GBP"/>
    <x v="25"/>
    <n v="4"/>
    <n v="6"/>
    <x v="8"/>
  </r>
  <r>
    <x v="37"/>
    <s v="Guest454@guest.booking.com"/>
    <x v="2"/>
    <x v="54"/>
    <d v="2020-04-30T00:00:00"/>
    <d v="2020-04-14T00:00:00"/>
    <d v="1899-12-30T08:00:00"/>
    <d v="1899-12-31T00:00:00"/>
    <x v="0"/>
    <x v="1"/>
    <n v="3"/>
    <n v="0"/>
    <s v="GBP"/>
    <x v="22"/>
    <n v="3"/>
    <n v="15"/>
    <x v="8"/>
  </r>
  <r>
    <x v="50"/>
    <s v="Guest32@yahoo.com"/>
    <x v="1"/>
    <x v="54"/>
    <d v="2020-04-21T00:00:00"/>
    <d v="2020-04-14T00:00:00"/>
    <d v="1899-12-30T08:00:00"/>
    <d v="1899-12-31T00:00:00"/>
    <x v="0"/>
    <x v="0"/>
    <n v="4"/>
    <n v="0"/>
    <s v="GBP"/>
    <x v="25"/>
    <n v="4"/>
    <n v="6"/>
    <x v="8"/>
  </r>
  <r>
    <x v="50"/>
    <s v="Guest32@yahoo.com"/>
    <x v="1"/>
    <x v="54"/>
    <d v="2020-04-21T00:00:00"/>
    <d v="2020-04-14T00:00:00"/>
    <d v="1899-12-30T08:00:00"/>
    <d v="1899-12-31T00:00:00"/>
    <x v="0"/>
    <x v="0"/>
    <n v="4"/>
    <n v="0"/>
    <s v="GBP"/>
    <x v="25"/>
    <n v="4"/>
    <n v="6"/>
    <x v="8"/>
  </r>
  <r>
    <x v="72"/>
    <s v="Guest313@airbnb.com"/>
    <x v="2"/>
    <x v="55"/>
    <d v="2020-04-23T00:00:00"/>
    <d v="2020-04-10T00:00:00"/>
    <d v="1899-12-30T08:00:00"/>
    <d v="1899-12-31T00:00:00"/>
    <x v="1"/>
    <x v="0"/>
    <n v="3"/>
    <n v="0"/>
    <s v="GBP"/>
    <x v="39"/>
    <n v="3"/>
    <n v="7"/>
    <x v="8"/>
  </r>
  <r>
    <x v="73"/>
    <s v="Guest34@gmail.com"/>
    <x v="4"/>
    <x v="56"/>
    <d v="2020-04-21T00:00:00"/>
    <d v="2020-04-17T00:00:00"/>
    <d v="1899-12-30T08:00:00"/>
    <d v="1899-12-31T00:00:00"/>
    <x v="0"/>
    <x v="1"/>
    <n v="4"/>
    <n v="0"/>
    <s v="GBP"/>
    <x v="24"/>
    <n v="4"/>
    <n v="4"/>
    <x v="8"/>
  </r>
  <r>
    <x v="74"/>
    <s v="Guest557@airbnb.com"/>
    <x v="4"/>
    <x v="57"/>
    <d v="2020-04-19T00:00:00"/>
    <d v="2020-03-17T00:00:00"/>
    <d v="1899-12-30T08:00:00"/>
    <d v="1899-12-31T00:00:00"/>
    <x v="1"/>
    <x v="0"/>
    <n v="1"/>
    <n v="0"/>
    <s v="GBP"/>
    <x v="32"/>
    <n v="1"/>
    <n v="1"/>
    <x v="8"/>
  </r>
  <r>
    <x v="75"/>
    <s v="Guest335@yahoo.com"/>
    <x v="1"/>
    <x v="58"/>
    <d v="2020-04-24T00:00:00"/>
    <d v="2020-04-20T00:00:00"/>
    <d v="1899-12-30T08:00:00"/>
    <d v="1899-12-31T00:00:00"/>
    <x v="0"/>
    <x v="0"/>
    <n v="5"/>
    <n v="0"/>
    <s v="GBP"/>
    <x v="23"/>
    <n v="5"/>
    <n v="3"/>
    <x v="8"/>
  </r>
  <r>
    <x v="75"/>
    <s v="Guest335@yahoo.com"/>
    <x v="1"/>
    <x v="58"/>
    <d v="2020-04-24T00:00:00"/>
    <d v="2020-04-23T00:00:00"/>
    <d v="1899-12-30T08:00:00"/>
    <d v="1899-12-31T00:00:00"/>
    <x v="0"/>
    <x v="1"/>
    <n v="4"/>
    <n v="0"/>
    <s v="GBP"/>
    <x v="23"/>
    <n v="4"/>
    <n v="3"/>
    <x v="8"/>
  </r>
  <r>
    <x v="76"/>
    <s v="Guest15@airbnb.com"/>
    <x v="1"/>
    <x v="59"/>
    <d v="2020-04-23T00:00:00"/>
    <d v="2020-03-29T00:00:00"/>
    <d v="1899-12-30T08:00:00"/>
    <d v="1899-12-31T00:00:00"/>
    <x v="1"/>
    <x v="0"/>
    <n v="6"/>
    <n v="0"/>
    <s v="GBP"/>
    <x v="32"/>
    <n v="6"/>
    <n v="1"/>
    <x v="8"/>
  </r>
  <r>
    <x v="77"/>
    <s v="Guest84@gmail.com"/>
    <x v="4"/>
    <x v="60"/>
    <d v="2020-04-24T00:00:00"/>
    <d v="2020-04-23T00:00:00"/>
    <d v="1899-12-30T08:00:00"/>
    <d v="1899-12-31T00:00:00"/>
    <x v="0"/>
    <x v="1"/>
    <n v="5"/>
    <n v="0"/>
    <s v="GBP"/>
    <x v="3"/>
    <n v="5"/>
    <n v="1"/>
    <x v="8"/>
  </r>
  <r>
    <x v="78"/>
    <s v="Guest566@yahoo.com"/>
    <x v="3"/>
    <x v="61"/>
    <d v="2020-05-05T00:00:00"/>
    <d v="2020-02-13T00:00:00"/>
    <d v="1899-12-30T08:00:00"/>
    <d v="1899-12-31T00:00:00"/>
    <x v="0"/>
    <x v="0"/>
    <n v="2"/>
    <n v="0"/>
    <s v="GBP"/>
    <x v="35"/>
    <n v="2"/>
    <n v="11"/>
    <x v="8"/>
  </r>
  <r>
    <x v="79"/>
    <s v="Guest256@airbnb.com"/>
    <x v="4"/>
    <x v="61"/>
    <d v="2020-05-09T00:00:00"/>
    <d v="2020-04-18T00:00:00"/>
    <d v="1899-12-30T08:00:00"/>
    <d v="1899-12-31T00:00:00"/>
    <x v="1"/>
    <x v="0"/>
    <n v="2"/>
    <n v="0"/>
    <s v="GBP"/>
    <x v="40"/>
    <n v="2"/>
    <n v="15"/>
    <x v="8"/>
  </r>
  <r>
    <x v="75"/>
    <s v="Guest335@yahoo.com"/>
    <x v="1"/>
    <x v="61"/>
    <d v="2020-04-25T00:00:00"/>
    <d v="2020-04-23T00:00:00"/>
    <d v="1899-12-30T08:00:00"/>
    <d v="1899-12-31T00:00:00"/>
    <x v="0"/>
    <x v="1"/>
    <n v="4"/>
    <n v="0"/>
    <s v="GBP"/>
    <x v="3"/>
    <n v="4"/>
    <n v="1"/>
    <x v="8"/>
  </r>
  <r>
    <x v="77"/>
    <s v="Guest84@gmail.com"/>
    <x v="3"/>
    <x v="61"/>
    <d v="2020-04-26T00:00:00"/>
    <d v="2020-04-24T00:00:00"/>
    <d v="1899-12-30T08:00:00"/>
    <d v="1899-12-31T00:00:00"/>
    <x v="0"/>
    <x v="1"/>
    <n v="3"/>
    <n v="0"/>
    <s v="GBP"/>
    <x v="11"/>
    <n v="3"/>
    <n v="2"/>
    <x v="8"/>
  </r>
  <r>
    <x v="80"/>
    <s v="Guest126@guest.booking.com"/>
    <x v="1"/>
    <x v="62"/>
    <d v="2020-04-26T00:00:00"/>
    <d v="2020-04-22T00:00:00"/>
    <d v="1899-12-30T08:00:00"/>
    <d v="1899-12-31T00:00:00"/>
    <x v="2"/>
    <x v="0"/>
    <n v="5"/>
    <n v="0"/>
    <s v="GBP"/>
    <x v="41"/>
    <n v="5"/>
    <n v="1"/>
    <x v="8"/>
  </r>
  <r>
    <x v="75"/>
    <s v="Guest335@yahoo.com"/>
    <x v="1"/>
    <x v="62"/>
    <d v="2020-04-26T00:00:00"/>
    <d v="2020-04-25T00:00:00"/>
    <d v="1899-12-30T08:00:00"/>
    <d v="1899-12-31T00:00:00"/>
    <x v="0"/>
    <x v="1"/>
    <n v="2"/>
    <n v="0"/>
    <s v="GBP"/>
    <x v="3"/>
    <n v="2"/>
    <n v="1"/>
    <x v="8"/>
  </r>
  <r>
    <x v="81"/>
    <s v="Guest202@airbnb.com"/>
    <x v="4"/>
    <x v="63"/>
    <d v="2020-04-27T00:00:00"/>
    <d v="2020-03-16T00:00:00"/>
    <d v="1899-12-30T08:00:00"/>
    <d v="1899-12-31T00:00:00"/>
    <x v="1"/>
    <x v="0"/>
    <n v="4"/>
    <n v="0"/>
    <s v="GBP"/>
    <x v="32"/>
    <n v="4"/>
    <n v="1"/>
    <x v="8"/>
  </r>
  <r>
    <x v="82"/>
    <s v="Guest439@gmail%2Ecom"/>
    <x v="1"/>
    <x v="63"/>
    <d v="2020-05-03T00:00:00"/>
    <d v="2020-02-24T00:00:00"/>
    <d v="1899-12-30T08:00:00"/>
    <d v="1899-12-31T00:00:00"/>
    <x v="0"/>
    <x v="0"/>
    <n v="2"/>
    <n v="0"/>
    <s v="GBP"/>
    <x v="34"/>
    <n v="2"/>
    <n v="7"/>
    <x v="8"/>
  </r>
  <r>
    <x v="75"/>
    <s v="Guest335@yahoo.com"/>
    <x v="1"/>
    <x v="63"/>
    <d v="2020-04-28T00:00:00"/>
    <d v="2020-04-23T00:00:00"/>
    <d v="1899-12-30T08:00:00"/>
    <d v="1899-12-31T00:00:00"/>
    <x v="0"/>
    <x v="1"/>
    <n v="4"/>
    <n v="0"/>
    <s v="GBP"/>
    <x v="11"/>
    <n v="4"/>
    <n v="2"/>
    <x v="8"/>
  </r>
  <r>
    <x v="75"/>
    <s v="Guest335@yahoo.com"/>
    <x v="1"/>
    <x v="64"/>
    <d v="2020-05-05T00:00:00"/>
    <d v="2020-04-24T00:00:00"/>
    <d v="1899-12-30T08:00:00"/>
    <d v="1899-12-31T00:00:00"/>
    <x v="0"/>
    <x v="0"/>
    <n v="3"/>
    <n v="0"/>
    <s v="GBP"/>
    <x v="34"/>
    <n v="3"/>
    <n v="7"/>
    <x v="8"/>
  </r>
  <r>
    <x v="83"/>
    <s v="Guest254@airbnb.com"/>
    <x v="2"/>
    <x v="65"/>
    <d v="2020-05-11T00:00:00"/>
    <d v="2020-03-03T00:00:00"/>
    <d v="1899-12-30T08:00:00"/>
    <d v="1899-12-31T00:00:00"/>
    <x v="1"/>
    <x v="0"/>
    <n v="3"/>
    <n v="0"/>
    <s v="GBP"/>
    <x v="42"/>
    <n v="3"/>
    <n v="12"/>
    <x v="8"/>
  </r>
  <r>
    <x v="84"/>
    <s v="Guest258@guest.airbnb.com"/>
    <x v="4"/>
    <x v="65"/>
    <d v="2020-05-09T00:00:00"/>
    <d v="2020-04-19T00:00:00"/>
    <d v="1899-12-30T08:00:00"/>
    <d v="1899-12-31T00:00:00"/>
    <x v="0"/>
    <x v="0"/>
    <n v="4"/>
    <n v="0"/>
    <s v="GBP"/>
    <x v="43"/>
    <n v="4"/>
    <n v="10"/>
    <x v="8"/>
  </r>
  <r>
    <x v="84"/>
    <s v="Guest258@guest.airbnb.com"/>
    <x v="4"/>
    <x v="65"/>
    <d v="2020-05-09T00:00:00"/>
    <d v="2020-04-24T00:00:00"/>
    <d v="1899-12-30T08:00:00"/>
    <d v="1899-12-31T00:00:00"/>
    <x v="0"/>
    <x v="1"/>
    <n v="3"/>
    <n v="0"/>
    <s v="GBP"/>
    <x v="44"/>
    <n v="3"/>
    <n v="10"/>
    <x v="8"/>
  </r>
  <r>
    <x v="85"/>
    <s v="Guest332@airbnb.com"/>
    <x v="2"/>
    <x v="66"/>
    <d v="2020-05-03T00:00:00"/>
    <d v="2020-02-28T00:00:00"/>
    <d v="1899-12-30T08:00:00"/>
    <d v="1899-12-31T00:00:00"/>
    <x v="1"/>
    <x v="0"/>
    <n v="1"/>
    <n v="0"/>
    <s v="GBP"/>
    <x v="45"/>
    <n v="1"/>
    <n v="3"/>
    <x v="8"/>
  </r>
  <r>
    <x v="81"/>
    <s v="Guest202@airbnb.com"/>
    <x v="2"/>
    <x v="66"/>
    <d v="2020-05-29T00:00:00"/>
    <d v="2020-03-16T00:00:00"/>
    <d v="1899-12-30T08:00:00"/>
    <d v="1899-12-31T00:00:00"/>
    <x v="1"/>
    <x v="0"/>
    <n v="4"/>
    <n v="0"/>
    <s v="GBP"/>
    <x v="46"/>
    <n v="4"/>
    <n v="29"/>
    <x v="8"/>
  </r>
  <r>
    <x v="72"/>
    <s v="Guest313@airbnb.com"/>
    <x v="1"/>
    <x v="66"/>
    <d v="2020-05-30T00:00:00"/>
    <d v="2020-04-24T00:00:00"/>
    <d v="1899-12-30T08:00:00"/>
    <d v="1899-12-31T00:00:00"/>
    <x v="1"/>
    <x v="0"/>
    <n v="1"/>
    <n v="0"/>
    <s v="GBP"/>
    <x v="47"/>
    <n v="1"/>
    <n v="30"/>
    <x v="8"/>
  </r>
  <r>
    <x v="37"/>
    <s v="Guest454@guest.booking.com"/>
    <x v="2"/>
    <x v="66"/>
    <d v="2020-06-06T00:00:00"/>
    <d v="2020-04-25T00:00:00"/>
    <d v="1899-12-30T08:00:00"/>
    <d v="1899-12-31T00:00:00"/>
    <x v="0"/>
    <x v="1"/>
    <n v="3"/>
    <n v="0"/>
    <s v="GBP"/>
    <x v="48"/>
    <n v="3"/>
    <n v="37"/>
    <x v="8"/>
  </r>
  <r>
    <x v="86"/>
    <s v="Guest219@airbnb.com"/>
    <x v="4"/>
    <x v="67"/>
    <d v="2020-05-07T00:00:00"/>
    <d v="2020-03-16T00:00:00"/>
    <d v="1899-12-30T08:00:00"/>
    <d v="1899-12-31T00:00:00"/>
    <x v="1"/>
    <x v="0"/>
    <n v="1"/>
    <n v="0"/>
    <s v="GBP"/>
    <x v="26"/>
    <n v="1"/>
    <n v="3"/>
    <x v="8"/>
  </r>
  <r>
    <x v="87"/>
    <s v="Guest143@gmail.com"/>
    <x v="4"/>
    <x v="68"/>
    <d v="2020-05-17T00:00:00"/>
    <d v="2020-05-02T00:00:00"/>
    <d v="1899-12-30T08:00:00"/>
    <d v="1899-12-31T00:00:00"/>
    <x v="0"/>
    <x v="1"/>
    <n v="3"/>
    <n v="0"/>
    <s v="GBP"/>
    <x v="33"/>
    <n v="3"/>
    <n v="8"/>
    <x v="8"/>
  </r>
  <r>
    <x v="88"/>
    <s v="Guest275@airbnb.com"/>
    <x v="6"/>
    <x v="68"/>
    <d v="2020-05-10T00:00:00"/>
    <d v="2020-06-04T00:00:00"/>
    <d v="1899-12-30T14:00:00"/>
    <d v="1899-12-30T11:00:00"/>
    <x v="0"/>
    <x v="1"/>
    <n v="2"/>
    <n v="2"/>
    <s v="GBP"/>
    <x v="49"/>
    <n v="4"/>
    <n v="1"/>
    <x v="8"/>
  </r>
  <r>
    <x v="88"/>
    <s v="Guest275@airbnb.com"/>
    <x v="5"/>
    <x v="68"/>
    <d v="2020-05-10T00:00:00"/>
    <d v="2020-05-19T00:00:00"/>
    <d v="1899-12-30T14:00:00"/>
    <d v="1899-12-30T11:00:00"/>
    <x v="0"/>
    <x v="0"/>
    <n v="2"/>
    <n v="2"/>
    <s v="GBP"/>
    <x v="49"/>
    <n v="4"/>
    <n v="1"/>
    <x v="8"/>
  </r>
  <r>
    <x v="89"/>
    <s v="Guest26@yahoo.com"/>
    <x v="6"/>
    <x v="69"/>
    <d v="2020-05-12T00:00:00"/>
    <d v="2020-06-04T00:00:00"/>
    <d v="1899-12-30T14:00:00"/>
    <d v="1899-12-30T11:00:00"/>
    <x v="0"/>
    <x v="1"/>
    <n v="3"/>
    <n v="0"/>
    <s v="GBP"/>
    <x v="50"/>
    <n v="3"/>
    <n v="2"/>
    <x v="8"/>
  </r>
  <r>
    <x v="89"/>
    <s v="Guest26@yahoo.com"/>
    <x v="5"/>
    <x v="69"/>
    <d v="2020-05-12T00:00:00"/>
    <d v="2020-05-10T00:00:00"/>
    <d v="1899-12-30T14:00:00"/>
    <d v="1899-12-30T11:00:00"/>
    <x v="0"/>
    <x v="0"/>
    <n v="3"/>
    <n v="0"/>
    <s v="GBP"/>
    <x v="50"/>
    <n v="3"/>
    <n v="2"/>
    <x v="8"/>
  </r>
  <r>
    <x v="90"/>
    <s v="Guest216@airbnb.com"/>
    <x v="4"/>
    <x v="70"/>
    <d v="2020-05-13T00:00:00"/>
    <d v="2020-05-01T00:00:00"/>
    <d v="1899-12-30T08:00:00"/>
    <d v="1899-12-31T00:00:00"/>
    <x v="1"/>
    <x v="0"/>
    <n v="2"/>
    <n v="0"/>
    <s v="GBP"/>
    <x v="51"/>
    <n v="2"/>
    <n v="2"/>
    <x v="8"/>
  </r>
  <r>
    <x v="91"/>
    <s v="Guest54@gmail.com"/>
    <x v="3"/>
    <x v="70"/>
    <d v="2020-05-17T00:00:00"/>
    <d v="2020-05-02T00:00:00"/>
    <d v="1899-12-30T08:00:00"/>
    <d v="1899-12-31T00:00:00"/>
    <x v="0"/>
    <x v="1"/>
    <n v="4"/>
    <n v="0"/>
    <s v="GBP"/>
    <x v="25"/>
    <n v="4"/>
    <n v="6"/>
    <x v="8"/>
  </r>
  <r>
    <x v="92"/>
    <s v="Guest576@gmail.com"/>
    <x v="6"/>
    <x v="71"/>
    <d v="2020-05-17T00:00:00"/>
    <d v="2020-06-04T00:00:00"/>
    <d v="1899-12-30T02:00:00"/>
    <d v="1899-12-30T11:00:00"/>
    <x v="0"/>
    <x v="1"/>
    <n v="4"/>
    <n v="0"/>
    <s v="GBP"/>
    <x v="49"/>
    <n v="4"/>
    <n v="1"/>
    <x v="8"/>
  </r>
  <r>
    <x v="92"/>
    <s v="Guest576@gmail.com"/>
    <x v="5"/>
    <x v="71"/>
    <d v="2020-05-17T00:00:00"/>
    <d v="2020-05-12T00:00:00"/>
    <d v="1899-12-30T14:00:00"/>
    <d v="1899-12-30T11:00:00"/>
    <x v="0"/>
    <x v="0"/>
    <n v="4"/>
    <n v="0"/>
    <s v="GBP"/>
    <x v="49"/>
    <n v="4"/>
    <n v="1"/>
    <x v="8"/>
  </r>
  <r>
    <x v="87"/>
    <s v="Guest143@gmail.com"/>
    <x v="3"/>
    <x v="72"/>
    <d v="2020-06-01T00:00:00"/>
    <d v="2020-05-02T00:00:00"/>
    <d v="1899-12-30T08:00:00"/>
    <d v="1899-12-31T00:00:00"/>
    <x v="0"/>
    <x v="1"/>
    <n v="3"/>
    <n v="0"/>
    <s v="GBP"/>
    <x v="22"/>
    <n v="3"/>
    <n v="15"/>
    <x v="8"/>
  </r>
  <r>
    <x v="37"/>
    <s v="Guest454@guest.booking.com"/>
    <x v="4"/>
    <x v="72"/>
    <d v="2020-05-26T00:00:00"/>
    <d v="2020-04-30T00:00:00"/>
    <d v="1899-12-30T08:00:00"/>
    <d v="1899-12-31T00:00:00"/>
    <x v="0"/>
    <x v="0"/>
    <n v="3"/>
    <n v="0"/>
    <s v="GBP"/>
    <x v="52"/>
    <n v="3"/>
    <n v="9"/>
    <x v="8"/>
  </r>
  <r>
    <x v="93"/>
    <s v="Guest473@gmail.com"/>
    <x v="2"/>
    <x v="72"/>
    <d v="2020-05-25T00:00:00"/>
    <d v="2020-05-09T00:00:00"/>
    <d v="1899-12-30T08:00:00"/>
    <d v="1899-12-31T00:00:00"/>
    <x v="0"/>
    <x v="0"/>
    <n v="3"/>
    <n v="0"/>
    <s v="GBP"/>
    <x v="33"/>
    <n v="3"/>
    <n v="8"/>
    <x v="8"/>
  </r>
  <r>
    <x v="93"/>
    <s v="Guest473@gmail.com"/>
    <x v="4"/>
    <x v="72"/>
    <d v="2020-05-26T00:00:00"/>
    <d v="2020-05-16T00:00:00"/>
    <d v="1899-12-30T08:00:00"/>
    <d v="1899-12-31T00:00:00"/>
    <x v="0"/>
    <x v="1"/>
    <n v="3"/>
    <n v="0"/>
    <s v="GBP"/>
    <x v="52"/>
    <n v="3"/>
    <n v="9"/>
    <x v="8"/>
  </r>
  <r>
    <x v="94"/>
    <s v="Guest407@gmail.com"/>
    <x v="6"/>
    <x v="72"/>
    <d v="2020-05-18T00:00:00"/>
    <d v="2020-06-04T00:00:00"/>
    <d v="1899-12-30T14:00:00"/>
    <d v="1899-12-30T11:00:00"/>
    <x v="0"/>
    <x v="1"/>
    <n v="3"/>
    <n v="0"/>
    <s v="GBP"/>
    <x v="49"/>
    <n v="3"/>
    <n v="1"/>
    <x v="8"/>
  </r>
  <r>
    <x v="94"/>
    <s v="Guest407@gmail.com"/>
    <x v="5"/>
    <x v="72"/>
    <d v="2020-05-18T00:00:00"/>
    <d v="2020-05-12T00:00:00"/>
    <d v="1899-12-30T14:00:00"/>
    <d v="1899-12-30T11:00:00"/>
    <x v="0"/>
    <x v="0"/>
    <n v="3"/>
    <n v="0"/>
    <s v="GBP"/>
    <x v="49"/>
    <n v="3"/>
    <n v="1"/>
    <x v="8"/>
  </r>
  <r>
    <x v="95"/>
    <s v="Guest282@yahoo.com"/>
    <x v="6"/>
    <x v="73"/>
    <d v="2020-05-19T00:00:00"/>
    <d v="2020-06-04T00:00:00"/>
    <d v="1899-12-30T14:00:00"/>
    <d v="1899-12-30T12:00:00"/>
    <x v="0"/>
    <x v="1"/>
    <n v="3"/>
    <n v="0"/>
    <s v="GBP"/>
    <x v="49"/>
    <n v="3"/>
    <n v="1"/>
    <x v="8"/>
  </r>
  <r>
    <x v="95"/>
    <s v="Guest282@yahoo.com"/>
    <x v="5"/>
    <x v="73"/>
    <d v="2020-05-19T00:00:00"/>
    <d v="2020-05-12T00:00:00"/>
    <d v="1899-12-30T14:00:00"/>
    <d v="1899-12-30T11:00:00"/>
    <x v="0"/>
    <x v="0"/>
    <n v="3"/>
    <n v="0"/>
    <s v="GBP"/>
    <x v="49"/>
    <n v="3"/>
    <n v="1"/>
    <x v="8"/>
  </r>
  <r>
    <x v="58"/>
    <s v="Guest415@gmail%2Ecom"/>
    <x v="4"/>
    <x v="74"/>
    <d v="2020-05-26T00:00:00"/>
    <d v="2020-03-28T00:00:00"/>
    <d v="1899-12-30T08:00:00"/>
    <d v="1899-12-31T00:00:00"/>
    <x v="0"/>
    <x v="0"/>
    <n v="4"/>
    <n v="2"/>
    <s v="GBP"/>
    <x v="34"/>
    <n v="6"/>
    <n v="7"/>
    <x v="8"/>
  </r>
  <r>
    <x v="96"/>
    <s v="Guest7@gmail.com"/>
    <x v="5"/>
    <x v="75"/>
    <d v="2020-05-24T00:00:00"/>
    <d v="2020-05-12T00:00:00"/>
    <d v="1899-12-30T14:00:00"/>
    <d v="1899-12-30T11:00:00"/>
    <x v="3"/>
    <x v="0"/>
    <n v="3"/>
    <n v="0"/>
    <s v="GBP"/>
    <x v="53"/>
    <n v="3"/>
    <n v="3"/>
    <x v="8"/>
  </r>
  <r>
    <x v="96"/>
    <s v="Guest7@gmail.com"/>
    <x v="6"/>
    <x v="75"/>
    <d v="2020-05-24T00:00:00"/>
    <d v="2020-06-04T00:00:00"/>
    <d v="1899-12-30T14:00:00"/>
    <d v="1899-12-30T11:00:00"/>
    <x v="0"/>
    <x v="1"/>
    <n v="3"/>
    <n v="0"/>
    <s v="GBP"/>
    <x v="49"/>
    <n v="3"/>
    <n v="3"/>
    <x v="8"/>
  </r>
  <r>
    <x v="96"/>
    <s v="Guest7@gmail.com"/>
    <x v="5"/>
    <x v="75"/>
    <d v="2020-05-24T00:00:00"/>
    <d v="2020-05-13T00:00:00"/>
    <d v="1899-12-30T14:00:00"/>
    <d v="1899-12-30T11:00:00"/>
    <x v="0"/>
    <x v="0"/>
    <n v="3"/>
    <n v="0"/>
    <s v="GBP"/>
    <x v="53"/>
    <n v="3"/>
    <n v="3"/>
    <x v="8"/>
  </r>
  <r>
    <x v="97"/>
    <s v="Guest441@gmail.com"/>
    <x v="5"/>
    <x v="76"/>
    <d v="2020-05-27T00:00:00"/>
    <d v="2020-05-13T00:00:00"/>
    <d v="1899-12-30T14:00:00"/>
    <d v="1899-12-30T11:00:00"/>
    <x v="0"/>
    <x v="0"/>
    <n v="3"/>
    <n v="0"/>
    <s v="GBP"/>
    <x v="53"/>
    <n v="3"/>
    <n v="3"/>
    <x v="8"/>
  </r>
  <r>
    <x v="98"/>
    <s v="Guest505@gmail.com"/>
    <x v="6"/>
    <x v="76"/>
    <d v="2020-05-27T00:00:00"/>
    <d v="2020-06-04T00:00:00"/>
    <d v="1899-12-30T14:00:00"/>
    <d v="1899-12-30T11:00:00"/>
    <x v="0"/>
    <x v="1"/>
    <n v="3"/>
    <n v="0"/>
    <s v="GBP"/>
    <x v="49"/>
    <n v="3"/>
    <n v="3"/>
    <x v="8"/>
  </r>
  <r>
    <x v="98"/>
    <s v="Guest505@gmail.com"/>
    <x v="5"/>
    <x v="76"/>
    <d v="2020-05-27T00:00:00"/>
    <d v="2020-05-13T00:00:00"/>
    <d v="1899-12-30T14:00:00"/>
    <d v="1899-12-30T11:00:00"/>
    <x v="0"/>
    <x v="0"/>
    <n v="3"/>
    <n v="0"/>
    <s v="GBP"/>
    <x v="53"/>
    <n v="3"/>
    <n v="3"/>
    <x v="8"/>
  </r>
  <r>
    <x v="99"/>
    <s v="Guest382@gmail%2Ecom"/>
    <x v="3"/>
    <x v="77"/>
    <d v="2020-06-01T00:00:00"/>
    <d v="2020-04-30T00:00:00"/>
    <d v="1899-12-30T08:00:00"/>
    <d v="1899-12-31T00:00:00"/>
    <x v="0"/>
    <x v="0"/>
    <n v="4"/>
    <n v="0"/>
    <s v="GBP"/>
    <x v="34"/>
    <n v="4"/>
    <n v="7"/>
    <x v="8"/>
  </r>
  <r>
    <x v="37"/>
    <s v="Guest454@guest.booking.com"/>
    <x v="4"/>
    <x v="78"/>
    <d v="2020-06-01T00:00:00"/>
    <d v="2020-04-30T00:00:00"/>
    <d v="1899-12-30T08:00:00"/>
    <d v="1899-12-31T00:00:00"/>
    <x v="0"/>
    <x v="0"/>
    <n v="3"/>
    <n v="0"/>
    <s v="GBP"/>
    <x v="25"/>
    <n v="3"/>
    <n v="6"/>
    <x v="8"/>
  </r>
  <r>
    <x v="93"/>
    <s v="Guest473@gmail.com"/>
    <x v="4"/>
    <x v="78"/>
    <d v="2020-05-29T00:00:00"/>
    <d v="2020-05-17T00:00:00"/>
    <d v="1899-12-30T08:00:00"/>
    <d v="1899-12-31T00:00:00"/>
    <x v="0"/>
    <x v="1"/>
    <n v="3"/>
    <n v="0"/>
    <s v="GBP"/>
    <x v="23"/>
    <n v="3"/>
    <n v="3"/>
    <x v="8"/>
  </r>
  <r>
    <x v="98"/>
    <s v="Guest505@gmail.com"/>
    <x v="6"/>
    <x v="79"/>
    <d v="2020-05-28T00:00:00"/>
    <d v="2020-06-04T00:00:00"/>
    <d v="1899-12-30T14:00:00"/>
    <d v="1899-12-30T11:00:00"/>
    <x v="0"/>
    <x v="1"/>
    <n v="3"/>
    <n v="0"/>
    <s v="GBP"/>
    <x v="49"/>
    <n v="3"/>
    <n v="1"/>
    <x v="8"/>
  </r>
  <r>
    <x v="98"/>
    <s v="Guest505@gmail.com"/>
    <x v="5"/>
    <x v="79"/>
    <d v="2020-05-28T00:00:00"/>
    <d v="2020-05-27T00:00:00"/>
    <d v="1899-12-30T14:00:00"/>
    <d v="1899-12-30T11:00:00"/>
    <x v="0"/>
    <x v="0"/>
    <n v="3"/>
    <n v="0"/>
    <s v="GBP"/>
    <x v="49"/>
    <n v="3"/>
    <n v="1"/>
    <x v="8"/>
  </r>
  <r>
    <x v="100"/>
    <s v="Guest93@airbnb.com"/>
    <x v="1"/>
    <x v="80"/>
    <d v="2020-05-29T00:00:00"/>
    <d v="2020-03-17T00:00:00"/>
    <d v="1899-12-30T08:00:00"/>
    <d v="1899-12-31T00:00:00"/>
    <x v="1"/>
    <x v="0"/>
    <n v="1"/>
    <n v="0"/>
    <s v="GBP"/>
    <x v="32"/>
    <n v="1"/>
    <n v="1"/>
    <x v="8"/>
  </r>
  <r>
    <x v="101"/>
    <s v="Guest303@gmail.com"/>
    <x v="5"/>
    <x v="80"/>
    <d v="2020-05-29T00:00:00"/>
    <d v="2020-05-21T00:00:00"/>
    <d v="1899-12-30T14:00:00"/>
    <d v="1899-12-30T11:00:00"/>
    <x v="0"/>
    <x v="0"/>
    <n v="2"/>
    <n v="0"/>
    <s v="GBP"/>
    <x v="49"/>
    <n v="2"/>
    <n v="1"/>
    <x v="8"/>
  </r>
  <r>
    <x v="102"/>
    <s v="Guest422@gmail.com"/>
    <x v="6"/>
    <x v="80"/>
    <d v="2020-05-29T00:00:00"/>
    <d v="2020-06-04T00:00:00"/>
    <d v="1899-12-30T14:00:00"/>
    <d v="1899-12-30T11:00:00"/>
    <x v="0"/>
    <x v="1"/>
    <n v="4"/>
    <n v="0"/>
    <s v="GBP"/>
    <x v="3"/>
    <n v="4"/>
    <n v="1"/>
    <x v="8"/>
  </r>
  <r>
    <x v="102"/>
    <s v="Guest422@gmail.com"/>
    <x v="5"/>
    <x v="80"/>
    <d v="2020-05-29T00:00:00"/>
    <d v="2020-05-29T00:00:00"/>
    <d v="1899-12-30T14:00:00"/>
    <d v="1899-12-30T11:00:00"/>
    <x v="0"/>
    <x v="0"/>
    <n v="4"/>
    <n v="0"/>
    <s v="GBP"/>
    <x v="3"/>
    <n v="4"/>
    <n v="1"/>
    <x v="8"/>
  </r>
  <r>
    <x v="99"/>
    <s v="Guest382@gmail%2Ecom"/>
    <x v="2"/>
    <x v="81"/>
    <d v="2020-06-01T00:00:00"/>
    <d v="2020-05-02T00:00:00"/>
    <d v="1899-12-30T08:00:00"/>
    <d v="1899-12-31T00:00:00"/>
    <x v="0"/>
    <x v="0"/>
    <n v="3"/>
    <n v="0"/>
    <s v="GBP"/>
    <x v="23"/>
    <n v="3"/>
    <n v="3"/>
    <x v="8"/>
  </r>
  <r>
    <x v="93"/>
    <s v="Guest473@gmail.com"/>
    <x v="5"/>
    <x v="81"/>
    <d v="2020-06-25T00:00:00"/>
    <d v="2020-05-20T00:00:00"/>
    <d v="1899-12-30T14:00:00"/>
    <d v="1899-12-30T11:00:00"/>
    <x v="0"/>
    <x v="0"/>
    <n v="4"/>
    <n v="0"/>
    <s v="GBP"/>
    <x v="54"/>
    <n v="4"/>
    <n v="27"/>
    <x v="8"/>
  </r>
  <r>
    <x v="93"/>
    <s v="Guest473@gmail.com"/>
    <x v="6"/>
    <x v="81"/>
    <d v="2020-07-16T00:00:00"/>
    <d v="2020-06-04T00:00:00"/>
    <d v="1899-12-30T14:00:00"/>
    <d v="1899-12-30T11:00:00"/>
    <x v="0"/>
    <x v="1"/>
    <n v="4"/>
    <n v="0"/>
    <s v="GBP"/>
    <x v="55"/>
    <n v="4"/>
    <n v="48"/>
    <x v="8"/>
  </r>
  <r>
    <x v="103"/>
    <s v="Guest261@airbnb.com"/>
    <x v="2"/>
    <x v="82"/>
    <d v="2020-06-08T00:00:00"/>
    <d v="2020-05-10T00:00:00"/>
    <d v="1899-12-30T08:00:00"/>
    <d v="1899-12-31T00:00:00"/>
    <x v="1"/>
    <x v="0"/>
    <n v="1"/>
    <n v="0"/>
    <s v="GBP"/>
    <x v="39"/>
    <n v="1"/>
    <n v="7"/>
    <x v="8"/>
  </r>
  <r>
    <x v="103"/>
    <s v="Guest261@airbnb.com"/>
    <x v="1"/>
    <x v="82"/>
    <d v="2020-06-15T00:00:00"/>
    <d v="2020-05-10T00:00:00"/>
    <d v="1899-12-30T08:00:00"/>
    <d v="1899-12-31T00:00:00"/>
    <x v="1"/>
    <x v="0"/>
    <n v="1"/>
    <n v="0"/>
    <s v="GBP"/>
    <x v="56"/>
    <n v="1"/>
    <n v="14"/>
    <x v="8"/>
  </r>
  <r>
    <x v="104"/>
    <s v="Guest367@airbnb.com"/>
    <x v="4"/>
    <x v="82"/>
    <d v="2020-06-02T00:00:00"/>
    <d v="2020-05-13T00:00:00"/>
    <d v="1899-12-30T08:00:00"/>
    <d v="1899-12-31T00:00:00"/>
    <x v="1"/>
    <x v="0"/>
    <n v="1"/>
    <n v="0"/>
    <s v="GBP"/>
    <x v="32"/>
    <n v="1"/>
    <n v="1"/>
    <x v="8"/>
  </r>
  <r>
    <x v="105"/>
    <s v="Guest44@airbnb.com"/>
    <x v="4"/>
    <x v="82"/>
    <d v="2020-06-19T00:00:00"/>
    <d v="2020-05-11T00:00:00"/>
    <d v="1899-12-30T08:00:00"/>
    <d v="1899-12-31T00:00:00"/>
    <x v="1"/>
    <x v="0"/>
    <n v="1"/>
    <n v="0"/>
    <s v="GBP"/>
    <x v="57"/>
    <n v="1"/>
    <n v="18"/>
    <x v="8"/>
  </r>
  <r>
    <x v="106"/>
    <s v="Guest281@guest.booking.com"/>
    <x v="4"/>
    <x v="82"/>
    <d v="2020-06-03T00:00:00"/>
    <d v="2020-05-23T00:00:00"/>
    <d v="1899-12-30T08:00:00"/>
    <d v="1899-12-31T00:00:00"/>
    <x v="2"/>
    <x v="0"/>
    <n v="2"/>
    <n v="0"/>
    <s v="GBP"/>
    <x v="58"/>
    <n v="2"/>
    <n v="2"/>
    <x v="8"/>
  </r>
  <r>
    <x v="107"/>
    <s v="Guest425@gmail.com"/>
    <x v="4"/>
    <x v="82"/>
    <d v="2020-06-03T00:00:00"/>
    <d v="2020-06-01T00:00:00"/>
    <d v="1899-12-30T08:00:00"/>
    <d v="1899-12-31T00:00:00"/>
    <x v="0"/>
    <x v="1"/>
    <n v="3"/>
    <n v="0"/>
    <s v="GBP"/>
    <x v="11"/>
    <n v="3"/>
    <n v="2"/>
    <x v="8"/>
  </r>
  <r>
    <x v="108"/>
    <s v="Guest102@guest.booking.com"/>
    <x v="2"/>
    <x v="82"/>
    <d v="2020-06-03T00:00:00"/>
    <d v="2020-05-24T00:00:00"/>
    <d v="1899-12-30T08:00:00"/>
    <d v="1899-12-31T00:00:00"/>
    <x v="2"/>
    <x v="0"/>
    <n v="6"/>
    <n v="0"/>
    <s v="GBP"/>
    <x v="19"/>
    <n v="6"/>
    <n v="2"/>
    <x v="8"/>
  </r>
  <r>
    <x v="87"/>
    <s v="Guest143@gmail.com"/>
    <x v="3"/>
    <x v="82"/>
    <d v="2020-06-07T00:00:00"/>
    <d v="2020-05-13T00:00:00"/>
    <d v="1899-12-30T08:00:00"/>
    <d v="1899-12-30T11:00:00"/>
    <x v="0"/>
    <x v="1"/>
    <n v="2"/>
    <n v="0"/>
    <s v="GBP"/>
    <x v="25"/>
    <n v="2"/>
    <n v="6"/>
    <x v="8"/>
  </r>
  <r>
    <x v="51"/>
    <s v="Guest334@yahoo.com"/>
    <x v="2"/>
    <x v="83"/>
    <d v="2020-06-06T00:00:00"/>
    <d v="2020-05-26T00:00:00"/>
    <d v="1899-12-30T08:00:00"/>
    <d v="1899-12-31T00:00:00"/>
    <x v="0"/>
    <x v="0"/>
    <n v="3"/>
    <n v="0"/>
    <s v="GBP"/>
    <x v="24"/>
    <n v="3"/>
    <n v="3"/>
    <x v="8"/>
  </r>
  <r>
    <x v="51"/>
    <s v="Guest334@yahoo.com"/>
    <x v="2"/>
    <x v="83"/>
    <d v="2020-06-06T00:00:00"/>
    <d v="2020-05-26T00:00:00"/>
    <d v="1899-12-30T08:00:00"/>
    <d v="1899-12-31T00:00:00"/>
    <x v="0"/>
    <x v="0"/>
    <n v="3"/>
    <n v="0"/>
    <s v="GBP"/>
    <x v="23"/>
    <n v="3"/>
    <n v="3"/>
    <x v="8"/>
  </r>
  <r>
    <x v="51"/>
    <s v="Guest334@yahoo.com"/>
    <x v="2"/>
    <x v="83"/>
    <d v="2020-06-06T00:00:00"/>
    <d v="2020-05-26T00:00:00"/>
    <d v="1899-12-30T08:00:00"/>
    <d v="1899-12-31T00:00:00"/>
    <x v="0"/>
    <x v="0"/>
    <n v="3"/>
    <n v="0"/>
    <s v="GBP"/>
    <x v="23"/>
    <n v="3"/>
    <n v="3"/>
    <x v="8"/>
  </r>
  <r>
    <x v="109"/>
    <s v="Guest228@gmail.com"/>
    <x v="4"/>
    <x v="83"/>
    <d v="2020-06-04T00:00:00"/>
    <d v="2020-06-01T00:00:00"/>
    <d v="1899-12-30T08:00:00"/>
    <d v="1899-12-31T00:00:00"/>
    <x v="0"/>
    <x v="1"/>
    <n v="3"/>
    <n v="0"/>
    <s v="GBP"/>
    <x v="3"/>
    <n v="3"/>
    <n v="1"/>
    <x v="8"/>
  </r>
  <r>
    <x v="110"/>
    <s v="Guest45@guest.booking.com"/>
    <x v="4"/>
    <x v="84"/>
    <d v="2020-06-18T00:00:00"/>
    <d v="2020-02-06T00:00:00"/>
    <d v="1899-12-30T08:00:00"/>
    <d v="1899-12-31T00:00:00"/>
    <x v="2"/>
    <x v="0"/>
    <n v="2"/>
    <n v="0"/>
    <s v="GBP"/>
    <x v="59"/>
    <n v="2"/>
    <n v="14"/>
    <x v="8"/>
  </r>
  <r>
    <x v="111"/>
    <s v="Guest273@pulse.ng"/>
    <x v="4"/>
    <x v="84"/>
    <d v="2020-06-05T00:00:00"/>
    <d v="2020-05-27T00:00:00"/>
    <d v="1899-12-30T08:00:00"/>
    <d v="1899-12-31T00:00:00"/>
    <x v="0"/>
    <x v="0"/>
    <n v="1"/>
    <n v="0"/>
    <s v="GBP"/>
    <x v="3"/>
    <n v="1"/>
    <n v="1"/>
    <x v="8"/>
  </r>
  <r>
    <x v="111"/>
    <s v="Guest273@pulse.ng"/>
    <x v="4"/>
    <x v="84"/>
    <d v="2020-06-05T00:00:00"/>
    <d v="2020-06-18T00:00:00"/>
    <d v="1899-12-30T08:00:00"/>
    <d v="1899-12-31T00:00:00"/>
    <x v="0"/>
    <x v="1"/>
    <n v="6"/>
    <n v="0"/>
    <s v="GBP"/>
    <x v="3"/>
    <n v="6"/>
    <n v="1"/>
    <x v="8"/>
  </r>
  <r>
    <x v="112"/>
    <s v="Guest568@airbnb.com"/>
    <x v="2"/>
    <x v="85"/>
    <d v="2020-06-08T00:00:00"/>
    <d v="2020-05-23T00:00:00"/>
    <d v="1899-12-30T08:00:00"/>
    <d v="1899-12-31T00:00:00"/>
    <x v="1"/>
    <x v="0"/>
    <n v="3"/>
    <n v="0"/>
    <s v="GBP"/>
    <x v="26"/>
    <n v="3"/>
    <n v="3"/>
    <x v="8"/>
  </r>
  <r>
    <x v="113"/>
    <s v="Guest508@gmail.com"/>
    <x v="4"/>
    <x v="85"/>
    <d v="2020-06-07T00:00:00"/>
    <d v="2020-05-26T00:00:00"/>
    <d v="1899-12-30T08:00:00"/>
    <d v="1899-12-31T00:00:00"/>
    <x v="0"/>
    <x v="1"/>
    <n v="3"/>
    <n v="0"/>
    <s v="GBP"/>
    <x v="11"/>
    <n v="3"/>
    <n v="2"/>
    <x v="8"/>
  </r>
  <r>
    <x v="114"/>
    <s v="Guest496@airbnb.com"/>
    <x v="2"/>
    <x v="85"/>
    <d v="2020-06-06T00:00:00"/>
    <d v="2020-06-04T00:00:00"/>
    <d v="1899-12-30T08:00:00"/>
    <d v="1899-12-31T00:00:00"/>
    <x v="1"/>
    <x v="0"/>
    <n v="1"/>
    <n v="0"/>
    <s v="GBP"/>
    <x v="32"/>
    <n v="1"/>
    <n v="1"/>
    <x v="8"/>
  </r>
  <r>
    <x v="115"/>
    <s v="Guest250@airbnb.com"/>
    <x v="2"/>
    <x v="85"/>
    <d v="2020-06-13T00:00:00"/>
    <d v="2020-02-14T00:00:00"/>
    <d v="1899-12-30T08:00:00"/>
    <d v="1899-12-31T00:00:00"/>
    <x v="1"/>
    <x v="0"/>
    <n v="6"/>
    <n v="0"/>
    <s v="GBP"/>
    <x v="60"/>
    <n v="6"/>
    <n v="8"/>
    <x v="8"/>
  </r>
  <r>
    <x v="116"/>
    <s v="Guest180@gmail.com"/>
    <x v="2"/>
    <x v="86"/>
    <d v="2020-06-07T00:00:00"/>
    <d v="2020-05-26T00:00:00"/>
    <d v="1899-12-30T08:00:00"/>
    <d v="1899-12-31T00:00:00"/>
    <x v="0"/>
    <x v="1"/>
    <n v="2"/>
    <n v="0"/>
    <s v="GBP"/>
    <x v="3"/>
    <n v="2"/>
    <n v="1"/>
    <x v="8"/>
  </r>
  <r>
    <x v="116"/>
    <s v="Guest180@gmail.com"/>
    <x v="4"/>
    <x v="86"/>
    <d v="2020-06-07T00:00:00"/>
    <d v="2020-05-26T00:00:00"/>
    <d v="1899-12-30T08:00:00"/>
    <d v="1899-12-31T00:00:00"/>
    <x v="0"/>
    <x v="0"/>
    <n v="5"/>
    <n v="0"/>
    <s v="GBP"/>
    <x v="3"/>
    <n v="5"/>
    <n v="1"/>
    <x v="8"/>
  </r>
  <r>
    <x v="117"/>
    <s v="Guest429@gmail.com"/>
    <x v="4"/>
    <x v="87"/>
    <d v="2020-06-09T00:00:00"/>
    <d v="2020-05-15T00:00:00"/>
    <d v="1899-12-30T08:00:00"/>
    <d v="1899-12-31T00:00:00"/>
    <x v="0"/>
    <x v="1"/>
    <n v="5"/>
    <n v="0"/>
    <s v="GBP"/>
    <x v="11"/>
    <n v="5"/>
    <n v="2"/>
    <x v="8"/>
  </r>
  <r>
    <x v="118"/>
    <s v="Guest438@gmail.com"/>
    <x v="3"/>
    <x v="87"/>
    <d v="2020-06-09T00:00:00"/>
    <d v="2020-06-08T00:00:00"/>
    <d v="1899-12-30T08:00:00"/>
    <d v="1899-12-31T00:00:00"/>
    <x v="0"/>
    <x v="1"/>
    <n v="6"/>
    <n v="0"/>
    <s v="GBP"/>
    <x v="11"/>
    <n v="6"/>
    <n v="2"/>
    <x v="8"/>
  </r>
  <r>
    <x v="87"/>
    <s v="Guest143@gmail.com"/>
    <x v="5"/>
    <x v="88"/>
    <d v="2020-06-11T00:00:00"/>
    <d v="2020-05-13T00:00:00"/>
    <d v="1899-12-30T14:00:00"/>
    <d v="1899-12-30T11:00:00"/>
    <x v="0"/>
    <x v="0"/>
    <n v="2"/>
    <n v="0"/>
    <s v="GBP"/>
    <x v="53"/>
    <n v="2"/>
    <n v="3"/>
    <x v="8"/>
  </r>
  <r>
    <x v="119"/>
    <s v="Guest368@encry.com"/>
    <x v="2"/>
    <x v="88"/>
    <d v="2020-06-09T00:00:00"/>
    <d v="2020-06-07T00:00:00"/>
    <d v="1899-12-30T08:00:00"/>
    <d v="1899-12-31T00:00:00"/>
    <x v="0"/>
    <x v="1"/>
    <n v="3"/>
    <n v="0"/>
    <s v="GBP"/>
    <x v="3"/>
    <n v="3"/>
    <n v="1"/>
    <x v="8"/>
  </r>
  <r>
    <x v="120"/>
    <s v="Guest198@gmail.com"/>
    <x v="2"/>
    <x v="89"/>
    <d v="2020-06-11T00:00:00"/>
    <d v="2020-05-08T00:00:00"/>
    <d v="1899-12-30T08:00:00"/>
    <d v="1899-12-31T00:00:00"/>
    <x v="0"/>
    <x v="1"/>
    <n v="5"/>
    <n v="0"/>
    <s v="GBP"/>
    <x v="11"/>
    <n v="5"/>
    <n v="2"/>
    <x v="8"/>
  </r>
  <r>
    <x v="121"/>
    <s v="Guest542@gmail.com"/>
    <x v="4"/>
    <x v="89"/>
    <d v="2020-06-10T00:00:00"/>
    <d v="2020-06-04T00:00:00"/>
    <d v="1899-12-30T08:00:00"/>
    <d v="1899-12-31T00:00:00"/>
    <x v="0"/>
    <x v="1"/>
    <n v="14"/>
    <n v="0"/>
    <s v="GBP"/>
    <x v="3"/>
    <n v="14"/>
    <n v="1"/>
    <x v="8"/>
  </r>
  <r>
    <x v="24"/>
    <s v="Guest346@yahoo.com"/>
    <x v="3"/>
    <x v="89"/>
    <d v="2020-06-15T00:00:00"/>
    <d v="2020-06-08T00:00:00"/>
    <d v="1899-12-30T08:00:00"/>
    <d v="1899-12-31T00:00:00"/>
    <x v="0"/>
    <x v="1"/>
    <n v="2"/>
    <n v="0"/>
    <s v="GBP"/>
    <x v="34"/>
    <n v="2"/>
    <n v="6"/>
    <x v="8"/>
  </r>
  <r>
    <x v="122"/>
    <s v="Guest320@gmail.com"/>
    <x v="4"/>
    <x v="90"/>
    <d v="2020-06-11T00:00:00"/>
    <d v="2020-05-29T00:00:00"/>
    <d v="1899-12-30T08:00:00"/>
    <d v="1899-12-31T00:00:00"/>
    <x v="0"/>
    <x v="0"/>
    <n v="5"/>
    <n v="0"/>
    <s v="GBP"/>
    <x v="3"/>
    <n v="5"/>
    <n v="1"/>
    <x v="8"/>
  </r>
  <r>
    <x v="123"/>
    <s v="Guest88@gmail.com"/>
    <x v="4"/>
    <x v="90"/>
    <d v="2020-06-17T00:00:00"/>
    <d v="2020-06-04T00:00:00"/>
    <d v="1899-12-30T08:00:00"/>
    <d v="1899-12-31T00:00:00"/>
    <x v="0"/>
    <x v="1"/>
    <n v="5"/>
    <n v="0"/>
    <s v="GBP"/>
    <x v="34"/>
    <n v="5"/>
    <n v="7"/>
    <x v="8"/>
  </r>
  <r>
    <x v="124"/>
    <s v="Guest492@airbnb.com"/>
    <x v="2"/>
    <x v="91"/>
    <d v="2020-06-14T00:00:00"/>
    <d v="2020-06-01T00:00:00"/>
    <d v="1899-12-30T08:00:00"/>
    <d v="1899-12-31T00:00:00"/>
    <x v="1"/>
    <x v="0"/>
    <n v="1"/>
    <n v="0"/>
    <s v="GBP"/>
    <x v="26"/>
    <n v="1"/>
    <n v="3"/>
    <x v="8"/>
  </r>
  <r>
    <x v="125"/>
    <s v="Guest414@gmail.com"/>
    <x v="2"/>
    <x v="91"/>
    <d v="2020-06-13T00:00:00"/>
    <d v="2020-06-02T00:00:00"/>
    <d v="1899-12-30T08:00:00"/>
    <d v="1899-12-31T00:00:00"/>
    <x v="0"/>
    <x v="1"/>
    <n v="4"/>
    <n v="0"/>
    <s v="GBP"/>
    <x v="11"/>
    <n v="4"/>
    <n v="2"/>
    <x v="8"/>
  </r>
  <r>
    <x v="37"/>
    <s v="Guest454@guest.booking.com"/>
    <x v="4"/>
    <x v="91"/>
    <d v="2020-06-20T00:00:00"/>
    <d v="2020-06-03T00:00:00"/>
    <d v="1899-12-30T08:00:00"/>
    <d v="1899-12-31T00:00:00"/>
    <x v="0"/>
    <x v="0"/>
    <n v="1"/>
    <n v="0"/>
    <s v="GBP"/>
    <x v="52"/>
    <n v="1"/>
    <n v="9"/>
    <x v="8"/>
  </r>
  <r>
    <x v="126"/>
    <s v="Guest571@airbnb.com"/>
    <x v="2"/>
    <x v="92"/>
    <d v="2020-06-13T00:00:00"/>
    <d v="2020-05-30T00:00:00"/>
    <d v="1899-12-30T08:00:00"/>
    <d v="1899-12-31T00:00:00"/>
    <x v="1"/>
    <x v="0"/>
    <n v="3"/>
    <n v="0"/>
    <s v="GBP"/>
    <x v="32"/>
    <n v="3"/>
    <n v="1"/>
    <x v="8"/>
  </r>
  <r>
    <x v="126"/>
    <s v="Guest571@airbnb.com"/>
    <x v="4"/>
    <x v="92"/>
    <d v="2020-06-15T00:00:00"/>
    <d v="2020-05-31T00:00:00"/>
    <d v="1899-12-30T08:00:00"/>
    <d v="1899-12-31T00:00:00"/>
    <x v="1"/>
    <x v="0"/>
    <n v="3"/>
    <n v="0"/>
    <s v="GBP"/>
    <x v="26"/>
    <n v="3"/>
    <n v="3"/>
    <x v="8"/>
  </r>
  <r>
    <x v="127"/>
    <s v="Guest243@airbnb.com"/>
    <x v="2"/>
    <x v="93"/>
    <d v="2020-06-16T00:00:00"/>
    <d v="2020-06-04T00:00:00"/>
    <d v="1899-12-30T08:00:00"/>
    <d v="1899-12-31T00:00:00"/>
    <x v="1"/>
    <x v="0"/>
    <n v="1"/>
    <n v="0"/>
    <s v="GBP"/>
    <x v="26"/>
    <n v="1"/>
    <n v="3"/>
    <x v="8"/>
  </r>
  <r>
    <x v="128"/>
    <s v="Guest561@airbnb.com"/>
    <x v="2"/>
    <x v="93"/>
    <d v="2020-06-15T00:00:00"/>
    <d v="2020-06-04T00:00:00"/>
    <d v="1899-12-30T08:00:00"/>
    <d v="1899-12-31T00:00:00"/>
    <x v="1"/>
    <x v="0"/>
    <n v="1"/>
    <n v="0"/>
    <s v="GBP"/>
    <x v="51"/>
    <n v="1"/>
    <n v="2"/>
    <x v="8"/>
  </r>
  <r>
    <x v="129"/>
    <s v="Guest308@guest.booking.com"/>
    <x v="1"/>
    <x v="94"/>
    <d v="2020-06-29T00:00:00"/>
    <d v="2020-03-25T00:00:00"/>
    <d v="1899-12-30T08:00:00"/>
    <d v="1899-12-31T00:00:00"/>
    <x v="2"/>
    <x v="0"/>
    <n v="2"/>
    <n v="0"/>
    <s v="GBP"/>
    <x v="61"/>
    <n v="2"/>
    <n v="14"/>
    <x v="8"/>
  </r>
  <r>
    <x v="107"/>
    <s v="Guest425@gmail.com"/>
    <x v="2"/>
    <x v="94"/>
    <d v="2020-06-20T00:00:00"/>
    <d v="2020-06-04T00:00:00"/>
    <d v="1899-12-30T08:00:00"/>
    <d v="1899-12-31T00:00:00"/>
    <x v="0"/>
    <x v="1"/>
    <n v="4"/>
    <n v="0"/>
    <s v="GBP"/>
    <x v="5"/>
    <n v="4"/>
    <n v="5"/>
    <x v="8"/>
  </r>
  <r>
    <x v="130"/>
    <s v="Guest124@gmail.com"/>
    <x v="3"/>
    <x v="94"/>
    <d v="2020-06-20T00:00:00"/>
    <d v="2020-06-08T00:00:00"/>
    <d v="1899-12-30T08:00:00"/>
    <d v="1899-12-31T00:00:00"/>
    <x v="0"/>
    <x v="1"/>
    <n v="5"/>
    <n v="0"/>
    <s v="GBP"/>
    <x v="5"/>
    <n v="5"/>
    <n v="5"/>
    <x v="8"/>
  </r>
  <r>
    <x v="130"/>
    <s v="Guest124@gmail.com"/>
    <x v="4"/>
    <x v="95"/>
    <d v="2020-06-18T00:00:00"/>
    <d v="2020-06-08T00:00:00"/>
    <d v="1899-12-30T08:00:00"/>
    <d v="1899-12-31T00:00:00"/>
    <x v="0"/>
    <x v="0"/>
    <n v="3"/>
    <n v="0"/>
    <s v="GBP"/>
    <x v="3"/>
    <n v="3"/>
    <n v="1"/>
    <x v="8"/>
  </r>
  <r>
    <x v="131"/>
    <s v="Guest141@airbnb.com"/>
    <x v="4"/>
    <x v="96"/>
    <d v="2020-06-20T00:00:00"/>
    <d v="2020-06-04T00:00:00"/>
    <d v="1899-12-30T08:00:00"/>
    <d v="1899-12-31T00:00:00"/>
    <x v="1"/>
    <x v="0"/>
    <n v="6"/>
    <n v="0"/>
    <s v="GBP"/>
    <x v="51"/>
    <n v="6"/>
    <n v="2"/>
    <x v="8"/>
  </r>
  <r>
    <x v="132"/>
    <s v="Guest452@gmail.com"/>
    <x v="4"/>
    <x v="96"/>
    <d v="2020-06-20T00:00:00"/>
    <d v="2020-06-06T00:00:00"/>
    <d v="1899-12-30T08:00:00"/>
    <d v="1899-12-31T00:00:00"/>
    <x v="0"/>
    <x v="1"/>
    <n v="7"/>
    <n v="0"/>
    <s v="GBP"/>
    <x v="11"/>
    <n v="7"/>
    <n v="2"/>
    <x v="8"/>
  </r>
  <r>
    <x v="133"/>
    <s v="Guest154@booking.com"/>
    <x v="4"/>
    <x v="97"/>
    <d v="2020-06-29T00:00:00"/>
    <d v="2020-01-16T00:00:00"/>
    <d v="1899-12-30T08:00:00"/>
    <d v="1899-12-31T00:00:00"/>
    <x v="2"/>
    <x v="0"/>
    <n v="4"/>
    <n v="0"/>
    <s v="GBP"/>
    <x v="62"/>
    <n v="4"/>
    <n v="10"/>
    <x v="8"/>
  </r>
  <r>
    <x v="133"/>
    <s v="Guest154@booking.com"/>
    <x v="4"/>
    <x v="97"/>
    <d v="2020-06-29T00:00:00"/>
    <d v="2020-02-27T00:00:00"/>
    <d v="1899-12-30T08:00:00"/>
    <d v="1899-12-31T00:00:00"/>
    <x v="0"/>
    <x v="0"/>
    <n v="3"/>
    <n v="0"/>
    <s v="GBP"/>
    <x v="63"/>
    <n v="3"/>
    <n v="10"/>
    <x v="8"/>
  </r>
  <r>
    <x v="134"/>
    <s v="Guest536@gmail.com"/>
    <x v="2"/>
    <x v="98"/>
    <d v="2020-06-21T00:00:00"/>
    <d v="2020-06-06T00:00:00"/>
    <d v="1899-12-30T08:00:00"/>
    <d v="1899-12-31T00:00:00"/>
    <x v="0"/>
    <x v="1"/>
    <n v="6"/>
    <n v="0"/>
    <s v="GBP"/>
    <x v="3"/>
    <n v="6"/>
    <n v="1"/>
    <x v="8"/>
  </r>
  <r>
    <x v="135"/>
    <s v="Guest148@yahoo.com"/>
    <x v="3"/>
    <x v="98"/>
    <d v="2020-06-22T00:00:00"/>
    <d v="2020-06-08T00:00:00"/>
    <d v="1899-12-30T08:00:00"/>
    <d v="1899-12-31T00:00:00"/>
    <x v="0"/>
    <x v="1"/>
    <n v="6"/>
    <n v="0"/>
    <s v="GBP"/>
    <x v="11"/>
    <n v="6"/>
    <n v="2"/>
    <x v="8"/>
  </r>
  <r>
    <x v="136"/>
    <s v="Guest448@hotmail.com"/>
    <x v="4"/>
    <x v="98"/>
    <d v="2020-06-22T00:00:00"/>
    <d v="2020-06-02T00:00:00"/>
    <d v="1899-12-30T08:00:00"/>
    <d v="1899-12-31T00:00:00"/>
    <x v="0"/>
    <x v="1"/>
    <n v="3"/>
    <n v="0"/>
    <s v="GBP"/>
    <x v="11"/>
    <n v="3"/>
    <n v="2"/>
    <x v="8"/>
  </r>
  <r>
    <x v="137"/>
    <s v="Guest317@airbnb.com"/>
    <x v="2"/>
    <x v="99"/>
    <d v="2020-06-22T00:00:00"/>
    <d v="2020-06-05T00:00:00"/>
    <d v="1899-12-30T08:00:00"/>
    <d v="1899-12-31T00:00:00"/>
    <x v="1"/>
    <x v="0"/>
    <n v="3"/>
    <n v="0"/>
    <s v="GBP"/>
    <x v="32"/>
    <n v="3"/>
    <n v="1"/>
    <x v="8"/>
  </r>
  <r>
    <x v="138"/>
    <s v="Guest244@gmail.com"/>
    <x v="2"/>
    <x v="99"/>
    <d v="2020-06-22T00:00:00"/>
    <d v="2020-06-12T00:00:00"/>
    <d v="1899-12-30T08:00:00"/>
    <d v="1899-12-31T00:00:00"/>
    <x v="0"/>
    <x v="1"/>
    <n v="6"/>
    <n v="0"/>
    <s v="GBP"/>
    <x v="3"/>
    <n v="6"/>
    <n v="1"/>
    <x v="8"/>
  </r>
  <r>
    <x v="138"/>
    <s v="Guest244@gmail.com"/>
    <x v="3"/>
    <x v="99"/>
    <d v="2020-06-22T00:00:00"/>
    <d v="2020-06-10T00:00:00"/>
    <d v="1899-12-30T08:00:00"/>
    <d v="1899-12-31T00:00:00"/>
    <x v="0"/>
    <x v="0"/>
    <n v="5"/>
    <n v="0"/>
    <s v="GBP"/>
    <x v="3"/>
    <n v="5"/>
    <n v="1"/>
    <x v="8"/>
  </r>
  <r>
    <x v="139"/>
    <s v="Guest567@encry.com"/>
    <x v="4"/>
    <x v="100"/>
    <d v="2020-06-23T00:00:00"/>
    <d v="2020-06-19T00:00:00"/>
    <d v="1899-12-30T08:00:00"/>
    <d v="1899-12-31T00:00:00"/>
    <x v="0"/>
    <x v="1"/>
    <n v="6"/>
    <n v="0"/>
    <s v="GBP"/>
    <x v="3"/>
    <n v="6"/>
    <n v="1"/>
    <x v="8"/>
  </r>
  <r>
    <x v="140"/>
    <s v="Guest212@gmail.com"/>
    <x v="3"/>
    <x v="100"/>
    <d v="2020-06-23T00:00:00"/>
    <d v="2020-06-09T00:00:00"/>
    <d v="1899-12-30T08:00:00"/>
    <d v="1899-12-31T00:00:00"/>
    <x v="0"/>
    <x v="0"/>
    <n v="10"/>
    <n v="0"/>
    <s v="GBP"/>
    <x v="23"/>
    <n v="10"/>
    <n v="1"/>
    <x v="8"/>
  </r>
  <r>
    <x v="141"/>
    <s v="Guest118@gmail.com"/>
    <x v="3"/>
    <x v="100"/>
    <d v="2020-06-24T00:00:00"/>
    <d v="2020-06-19T00:00:00"/>
    <d v="1899-12-30T08:00:00"/>
    <d v="1899-12-31T00:00:00"/>
    <x v="0"/>
    <x v="1"/>
    <n v="5"/>
    <n v="0"/>
    <s v="GBP"/>
    <x v="11"/>
    <n v="5"/>
    <n v="2"/>
    <x v="8"/>
  </r>
  <r>
    <x v="141"/>
    <s v="Guest118@gmail.com"/>
    <x v="2"/>
    <x v="100"/>
    <d v="2020-06-23T00:00:00"/>
    <d v="2020-06-17T00:00:00"/>
    <d v="1899-12-30T08:00:00"/>
    <d v="1899-12-31T00:00:00"/>
    <x v="0"/>
    <x v="0"/>
    <n v="4"/>
    <n v="0"/>
    <s v="GBP"/>
    <x v="3"/>
    <n v="4"/>
    <n v="1"/>
    <x v="8"/>
  </r>
  <r>
    <x v="140"/>
    <s v="Guest212@gmail.com"/>
    <x v="2"/>
    <x v="100"/>
    <d v="2020-06-23T00:00:00"/>
    <d v="2020-06-19T00:00:00"/>
    <d v="1899-12-30T08:00:00"/>
    <d v="1899-12-31T00:00:00"/>
    <x v="0"/>
    <x v="0"/>
    <n v="6"/>
    <n v="0"/>
    <s v="GBP"/>
    <x v="3"/>
    <n v="6"/>
    <n v="1"/>
    <x v="8"/>
  </r>
  <r>
    <x v="133"/>
    <s v="Guest154@booking.com"/>
    <x v="4"/>
    <x v="101"/>
    <d v="2020-06-29T00:00:00"/>
    <d v="2020-02-28T00:00:00"/>
    <d v="1899-12-30T08:00:00"/>
    <d v="1899-12-31T00:00:00"/>
    <x v="0"/>
    <x v="0"/>
    <n v="3"/>
    <n v="0"/>
    <s v="GBP"/>
    <x v="25"/>
    <n v="3"/>
    <n v="6"/>
    <x v="8"/>
  </r>
  <r>
    <x v="142"/>
    <s v="Guest306@gmail.com"/>
    <x v="4"/>
    <x v="101"/>
    <d v="2020-06-24T00:00:00"/>
    <d v="2020-06-09T00:00:00"/>
    <d v="1899-12-30T08:00:00"/>
    <d v="1899-12-31T00:00:00"/>
    <x v="0"/>
    <x v="1"/>
    <n v="6"/>
    <n v="0"/>
    <s v="GBP"/>
    <x v="3"/>
    <n v="6"/>
    <n v="1"/>
    <x v="8"/>
  </r>
  <r>
    <x v="143"/>
    <s v="Guest475@gmail.com"/>
    <x v="2"/>
    <x v="101"/>
    <d v="2020-06-24T00:00:00"/>
    <d v="2020-06-09T00:00:00"/>
    <d v="1899-12-30T08:00:00"/>
    <d v="1899-12-31T00:00:00"/>
    <x v="0"/>
    <x v="0"/>
    <n v="6"/>
    <n v="0"/>
    <s v="GBP"/>
    <x v="3"/>
    <n v="6"/>
    <n v="1"/>
    <x v="8"/>
  </r>
  <r>
    <x v="144"/>
    <s v="Guest485@gmail.com"/>
    <x v="2"/>
    <x v="101"/>
    <d v="2020-06-26T00:00:00"/>
    <d v="2020-06-13T00:00:00"/>
    <d v="1899-12-30T08:00:00"/>
    <d v="1899-12-31T00:00:00"/>
    <x v="0"/>
    <x v="1"/>
    <n v="6"/>
    <n v="0"/>
    <s v="GBP"/>
    <x v="23"/>
    <n v="6"/>
    <n v="3"/>
    <x v="8"/>
  </r>
  <r>
    <x v="145"/>
    <s v="Guest5@gmail.com"/>
    <x v="4"/>
    <x v="102"/>
    <d v="2020-06-25T00:00:00"/>
    <d v="2020-06-08T00:00:00"/>
    <d v="1899-12-30T08:00:00"/>
    <d v="1899-12-31T00:00:00"/>
    <x v="0"/>
    <x v="1"/>
    <n v="6"/>
    <n v="0"/>
    <s v="GBP"/>
    <x v="3"/>
    <n v="6"/>
    <n v="1"/>
    <x v="8"/>
  </r>
  <r>
    <x v="146"/>
    <s v="Guest19@airbnb.com"/>
    <x v="2"/>
    <x v="102"/>
    <d v="2020-06-26T00:00:00"/>
    <d v="2020-06-13T00:00:00"/>
    <d v="1899-12-30T08:00:00"/>
    <d v="1899-12-31T00:00:00"/>
    <x v="1"/>
    <x v="0"/>
    <n v="1"/>
    <n v="0"/>
    <s v="GBP"/>
    <x v="51"/>
    <n v="1"/>
    <n v="2"/>
    <x v="8"/>
  </r>
  <r>
    <x v="147"/>
    <s v="Guest349@gmail.com"/>
    <x v="3"/>
    <x v="102"/>
    <d v="2020-06-29T00:00:00"/>
    <d v="2020-06-08T00:00:00"/>
    <d v="1899-12-30T08:00:00"/>
    <d v="1899-12-31T00:00:00"/>
    <x v="0"/>
    <x v="0"/>
    <n v="5"/>
    <n v="0"/>
    <s v="GBP"/>
    <x v="5"/>
    <n v="5"/>
    <n v="5"/>
    <x v="8"/>
  </r>
  <r>
    <x v="148"/>
    <s v="Guest509@yahoo.co.uk"/>
    <x v="3"/>
    <x v="102"/>
    <d v="2020-06-26T00:00:00"/>
    <d v="2020-06-22T00:00:00"/>
    <d v="1899-12-30T08:00:00"/>
    <d v="1899-12-31T00:00:00"/>
    <x v="0"/>
    <x v="1"/>
    <n v="5"/>
    <n v="0"/>
    <s v="GBP"/>
    <x v="11"/>
    <n v="5"/>
    <n v="2"/>
    <x v="8"/>
  </r>
  <r>
    <x v="149"/>
    <s v="Guest210@airbnb.com"/>
    <x v="6"/>
    <x v="103"/>
    <d v="2020-06-26T00:00:00"/>
    <d v="2020-06-05T00:00:00"/>
    <d v="1899-12-30T14:00:00"/>
    <d v="1899-12-30T11:00:00"/>
    <x v="1"/>
    <x v="0"/>
    <n v="1"/>
    <n v="0"/>
    <s v="GBP"/>
    <x v="32"/>
    <n v="1"/>
    <n v="1"/>
    <x v="8"/>
  </r>
  <r>
    <x v="134"/>
    <s v="Guest536@gmail.com"/>
    <x v="4"/>
    <x v="103"/>
    <d v="2020-06-27T00:00:00"/>
    <d v="2020-06-06T00:00:00"/>
    <d v="1899-12-30T08:00:00"/>
    <d v="1899-12-31T00:00:00"/>
    <x v="0"/>
    <x v="1"/>
    <n v="4"/>
    <n v="0"/>
    <s v="GBP"/>
    <x v="11"/>
    <n v="4"/>
    <n v="2"/>
    <x v="8"/>
  </r>
  <r>
    <x v="150"/>
    <s v="Guest304@booking.com"/>
    <x v="4"/>
    <x v="104"/>
    <d v="2020-07-10T00:00:00"/>
    <d v="2020-01-21T00:00:00"/>
    <d v="1899-12-30T08:00:00"/>
    <d v="1899-12-31T00:00:00"/>
    <x v="2"/>
    <x v="0"/>
    <n v="5"/>
    <n v="0"/>
    <s v="GBP"/>
    <x v="64"/>
    <n v="5"/>
    <n v="14"/>
    <x v="8"/>
  </r>
  <r>
    <x v="151"/>
    <s v="Guest285@yahoo.com"/>
    <x v="5"/>
    <x v="104"/>
    <d v="2020-07-01T00:00:00"/>
    <d v="2020-05-17T00:00:00"/>
    <d v="1899-12-30T14:00:00"/>
    <d v="1899-12-30T11:00:00"/>
    <x v="0"/>
    <x v="0"/>
    <n v="4"/>
    <n v="0"/>
    <s v="GBP"/>
    <x v="65"/>
    <n v="4"/>
    <n v="5"/>
    <x v="8"/>
  </r>
  <r>
    <x v="151"/>
    <s v="Guest285@yahoo.com"/>
    <x v="6"/>
    <x v="104"/>
    <d v="2020-07-01T00:00:00"/>
    <d v="2020-06-04T00:00:00"/>
    <d v="1899-12-30T14:00:00"/>
    <d v="1899-12-30T11:00:00"/>
    <x v="0"/>
    <x v="0"/>
    <n v="4"/>
    <n v="0"/>
    <s v="GBP"/>
    <x v="65"/>
    <n v="4"/>
    <n v="5"/>
    <x v="8"/>
  </r>
  <r>
    <x v="152"/>
    <s v="Guest117@gmail.com"/>
    <x v="3"/>
    <x v="104"/>
    <d v="2020-06-29T00:00:00"/>
    <d v="2020-06-20T00:00:00"/>
    <d v="1899-12-30T08:00:00"/>
    <d v="1899-12-31T00:00:00"/>
    <x v="0"/>
    <x v="1"/>
    <n v="5"/>
    <n v="0"/>
    <s v="GBP"/>
    <x v="3"/>
    <n v="5"/>
    <n v="3"/>
    <x v="8"/>
  </r>
  <r>
    <x v="151"/>
    <s v="Guest285@yahoo.com"/>
    <x v="2"/>
    <x v="104"/>
    <d v="2020-06-30T00:00:00"/>
    <d v="2020-06-05T00:00:00"/>
    <d v="1899-12-30T08:00:00"/>
    <d v="1899-12-31T00:00:00"/>
    <x v="0"/>
    <x v="1"/>
    <n v="4"/>
    <n v="0"/>
    <s v="GBP"/>
    <x v="24"/>
    <n v="4"/>
    <n v="4"/>
    <x v="8"/>
  </r>
  <r>
    <x v="88"/>
    <s v="Guest275@airbnb.com"/>
    <x v="4"/>
    <x v="105"/>
    <d v="2020-07-01T00:00:00"/>
    <d v="2020-06-05T00:00:00"/>
    <d v="1899-12-30T08:00:00"/>
    <d v="1899-12-31T00:00:00"/>
    <x v="0"/>
    <x v="1"/>
    <n v="3"/>
    <n v="0"/>
    <s v="GBP"/>
    <x v="24"/>
    <n v="3"/>
    <n v="4"/>
    <x v="8"/>
  </r>
  <r>
    <x v="153"/>
    <s v="Guest527@airbnb.com"/>
    <x v="1"/>
    <x v="106"/>
    <d v="2020-07-01T00:00:00"/>
    <d v="2020-02-17T00:00:00"/>
    <d v="1899-12-30T08:00:00"/>
    <d v="1899-12-31T00:00:00"/>
    <x v="1"/>
    <x v="0"/>
    <n v="1"/>
    <n v="0"/>
    <s v="GBP"/>
    <x v="9"/>
    <n v="1"/>
    <n v="2"/>
    <x v="8"/>
  </r>
  <r>
    <x v="154"/>
    <s v="Guest528@guest.airbnb.com"/>
    <x v="3"/>
    <x v="106"/>
    <d v="2020-07-01T00:00:00"/>
    <d v="2020-02-18T00:00:00"/>
    <d v="1899-12-30T08:00:00"/>
    <d v="1899-12-31T00:00:00"/>
    <x v="0"/>
    <x v="0"/>
    <n v="2"/>
    <n v="0"/>
    <s v="GBP"/>
    <x v="3"/>
    <n v="2"/>
    <n v="2"/>
    <x v="8"/>
  </r>
  <r>
    <x v="154"/>
    <s v="Guest528@guest.airbnb.com"/>
    <x v="5"/>
    <x v="106"/>
    <d v="2020-07-01T00:00:00"/>
    <d v="2020-05-13T00:00:00"/>
    <d v="1899-12-30T14:00:00"/>
    <d v="1899-12-30T11:00:00"/>
    <x v="0"/>
    <x v="0"/>
    <n v="2"/>
    <n v="0"/>
    <s v="GBP"/>
    <x v="50"/>
    <n v="2"/>
    <n v="2"/>
    <x v="8"/>
  </r>
  <r>
    <x v="154"/>
    <s v="Guest528@guest.airbnb.com"/>
    <x v="4"/>
    <x v="106"/>
    <d v="2020-07-01T00:00:00"/>
    <d v="2020-05-17T00:00:00"/>
    <d v="1899-12-30T08:00:00"/>
    <d v="1899-12-31T00:00:00"/>
    <x v="0"/>
    <x v="0"/>
    <n v="3"/>
    <n v="0"/>
    <s v="GBP"/>
    <x v="66"/>
    <n v="3"/>
    <n v="2"/>
    <x v="8"/>
  </r>
  <r>
    <x v="155"/>
    <s v="Guest545@gmail.com"/>
    <x v="3"/>
    <x v="106"/>
    <d v="2020-07-04T00:00:00"/>
    <d v="2020-06-13T00:00:00"/>
    <d v="1899-12-30T08:00:00"/>
    <d v="1899-12-31T00:00:00"/>
    <x v="0"/>
    <x v="1"/>
    <n v="6"/>
    <n v="0"/>
    <s v="GBP"/>
    <x v="5"/>
    <n v="6"/>
    <n v="5"/>
    <x v="8"/>
  </r>
  <r>
    <x v="87"/>
    <s v="Guest143@gmail.com"/>
    <x v="3"/>
    <x v="107"/>
    <d v="2020-07-01T00:00:00"/>
    <d v="2020-05-13T00:00:00"/>
    <d v="1899-12-30T08:00:00"/>
    <d v="1899-12-31T00:00:00"/>
    <x v="0"/>
    <x v="0"/>
    <n v="2"/>
    <n v="0"/>
    <s v="GBP"/>
    <x v="3"/>
    <n v="2"/>
    <n v="1"/>
    <x v="8"/>
  </r>
  <r>
    <x v="156"/>
    <s v="Guest168@airbnb.com"/>
    <x v="4"/>
    <x v="108"/>
    <d v="2020-07-17T00:00:00"/>
    <d v="2020-04-20T00:00:00"/>
    <d v="1899-12-30T08:00:00"/>
    <d v="1899-12-31T00:00:00"/>
    <x v="1"/>
    <x v="0"/>
    <n v="1"/>
    <n v="0"/>
    <s v="GBP"/>
    <x v="67"/>
    <n v="1"/>
    <n v="16"/>
    <x v="8"/>
  </r>
  <r>
    <x v="157"/>
    <s v="Guest406@airbnb.com"/>
    <x v="4"/>
    <x v="108"/>
    <d v="2020-07-04T00:00:00"/>
    <d v="2020-06-12T00:00:00"/>
    <d v="1899-12-30T08:00:00"/>
    <d v="1899-12-31T00:00:00"/>
    <x v="1"/>
    <x v="0"/>
    <n v="1"/>
    <n v="0"/>
    <s v="GBP"/>
    <x v="45"/>
    <n v="1"/>
    <n v="3"/>
    <x v="8"/>
  </r>
  <r>
    <x v="158"/>
    <s v="Guest179@gmail.com"/>
    <x v="2"/>
    <x v="108"/>
    <d v="2020-07-03T00:00:00"/>
    <d v="2020-06-18T00:00:00"/>
    <d v="1899-12-30T08:00:00"/>
    <d v="1899-12-31T00:00:00"/>
    <x v="0"/>
    <x v="1"/>
    <n v="8"/>
    <n v="0"/>
    <s v="GBP"/>
    <x v="11"/>
    <n v="8"/>
    <n v="2"/>
    <x v="8"/>
  </r>
  <r>
    <x v="159"/>
    <s v="Guest230@airbnb.com"/>
    <x v="4"/>
    <x v="108"/>
    <d v="2020-07-04T00:00:00"/>
    <d v="2020-06-24T00:00:00"/>
    <d v="1899-12-30T08:00:00"/>
    <d v="1899-12-31T00:00:00"/>
    <x v="1"/>
    <x v="0"/>
    <n v="1"/>
    <n v="0"/>
    <s v="GBP"/>
    <x v="26"/>
    <n v="1"/>
    <n v="3"/>
    <x v="8"/>
  </r>
  <r>
    <x v="160"/>
    <s v="Guest9@gmail.com"/>
    <x v="4"/>
    <x v="108"/>
    <d v="2020-07-04T00:00:00"/>
    <d v="2020-06-24T00:00:00"/>
    <d v="1899-12-30T08:00:00"/>
    <d v="1899-12-31T00:00:00"/>
    <x v="0"/>
    <x v="1"/>
    <n v="6"/>
    <n v="0"/>
    <s v="GBP"/>
    <x v="23"/>
    <n v="6"/>
    <n v="3"/>
    <x v="8"/>
  </r>
  <r>
    <x v="161"/>
    <s v="Guest162@airbnb.com"/>
    <x v="2"/>
    <x v="109"/>
    <d v="2020-07-05T00:00:00"/>
    <d v="2020-06-17T00:00:00"/>
    <d v="1899-12-30T08:00:00"/>
    <d v="1899-12-31T00:00:00"/>
    <x v="1"/>
    <x v="0"/>
    <n v="3"/>
    <n v="0"/>
    <s v="GBP"/>
    <x v="26"/>
    <n v="3"/>
    <n v="3"/>
    <x v="8"/>
  </r>
  <r>
    <x v="162"/>
    <s v="Guest444@airbnb.com"/>
    <x v="2"/>
    <x v="110"/>
    <d v="2020-07-04T00:00:00"/>
    <d v="2020-06-10T00:00:00"/>
    <d v="1899-12-30T08:00:00"/>
    <d v="1899-12-31T00:00:00"/>
    <x v="1"/>
    <x v="0"/>
    <n v="1"/>
    <n v="0"/>
    <s v="GBP"/>
    <x v="12"/>
    <n v="1"/>
    <n v="1"/>
    <x v="8"/>
  </r>
  <r>
    <x v="163"/>
    <s v="Guest48@airbnb.com"/>
    <x v="3"/>
    <x v="110"/>
    <d v="2020-07-05T00:00:00"/>
    <d v="2020-06-13T00:00:00"/>
    <d v="1899-12-30T08:00:00"/>
    <d v="1899-12-31T00:00:00"/>
    <x v="1"/>
    <x v="0"/>
    <n v="5"/>
    <n v="0"/>
    <s v="GBP"/>
    <x v="68"/>
    <n v="5"/>
    <n v="2"/>
    <x v="8"/>
  </r>
  <r>
    <x v="164"/>
    <s v="Guest131@airbnb.com"/>
    <x v="2"/>
    <x v="110"/>
    <d v="2020-07-05T00:00:00"/>
    <d v="2020-06-19T00:00:00"/>
    <d v="1899-12-30T08:00:00"/>
    <d v="1899-12-31T00:00:00"/>
    <x v="1"/>
    <x v="0"/>
    <n v="1"/>
    <n v="0"/>
    <s v="GBP"/>
    <x v="51"/>
    <n v="1"/>
    <n v="2"/>
    <x v="8"/>
  </r>
  <r>
    <x v="165"/>
    <s v="Guest36@gmail.com"/>
    <x v="2"/>
    <x v="110"/>
    <d v="2020-07-05T00:00:00"/>
    <d v="2020-06-19T00:00:00"/>
    <d v="1899-12-30T08:00:00"/>
    <d v="1899-12-31T00:00:00"/>
    <x v="0"/>
    <x v="1"/>
    <n v="4"/>
    <n v="0"/>
    <s v="GBP"/>
    <x v="11"/>
    <n v="4"/>
    <n v="2"/>
    <x v="8"/>
  </r>
  <r>
    <x v="14"/>
    <s v="Guest307@yahoo.com"/>
    <x v="1"/>
    <x v="110"/>
    <d v="2020-07-05T00:00:00"/>
    <d v="2020-06-21T00:00:00"/>
    <d v="1899-12-30T08:00:00"/>
    <d v="1899-12-31T00:00:00"/>
    <x v="0"/>
    <x v="1"/>
    <n v="5"/>
    <n v="0"/>
    <s v="GBP"/>
    <x v="11"/>
    <n v="5"/>
    <n v="2"/>
    <x v="8"/>
  </r>
  <r>
    <x v="166"/>
    <s v="Guest555@airbnb.com"/>
    <x v="2"/>
    <x v="111"/>
    <d v="2020-07-05T00:00:00"/>
    <d v="2020-06-08T00:00:00"/>
    <d v="1899-12-30T08:00:00"/>
    <d v="1899-12-31T00:00:00"/>
    <x v="1"/>
    <x v="0"/>
    <n v="2"/>
    <n v="0"/>
    <s v="GBP"/>
    <x v="12"/>
    <n v="2"/>
    <n v="1"/>
    <x v="8"/>
  </r>
  <r>
    <x v="167"/>
    <s v="Guest398@gmail.com"/>
    <x v="4"/>
    <x v="111"/>
    <d v="2020-07-05T00:00:00"/>
    <d v="2020-06-15T00:00:00"/>
    <d v="1899-12-30T08:00:00"/>
    <d v="1899-12-31T00:00:00"/>
    <x v="0"/>
    <x v="1"/>
    <n v="5"/>
    <n v="0"/>
    <s v="GBP"/>
    <x v="3"/>
    <n v="5"/>
    <n v="1"/>
    <x v="8"/>
  </r>
  <r>
    <x v="168"/>
    <s v="Guest434@yahoo.com"/>
    <x v="3"/>
    <x v="111"/>
    <d v="2020-07-06T00:00:00"/>
    <d v="2020-06-19T00:00:00"/>
    <d v="1899-12-30T08:00:00"/>
    <d v="1899-12-31T00:00:00"/>
    <x v="0"/>
    <x v="1"/>
    <n v="5"/>
    <n v="0"/>
    <s v="GBP"/>
    <x v="11"/>
    <n v="5"/>
    <n v="2"/>
    <x v="8"/>
  </r>
  <r>
    <x v="169"/>
    <s v="Guest570@guest.airbnb.com"/>
    <x v="4"/>
    <x v="112"/>
    <d v="2020-07-06T00:00:00"/>
    <d v="2020-06-26T00:00:00"/>
    <d v="1899-12-30T08:00:00"/>
    <d v="1899-12-31T00:00:00"/>
    <x v="0"/>
    <x v="0"/>
    <n v="5"/>
    <n v="0"/>
    <s v="GBP"/>
    <x v="3"/>
    <n v="5"/>
    <n v="1"/>
    <x v="8"/>
  </r>
  <r>
    <x v="170"/>
    <s v="Guest217@gmail.com"/>
    <x v="1"/>
    <x v="113"/>
    <d v="2020-07-13T00:00:00"/>
    <d v="2020-02-12T00:00:00"/>
    <d v="1899-12-30T08:00:00"/>
    <d v="1899-12-31T00:00:00"/>
    <x v="0"/>
    <x v="0"/>
    <n v="2"/>
    <n v="0"/>
    <s v="GBP"/>
    <x v="34"/>
    <n v="2"/>
    <n v="7"/>
    <x v="8"/>
  </r>
  <r>
    <x v="171"/>
    <s v="Guest539@airbnb.com"/>
    <x v="2"/>
    <x v="113"/>
    <d v="2020-07-07T00:00:00"/>
    <d v="2020-06-29T00:00:00"/>
    <d v="1899-12-30T08:00:00"/>
    <d v="1899-12-31T00:00:00"/>
    <x v="1"/>
    <x v="0"/>
    <n v="1"/>
    <n v="0"/>
    <s v="GBP"/>
    <x v="32"/>
    <n v="1"/>
    <n v="1"/>
    <x v="8"/>
  </r>
  <r>
    <x v="132"/>
    <s v="Guest452@gmail.com"/>
    <x v="4"/>
    <x v="113"/>
    <d v="2020-07-11T00:00:00"/>
    <d v="2020-07-01T00:00:00"/>
    <d v="1899-12-30T08:00:00"/>
    <d v="1899-12-31T00:00:00"/>
    <x v="0"/>
    <x v="1"/>
    <n v="6"/>
    <n v="0"/>
    <s v="GBP"/>
    <x v="69"/>
    <n v="6"/>
    <n v="5"/>
    <x v="8"/>
  </r>
  <r>
    <x v="172"/>
    <s v="Guest218@encry.com"/>
    <x v="2"/>
    <x v="113"/>
    <d v="2020-07-09T00:00:00"/>
    <d v="2020-07-03T00:00:00"/>
    <d v="1899-12-30T08:00:00"/>
    <d v="1899-12-31T00:00:00"/>
    <x v="0"/>
    <x v="1"/>
    <n v="8"/>
    <n v="0"/>
    <s v="GBP"/>
    <x v="70"/>
    <n v="8"/>
    <n v="3"/>
    <x v="8"/>
  </r>
  <r>
    <x v="155"/>
    <s v="Guest545@gmail.com"/>
    <x v="3"/>
    <x v="113"/>
    <d v="2020-07-27T00:00:00"/>
    <d v="2020-06-22T00:00:00"/>
    <d v="1899-12-30T08:00:00"/>
    <d v="1899-12-31T00:00:00"/>
    <x v="0"/>
    <x v="1"/>
    <n v="5"/>
    <n v="0"/>
    <s v="GBP"/>
    <x v="71"/>
    <n v="5"/>
    <n v="21"/>
    <x v="8"/>
  </r>
  <r>
    <x v="173"/>
    <s v="Guest153@airbnb.com"/>
    <x v="2"/>
    <x v="114"/>
    <d v="2020-07-08T00:00:00"/>
    <d v="2020-06-28T00:00:00"/>
    <d v="1899-12-30T08:00:00"/>
    <d v="1899-12-31T00:00:00"/>
    <x v="1"/>
    <x v="0"/>
    <n v="1"/>
    <n v="0"/>
    <s v="GBP"/>
    <x v="32"/>
    <n v="1"/>
    <n v="1"/>
    <x v="8"/>
  </r>
  <r>
    <x v="174"/>
    <s v="Guest161@icloud.com"/>
    <x v="1"/>
    <x v="114"/>
    <d v="2020-07-08T00:00:00"/>
    <d v="2020-07-06T00:00:00"/>
    <d v="1899-12-30T08:00:00"/>
    <d v="1899-12-31T00:00:00"/>
    <x v="0"/>
    <x v="1"/>
    <n v="5"/>
    <n v="0"/>
    <s v="GBP"/>
    <x v="72"/>
    <n v="5"/>
    <n v="1"/>
    <x v="8"/>
  </r>
  <r>
    <x v="175"/>
    <s v="Guest21@encry.com"/>
    <x v="1"/>
    <x v="115"/>
    <d v="2020-07-09T00:00:00"/>
    <d v="2020-07-08T00:00:00"/>
    <d v="1899-12-30T08:00:00"/>
    <d v="1899-12-31T00:00:00"/>
    <x v="0"/>
    <x v="1"/>
    <n v="6"/>
    <n v="0"/>
    <s v="GBP"/>
    <x v="72"/>
    <n v="6"/>
    <n v="1"/>
    <x v="8"/>
  </r>
  <r>
    <x v="175"/>
    <s v="Guest21@encry.com"/>
    <x v="2"/>
    <x v="115"/>
    <d v="2020-07-09T00:00:00"/>
    <d v="2020-06-24T00:00:00"/>
    <d v="1899-12-30T08:00:00"/>
    <d v="1899-12-31T00:00:00"/>
    <x v="0"/>
    <x v="0"/>
    <n v="5"/>
    <n v="0"/>
    <s v="GBP"/>
    <x v="3"/>
    <n v="5"/>
    <n v="1"/>
    <x v="8"/>
  </r>
  <r>
    <x v="176"/>
    <s v="Guest341@airbnb.com"/>
    <x v="4"/>
    <x v="116"/>
    <d v="2020-07-14T00:00:00"/>
    <d v="2020-03-30T00:00:00"/>
    <d v="1899-12-30T08:00:00"/>
    <d v="1899-12-31T00:00:00"/>
    <x v="1"/>
    <x v="0"/>
    <n v="6"/>
    <n v="0"/>
    <s v="GBP"/>
    <x v="15"/>
    <n v="6"/>
    <n v="5"/>
    <x v="8"/>
  </r>
  <r>
    <x v="177"/>
    <s v="Guest78@gmail.com"/>
    <x v="1"/>
    <x v="116"/>
    <d v="2020-07-10T00:00:00"/>
    <d v="2020-07-07T00:00:00"/>
    <d v="1899-12-30T08:00:00"/>
    <d v="1899-12-31T00:00:00"/>
    <x v="0"/>
    <x v="1"/>
    <n v="5"/>
    <n v="0"/>
    <s v="GBP"/>
    <x v="72"/>
    <n v="5"/>
    <n v="1"/>
    <x v="8"/>
  </r>
  <r>
    <x v="58"/>
    <s v="Guest415@gmail%2Ecom"/>
    <x v="4"/>
    <x v="117"/>
    <d v="2020-07-17T00:00:00"/>
    <d v="2020-05-02T00:00:00"/>
    <d v="1899-12-30T08:00:00"/>
    <d v="1899-12-31T00:00:00"/>
    <x v="0"/>
    <x v="0"/>
    <n v="4"/>
    <n v="0"/>
    <s v="GBP"/>
    <x v="34"/>
    <n v="4"/>
    <n v="7"/>
    <x v="8"/>
  </r>
  <r>
    <x v="169"/>
    <s v="Guest570@guest.airbnb.com"/>
    <x v="2"/>
    <x v="117"/>
    <d v="2020-07-11T00:00:00"/>
    <d v="2020-06-26T00:00:00"/>
    <d v="1899-12-30T08:00:00"/>
    <d v="1899-12-31T00:00:00"/>
    <x v="0"/>
    <x v="1"/>
    <n v="5"/>
    <n v="0"/>
    <s v="GBP"/>
    <x v="3"/>
    <n v="5"/>
    <n v="1"/>
    <x v="8"/>
  </r>
  <r>
    <x v="178"/>
    <s v="Guest516@gmail.com"/>
    <x v="1"/>
    <x v="117"/>
    <d v="2020-07-11T00:00:00"/>
    <d v="2020-06-27T00:00:00"/>
    <d v="1899-12-30T08:00:00"/>
    <d v="1899-12-31T00:00:00"/>
    <x v="0"/>
    <x v="0"/>
    <n v="3"/>
    <n v="0"/>
    <s v="GBP"/>
    <x v="72"/>
    <n v="3"/>
    <n v="1"/>
    <x v="8"/>
  </r>
  <r>
    <x v="179"/>
    <s v="Guest191@yahoo.com"/>
    <x v="4"/>
    <x v="117"/>
    <d v="2020-07-13T00:00:00"/>
    <d v="2020-06-23T00:00:00"/>
    <d v="1899-12-30T08:00:00"/>
    <d v="1899-12-31T00:00:00"/>
    <x v="0"/>
    <x v="0"/>
    <n v="5"/>
    <n v="0"/>
    <s v="GBP"/>
    <x v="23"/>
    <n v="5"/>
    <n v="3"/>
    <x v="8"/>
  </r>
  <r>
    <x v="179"/>
    <s v="Guest191@yahoo.com"/>
    <x v="1"/>
    <x v="117"/>
    <d v="2020-07-13T00:00:00"/>
    <d v="2020-07-06T00:00:00"/>
    <d v="1899-12-30T08:00:00"/>
    <d v="1899-12-31T00:00:00"/>
    <x v="0"/>
    <x v="1"/>
    <n v="8"/>
    <n v="0"/>
    <s v="GBP"/>
    <x v="70"/>
    <n v="8"/>
    <n v="3"/>
    <x v="8"/>
  </r>
  <r>
    <x v="180"/>
    <s v="Guest471@gmail.com"/>
    <x v="2"/>
    <x v="118"/>
    <d v="2020-07-12T00:00:00"/>
    <d v="2020-06-23T00:00:00"/>
    <d v="1899-12-30T08:00:00"/>
    <d v="1899-12-31T00:00:00"/>
    <x v="0"/>
    <x v="1"/>
    <n v="5"/>
    <n v="0"/>
    <s v="GBP"/>
    <x v="3"/>
    <n v="5"/>
    <n v="1"/>
    <x v="8"/>
  </r>
  <r>
    <x v="181"/>
    <s v="Guest558@airbnb.com"/>
    <x v="4"/>
    <x v="118"/>
    <d v="2020-07-12T00:00:00"/>
    <d v="2020-07-06T00:00:00"/>
    <d v="1899-12-30T08:00:00"/>
    <d v="1899-12-31T00:00:00"/>
    <x v="0"/>
    <x v="0"/>
    <n v="5"/>
    <n v="0"/>
    <s v="GBP"/>
    <x v="72"/>
    <n v="5"/>
    <n v="1"/>
    <x v="8"/>
  </r>
  <r>
    <x v="181"/>
    <s v="Guest558@airbnb.com"/>
    <x v="4"/>
    <x v="118"/>
    <d v="2020-07-12T00:00:00"/>
    <d v="2020-07-06T00:00:00"/>
    <d v="1899-12-30T08:00:00"/>
    <d v="1899-12-31T00:00:00"/>
    <x v="3"/>
    <x v="1"/>
    <n v="3"/>
    <n v="0"/>
    <s v="GBP"/>
    <x v="72"/>
    <n v="3"/>
    <n v="1"/>
    <x v="8"/>
  </r>
  <r>
    <x v="182"/>
    <s v="Guest424@yahoo.com"/>
    <x v="2"/>
    <x v="119"/>
    <d v="2020-07-14T00:00:00"/>
    <d v="2020-06-24T00:00:00"/>
    <d v="1899-12-30T08:00:00"/>
    <d v="1899-12-31T00:00:00"/>
    <x v="0"/>
    <x v="1"/>
    <n v="4"/>
    <n v="0"/>
    <s v="GBP"/>
    <x v="11"/>
    <n v="4"/>
    <n v="2"/>
    <x v="8"/>
  </r>
  <r>
    <x v="183"/>
    <s v="Guest211@gmail.com"/>
    <x v="4"/>
    <x v="119"/>
    <d v="2020-07-13T00:00:00"/>
    <d v="2020-07-09T00:00:00"/>
    <d v="1899-12-30T08:00:00"/>
    <d v="1899-12-31T00:00:00"/>
    <x v="0"/>
    <x v="1"/>
    <n v="9"/>
    <n v="0"/>
    <s v="GBP"/>
    <x v="73"/>
    <n v="9"/>
    <n v="1"/>
    <x v="8"/>
  </r>
  <r>
    <x v="66"/>
    <s v="Guest39@sdf.fsd"/>
    <x v="4"/>
    <x v="119"/>
    <d v="2020-08-12T00:00:00"/>
    <d v="2020-10-22T00:00:00"/>
    <d v="1899-12-30T12:00:00"/>
    <d v="1899-12-30T14:00:00"/>
    <x v="0"/>
    <x v="0"/>
    <n v="1"/>
    <n v="0"/>
    <s v="GBP"/>
    <x v="74"/>
    <n v="1"/>
    <n v="31"/>
    <x v="8"/>
  </r>
  <r>
    <x v="66"/>
    <s v="Guest39@sdf.fsd"/>
    <x v="4"/>
    <x v="119"/>
    <d v="2020-08-12T00:00:00"/>
    <d v="2020-10-22T00:00:00"/>
    <d v="1899-12-30T12:00:00"/>
    <d v="1899-12-30T14:00:00"/>
    <x v="0"/>
    <x v="0"/>
    <n v="1"/>
    <n v="0"/>
    <s v="GBP"/>
    <x v="74"/>
    <n v="1"/>
    <n v="31"/>
    <x v="8"/>
  </r>
  <r>
    <x v="184"/>
    <s v="Guest336@gmail.com"/>
    <x v="4"/>
    <x v="119"/>
    <d v="2020-10-12T00:00:00"/>
    <d v="2020-10-25T00:00:00"/>
    <d v="1899-12-30T12:00:00"/>
    <d v="1899-12-30T14:00:00"/>
    <x v="0"/>
    <x v="0"/>
    <n v="1"/>
    <n v="0"/>
    <s v="GBP"/>
    <x v="75"/>
    <n v="1"/>
    <n v="92"/>
    <x v="8"/>
  </r>
  <r>
    <x v="185"/>
    <s v="Guest240@gmail.com"/>
    <x v="4"/>
    <x v="120"/>
    <d v="2020-07-15T00:00:00"/>
    <d v="2020-06-25T00:00:00"/>
    <d v="1899-12-30T08:00:00"/>
    <d v="1899-12-31T00:00:00"/>
    <x v="0"/>
    <x v="1"/>
    <n v="12"/>
    <n v="0"/>
    <s v="GBP"/>
    <x v="11"/>
    <n v="12"/>
    <n v="2"/>
    <x v="8"/>
  </r>
  <r>
    <x v="178"/>
    <s v="Guest516@gmail.com"/>
    <x v="1"/>
    <x v="120"/>
    <d v="2020-07-24T00:00:00"/>
    <d v="2020-06-27T00:00:00"/>
    <d v="1899-12-30T08:00:00"/>
    <d v="1899-12-31T00:00:00"/>
    <x v="0"/>
    <x v="0"/>
    <n v="3"/>
    <n v="0"/>
    <s v="GBP"/>
    <x v="76"/>
    <n v="3"/>
    <n v="11"/>
    <x v="8"/>
  </r>
  <r>
    <x v="186"/>
    <s v="Guest274@airbnb.com"/>
    <x v="1"/>
    <x v="120"/>
    <d v="2020-07-15T00:00:00"/>
    <d v="2020-07-08T00:00:00"/>
    <d v="1899-12-30T08:00:00"/>
    <d v="1899-12-31T00:00:00"/>
    <x v="0"/>
    <x v="1"/>
    <n v="5"/>
    <n v="0"/>
    <s v="GBP"/>
    <x v="77"/>
    <n v="5"/>
    <n v="2"/>
    <x v="8"/>
  </r>
  <r>
    <x v="172"/>
    <s v="Guest218@encry.com"/>
    <x v="2"/>
    <x v="121"/>
    <d v="2020-07-16T00:00:00"/>
    <d v="2020-07-03T00:00:00"/>
    <d v="1899-12-30T08:00:00"/>
    <d v="1899-12-31T00:00:00"/>
    <x v="0"/>
    <x v="1"/>
    <n v="6"/>
    <n v="0"/>
    <s v="GBP"/>
    <x v="77"/>
    <n v="6"/>
    <n v="2"/>
    <x v="8"/>
  </r>
  <r>
    <x v="187"/>
    <s v="Guest186@gmail.com"/>
    <x v="1"/>
    <x v="122"/>
    <d v="2020-07-16T00:00:00"/>
    <d v="2020-07-07T00:00:00"/>
    <d v="1899-12-30T08:00:00"/>
    <d v="1899-12-31T00:00:00"/>
    <x v="0"/>
    <x v="1"/>
    <n v="8"/>
    <n v="0"/>
    <s v="GBP"/>
    <x v="78"/>
    <n v="8"/>
    <n v="1"/>
    <x v="8"/>
  </r>
  <r>
    <x v="187"/>
    <s v="Guest186@gmail.com"/>
    <x v="4"/>
    <x v="122"/>
    <d v="2020-07-16T00:00:00"/>
    <d v="2020-07-04T00:00:00"/>
    <d v="1899-12-30T08:00:00"/>
    <d v="1899-12-31T00:00:00"/>
    <x v="0"/>
    <x v="0"/>
    <n v="7"/>
    <n v="0"/>
    <s v="GBP"/>
    <x v="79"/>
    <n v="7"/>
    <n v="1"/>
    <x v="8"/>
  </r>
  <r>
    <x v="88"/>
    <s v="Guest275@airbnb.com"/>
    <x v="4"/>
    <x v="122"/>
    <d v="2020-07-16T00:00:00"/>
    <d v="2020-07-08T00:00:00"/>
    <d v="1899-12-30T08:00:00"/>
    <d v="1899-12-31T00:00:00"/>
    <x v="0"/>
    <x v="1"/>
    <n v="5"/>
    <n v="0"/>
    <s v="GBP"/>
    <x v="72"/>
    <n v="5"/>
    <n v="1"/>
    <x v="8"/>
  </r>
  <r>
    <x v="181"/>
    <s v="Guest558@airbnb.com"/>
    <x v="4"/>
    <x v="123"/>
    <d v="2020-07-17T00:00:00"/>
    <d v="2020-07-06T00:00:00"/>
    <d v="1899-12-30T08:00:00"/>
    <d v="1899-12-31T00:00:00"/>
    <x v="3"/>
    <x v="0"/>
    <n v="3"/>
    <n v="0"/>
    <s v="GBP"/>
    <x v="72"/>
    <n v="3"/>
    <n v="1"/>
    <x v="8"/>
  </r>
  <r>
    <x v="188"/>
    <s v="Guest401@gmail.com"/>
    <x v="4"/>
    <x v="123"/>
    <d v="2020-07-17T00:00:00"/>
    <d v="2020-07-08T00:00:00"/>
    <d v="1899-12-30T08:00:00"/>
    <d v="1899-12-31T00:00:00"/>
    <x v="0"/>
    <x v="1"/>
    <n v="9"/>
    <n v="0"/>
    <s v="GBP"/>
    <x v="73"/>
    <n v="9"/>
    <n v="1"/>
    <x v="8"/>
  </r>
  <r>
    <x v="189"/>
    <s v="Guest233@gmail.com"/>
    <x v="1"/>
    <x v="123"/>
    <d v="2020-07-17T00:00:00"/>
    <d v="2020-07-12T00:00:00"/>
    <d v="1899-12-30T14:00:00"/>
    <d v="1899-12-30T11:00:00"/>
    <x v="0"/>
    <x v="1"/>
    <n v="6"/>
    <n v="0"/>
    <s v="GBP"/>
    <x v="72"/>
    <n v="6"/>
    <n v="1"/>
    <x v="8"/>
  </r>
  <r>
    <x v="190"/>
    <s v="Guest374@booking.com"/>
    <x v="4"/>
    <x v="124"/>
    <d v="2020-07-27T00:00:00"/>
    <d v="2020-01-18T00:00:00"/>
    <d v="1899-12-30T08:00:00"/>
    <d v="1899-12-31T00:00:00"/>
    <x v="2"/>
    <x v="0"/>
    <n v="2"/>
    <n v="0"/>
    <s v="GBP"/>
    <x v="80"/>
    <n v="2"/>
    <n v="10"/>
    <x v="8"/>
  </r>
  <r>
    <x v="191"/>
    <s v="Guest417@yahoo.com"/>
    <x v="2"/>
    <x v="124"/>
    <d v="2020-07-19T00:00:00"/>
    <d v="2020-06-27T00:00:00"/>
    <d v="1899-12-30T08:00:00"/>
    <d v="1899-12-31T00:00:00"/>
    <x v="0"/>
    <x v="1"/>
    <n v="4"/>
    <n v="0"/>
    <s v="GBP"/>
    <x v="11"/>
    <n v="4"/>
    <n v="2"/>
    <x v="8"/>
  </r>
  <r>
    <x v="191"/>
    <s v="Guest417@yahoo.com"/>
    <x v="1"/>
    <x v="124"/>
    <d v="2020-07-19T00:00:00"/>
    <d v="2020-06-13T00:00:00"/>
    <d v="1899-12-30T08:00:00"/>
    <d v="1899-12-31T00:00:00"/>
    <x v="0"/>
    <x v="0"/>
    <n v="6"/>
    <n v="0"/>
    <s v="GBP"/>
    <x v="11"/>
    <n v="6"/>
    <n v="2"/>
    <x v="8"/>
  </r>
  <r>
    <x v="192"/>
    <s v="Guest411@digitalbananas.co.uk"/>
    <x v="4"/>
    <x v="124"/>
    <d v="2020-07-19T00:00:00"/>
    <d v="2020-06-27T00:00:00"/>
    <d v="1899-12-30T08:00:00"/>
    <d v="1899-12-31T00:00:00"/>
    <x v="0"/>
    <x v="1"/>
    <n v="3"/>
    <n v="0"/>
    <s v="GBP"/>
    <x v="11"/>
    <n v="3"/>
    <n v="2"/>
    <x v="8"/>
  </r>
  <r>
    <x v="193"/>
    <s v="Guest41@gmail.com"/>
    <x v="1"/>
    <x v="124"/>
    <d v="2020-07-19T00:00:00"/>
    <d v="2020-07-09T00:00:00"/>
    <d v="1899-12-30T08:00:00"/>
    <d v="1899-12-31T00:00:00"/>
    <x v="0"/>
    <x v="1"/>
    <n v="6"/>
    <n v="0"/>
    <s v="GBP"/>
    <x v="81"/>
    <n v="6"/>
    <n v="2"/>
    <x v="8"/>
  </r>
  <r>
    <x v="194"/>
    <s v="Guest200@gmail.com"/>
    <x v="2"/>
    <x v="125"/>
    <d v="2020-07-20T00:00:00"/>
    <d v="2020-06-19T00:00:00"/>
    <d v="1899-12-30T08:00:00"/>
    <d v="1899-12-31T00:00:00"/>
    <x v="0"/>
    <x v="1"/>
    <n v="6"/>
    <n v="0"/>
    <s v="GBP"/>
    <x v="3"/>
    <n v="6"/>
    <n v="1"/>
    <x v="8"/>
  </r>
  <r>
    <x v="195"/>
    <s v="Guest483@gmail.com"/>
    <x v="1"/>
    <x v="125"/>
    <d v="2020-07-20T00:00:00"/>
    <d v="2020-07-10T00:00:00"/>
    <d v="1899-12-30T14:00:00"/>
    <d v="1899-12-30T11:00:00"/>
    <x v="0"/>
    <x v="1"/>
    <n v="6"/>
    <n v="0"/>
    <s v="GBP"/>
    <x v="72"/>
    <n v="6"/>
    <n v="1"/>
    <x v="8"/>
  </r>
  <r>
    <x v="113"/>
    <s v="Guest508@gmail.com"/>
    <x v="2"/>
    <x v="126"/>
    <d v="2020-07-22T00:00:00"/>
    <d v="2020-07-02T00:00:00"/>
    <d v="1899-12-30T08:00:00"/>
    <d v="1899-12-31T00:00:00"/>
    <x v="0"/>
    <x v="1"/>
    <n v="7"/>
    <n v="0"/>
    <s v="GBP"/>
    <x v="11"/>
    <n v="7"/>
    <n v="2"/>
    <x v="8"/>
  </r>
  <r>
    <x v="196"/>
    <s v="Guest283@icloud.com"/>
    <x v="6"/>
    <x v="126"/>
    <d v="2020-07-23T00:00:00"/>
    <d v="2020-07-20T00:00:00"/>
    <d v="1899-12-30T14:00:00"/>
    <d v="1899-12-30T11:00:00"/>
    <x v="0"/>
    <x v="1"/>
    <n v="3"/>
    <n v="0"/>
    <s v="GBP"/>
    <x v="23"/>
    <n v="3"/>
    <n v="3"/>
    <x v="8"/>
  </r>
  <r>
    <x v="197"/>
    <s v="Guest289@yahoo%2Ecom"/>
    <x v="4"/>
    <x v="127"/>
    <d v="2020-07-25T00:00:00"/>
    <d v="2020-06-29T00:00:00"/>
    <d v="1899-12-30T08:00:00"/>
    <d v="1899-12-31T00:00:00"/>
    <x v="0"/>
    <x v="0"/>
    <n v="2"/>
    <n v="0"/>
    <s v="GBP"/>
    <x v="24"/>
    <n v="2"/>
    <n v="4"/>
    <x v="8"/>
  </r>
  <r>
    <x v="198"/>
    <s v="Guest42@yahoo.com"/>
    <x v="4"/>
    <x v="127"/>
    <d v="2020-07-22T00:00:00"/>
    <d v="2020-07-02T00:00:00"/>
    <d v="1899-12-30T08:00:00"/>
    <d v="1899-12-31T00:00:00"/>
    <x v="0"/>
    <x v="1"/>
    <n v="5"/>
    <n v="0"/>
    <s v="GBP"/>
    <x v="3"/>
    <n v="5"/>
    <n v="1"/>
    <x v="8"/>
  </r>
  <r>
    <x v="199"/>
    <s v="Guest451@yahoo.com"/>
    <x v="1"/>
    <x v="127"/>
    <d v="2020-07-24T00:00:00"/>
    <d v="2020-07-11T00:00:00"/>
    <d v="1899-12-30T14:00:00"/>
    <d v="1899-12-30T11:00:00"/>
    <x v="0"/>
    <x v="1"/>
    <n v="5"/>
    <n v="0"/>
    <s v="GBP"/>
    <x v="82"/>
    <n v="5"/>
    <n v="3"/>
    <x v="8"/>
  </r>
  <r>
    <x v="200"/>
    <s v="Guest61@airbnb.com"/>
    <x v="1"/>
    <x v="128"/>
    <d v="2020-08-03T00:00:00"/>
    <d v="2020-06-04T00:00:00"/>
    <d v="1899-12-30T08:00:00"/>
    <d v="1899-12-31T00:00:00"/>
    <x v="1"/>
    <x v="0"/>
    <n v="4"/>
    <n v="0"/>
    <s v="GBP"/>
    <x v="83"/>
    <n v="4"/>
    <n v="12"/>
    <x v="8"/>
  </r>
  <r>
    <x v="201"/>
    <s v="Guest55@airbnb.com"/>
    <x v="4"/>
    <x v="128"/>
    <d v="2020-07-25T00:00:00"/>
    <d v="2020-07-07T00:00:00"/>
    <d v="1899-12-30T08:00:00"/>
    <d v="1899-12-31T00:00:00"/>
    <x v="1"/>
    <x v="0"/>
    <n v="1"/>
    <n v="0"/>
    <s v="GBP"/>
    <x v="84"/>
    <n v="1"/>
    <n v="3"/>
    <x v="8"/>
  </r>
  <r>
    <x v="202"/>
    <s v="Guest389@yahoo%2Ecom"/>
    <x v="2"/>
    <x v="128"/>
    <d v="2020-07-23T00:00:00"/>
    <d v="2020-07-09T00:00:00"/>
    <d v="1899-12-30T08:00:00"/>
    <d v="1899-12-31T00:00:00"/>
    <x v="0"/>
    <x v="0"/>
    <n v="1"/>
    <n v="0"/>
    <s v="GBP"/>
    <x v="85"/>
    <n v="1"/>
    <n v="1"/>
    <x v="8"/>
  </r>
  <r>
    <x v="202"/>
    <s v="Guest389@yahoo%2Ecom"/>
    <x v="4"/>
    <x v="128"/>
    <d v="2020-07-23T00:00:00"/>
    <d v="2020-07-09T00:00:00"/>
    <d v="1899-12-30T08:00:00"/>
    <d v="1899-12-31T00:00:00"/>
    <x v="0"/>
    <x v="0"/>
    <n v="6"/>
    <n v="0"/>
    <s v="GBP"/>
    <x v="72"/>
    <n v="6"/>
    <n v="1"/>
    <x v="8"/>
  </r>
  <r>
    <x v="132"/>
    <s v="Guest452@gmail.com"/>
    <x v="4"/>
    <x v="128"/>
    <d v="2020-07-25T00:00:00"/>
    <d v="2020-07-12T00:00:00"/>
    <d v="1899-12-30T08:00:00"/>
    <d v="1899-12-31T00:00:00"/>
    <x v="0"/>
    <x v="1"/>
    <n v="5"/>
    <n v="0"/>
    <s v="GBP"/>
    <x v="82"/>
    <n v="5"/>
    <n v="3"/>
    <x v="8"/>
  </r>
  <r>
    <x v="203"/>
    <s v="Guest465@yahoo.com"/>
    <x v="2"/>
    <x v="128"/>
    <d v="2020-07-23T00:00:00"/>
    <d v="2020-07-14T00:00:00"/>
    <d v="1899-12-30T08:00:00"/>
    <d v="1899-12-31T00:00:00"/>
    <x v="0"/>
    <x v="1"/>
    <n v="6"/>
    <n v="0"/>
    <s v="GBP"/>
    <x v="72"/>
    <n v="6"/>
    <n v="1"/>
    <x v="8"/>
  </r>
  <r>
    <x v="194"/>
    <s v="Guest200@gmail.com"/>
    <x v="2"/>
    <x v="129"/>
    <d v="2020-07-29T00:00:00"/>
    <d v="2020-06-22T00:00:00"/>
    <d v="1899-12-30T08:00:00"/>
    <d v="1899-12-31T00:00:00"/>
    <x v="0"/>
    <x v="1"/>
    <n v="5"/>
    <n v="0"/>
    <s v="GBP"/>
    <x v="63"/>
    <n v="5"/>
    <n v="6"/>
    <x v="8"/>
  </r>
  <r>
    <x v="204"/>
    <s v="Guest358@yahoo.com"/>
    <x v="6"/>
    <x v="129"/>
    <d v="2020-07-25T00:00:00"/>
    <d v="2020-07-21T00:00:00"/>
    <d v="1899-12-30T14:00:00"/>
    <d v="1899-12-30T11:00:00"/>
    <x v="0"/>
    <x v="1"/>
    <n v="3"/>
    <n v="2"/>
    <s v="GBP"/>
    <x v="11"/>
    <n v="5"/>
    <n v="2"/>
    <x v="8"/>
  </r>
  <r>
    <x v="205"/>
    <s v="Guest569@gmail.com"/>
    <x v="4"/>
    <x v="130"/>
    <d v="2020-07-25T00:00:00"/>
    <d v="2020-07-08T00:00:00"/>
    <d v="1899-12-30T08:00:00"/>
    <d v="1899-12-31T00:00:00"/>
    <x v="0"/>
    <x v="0"/>
    <n v="6"/>
    <n v="0"/>
    <s v="GBP"/>
    <x v="72"/>
    <n v="6"/>
    <n v="1"/>
    <x v="8"/>
  </r>
  <r>
    <x v="206"/>
    <s v="Guest447@yahoo.com"/>
    <x v="1"/>
    <x v="131"/>
    <d v="2020-07-26T00:00:00"/>
    <d v="2020-06-14T00:00:00"/>
    <d v="1899-12-30T08:00:00"/>
    <d v="1899-12-31T00:00:00"/>
    <x v="0"/>
    <x v="1"/>
    <n v="5"/>
    <n v="0"/>
    <s v="GBP"/>
    <x v="3"/>
    <n v="5"/>
    <n v="1"/>
    <x v="8"/>
  </r>
  <r>
    <x v="207"/>
    <s v="Guest326@yahoo.com"/>
    <x v="4"/>
    <x v="131"/>
    <d v="2020-07-27T00:00:00"/>
    <d v="2020-06-22T00:00:00"/>
    <d v="1899-12-30T08:00:00"/>
    <d v="1899-12-31T00:00:00"/>
    <x v="0"/>
    <x v="1"/>
    <n v="4"/>
    <n v="0"/>
    <s v="GBP"/>
    <x v="11"/>
    <n v="4"/>
    <n v="2"/>
    <x v="8"/>
  </r>
  <r>
    <x v="207"/>
    <s v="Guest326@yahoo.com"/>
    <x v="2"/>
    <x v="131"/>
    <d v="2020-07-27T00:00:00"/>
    <d v="2020-06-18T00:00:00"/>
    <d v="1899-12-30T08:00:00"/>
    <d v="1899-12-31T00:00:00"/>
    <x v="0"/>
    <x v="0"/>
    <n v="9"/>
    <n v="0"/>
    <s v="GBP"/>
    <x v="11"/>
    <n v="9"/>
    <n v="2"/>
    <x v="8"/>
  </r>
  <r>
    <x v="208"/>
    <s v="Guest35@yahoo.com"/>
    <x v="6"/>
    <x v="131"/>
    <d v="2020-07-26T00:00:00"/>
    <d v="2020-07-22T00:00:00"/>
    <d v="1899-12-30T14:00:00"/>
    <d v="1899-12-30T11:00:00"/>
    <x v="0"/>
    <x v="1"/>
    <n v="6"/>
    <n v="0"/>
    <s v="GBP"/>
    <x v="3"/>
    <n v="6"/>
    <n v="1"/>
    <x v="8"/>
  </r>
  <r>
    <x v="178"/>
    <s v="Guest516@gmail.com"/>
    <x v="1"/>
    <x v="132"/>
    <d v="2020-08-01T00:00:00"/>
    <d v="2020-06-27T00:00:00"/>
    <d v="1899-12-30T08:00:00"/>
    <d v="1899-12-31T00:00:00"/>
    <x v="0"/>
    <x v="0"/>
    <n v="5"/>
    <n v="0"/>
    <s v="GBP"/>
    <x v="25"/>
    <n v="5"/>
    <n v="6"/>
    <x v="8"/>
  </r>
  <r>
    <x v="209"/>
    <s v="Guest430@gmail.com"/>
    <x v="1"/>
    <x v="132"/>
    <d v="2020-07-27T00:00:00"/>
    <d v="2020-07-13T00:00:00"/>
    <d v="1899-12-30T14:00:00"/>
    <d v="1899-12-30T11:00:00"/>
    <x v="0"/>
    <x v="1"/>
    <n v="5"/>
    <n v="0"/>
    <s v="GBP"/>
    <x v="72"/>
    <n v="5"/>
    <n v="1"/>
    <x v="8"/>
  </r>
  <r>
    <x v="132"/>
    <s v="Guest452@gmail.com"/>
    <x v="6"/>
    <x v="132"/>
    <d v="2020-07-29T00:00:00"/>
    <d v="2020-07-24T00:00:00"/>
    <d v="1899-12-30T14:00:00"/>
    <d v="1899-12-30T11:00:00"/>
    <x v="0"/>
    <x v="1"/>
    <n v="5"/>
    <n v="0"/>
    <s v="GBP"/>
    <x v="23"/>
    <n v="5"/>
    <n v="3"/>
    <x v="8"/>
  </r>
  <r>
    <x v="210"/>
    <s v="Guest156@slh%2Ecom"/>
    <x v="3"/>
    <x v="132"/>
    <d v="2020-07-27T00:00:00"/>
    <d v="2020-07-26T00:00:00"/>
    <d v="1899-12-30T08:00:00"/>
    <d v="1899-12-31T00:00:00"/>
    <x v="0"/>
    <x v="0"/>
    <n v="2"/>
    <n v="0"/>
    <s v="GBP"/>
    <x v="3"/>
    <n v="2"/>
    <n v="1"/>
    <x v="8"/>
  </r>
  <r>
    <x v="211"/>
    <s v="Guest312@yahoo.com"/>
    <x v="4"/>
    <x v="133"/>
    <d v="2020-07-28T00:00:00"/>
    <d v="2020-07-01T00:00:00"/>
    <d v="1899-12-30T08:00:00"/>
    <d v="1899-12-31T00:00:00"/>
    <x v="0"/>
    <x v="1"/>
    <n v="9"/>
    <n v="0"/>
    <s v="GBP"/>
    <x v="3"/>
    <n v="9"/>
    <n v="1"/>
    <x v="8"/>
  </r>
  <r>
    <x v="212"/>
    <s v="Guest489@gmail%2Ecom"/>
    <x v="1"/>
    <x v="133"/>
    <d v="2020-07-31T00:00:00"/>
    <d v="2020-07-08T00:00:00"/>
    <d v="1899-12-30T08:00:00"/>
    <d v="1899-12-31T00:00:00"/>
    <x v="0"/>
    <x v="1"/>
    <n v="7"/>
    <n v="0"/>
    <s v="GBP"/>
    <x v="86"/>
    <n v="7"/>
    <n v="4"/>
    <x v="8"/>
  </r>
  <r>
    <x v="213"/>
    <s v="Guest77@yahoo.com"/>
    <x v="3"/>
    <x v="133"/>
    <d v="2020-07-28T00:00:00"/>
    <d v="2020-07-25T00:00:00"/>
    <d v="1899-12-30T08:00:00"/>
    <d v="1899-12-31T00:00:00"/>
    <x v="0"/>
    <x v="0"/>
    <n v="5"/>
    <n v="0"/>
    <s v="GBP"/>
    <x v="3"/>
    <n v="5"/>
    <n v="1"/>
    <x v="8"/>
  </r>
  <r>
    <x v="214"/>
    <s v="Guest291@yahoo.com"/>
    <x v="4"/>
    <x v="134"/>
    <d v="2020-07-30T00:00:00"/>
    <d v="2020-06-14T00:00:00"/>
    <d v="1899-12-30T08:00:00"/>
    <d v="1899-12-31T00:00:00"/>
    <x v="0"/>
    <x v="1"/>
    <n v="6"/>
    <n v="0"/>
    <s v="GBP"/>
    <x v="11"/>
    <n v="6"/>
    <n v="2"/>
    <x v="8"/>
  </r>
  <r>
    <x v="132"/>
    <s v="Guest452@gmail.com"/>
    <x v="3"/>
    <x v="135"/>
    <d v="2020-08-01T00:00:00"/>
    <d v="2020-07-26T00:00:00"/>
    <d v="1899-12-30T08:00:00"/>
    <d v="1899-12-31T00:00:00"/>
    <x v="0"/>
    <x v="1"/>
    <n v="5"/>
    <n v="0"/>
    <s v="GBP"/>
    <x v="23"/>
    <n v="5"/>
    <n v="3"/>
    <x v="8"/>
  </r>
  <r>
    <x v="215"/>
    <s v="Guest353@gmail.com"/>
    <x v="1"/>
    <x v="136"/>
    <d v="2020-08-02T00:00:00"/>
    <d v="2020-06-13T00:00:00"/>
    <d v="1899-12-30T08:00:00"/>
    <d v="1899-12-31T00:00:00"/>
    <x v="0"/>
    <x v="0"/>
    <n v="5"/>
    <n v="0"/>
    <s v="GBP"/>
    <x v="23"/>
    <n v="5"/>
    <n v="3"/>
    <x v="8"/>
  </r>
  <r>
    <x v="197"/>
    <s v="Guest289@yahoo%2Ecom"/>
    <x v="6"/>
    <x v="136"/>
    <d v="2020-08-13T00:00:00"/>
    <d v="2020-06-29T00:00:00"/>
    <d v="1899-12-30T14:00:00"/>
    <d v="1899-12-30T11:00:00"/>
    <x v="0"/>
    <x v="0"/>
    <n v="2"/>
    <n v="0"/>
    <s v="GBP"/>
    <x v="87"/>
    <n v="2"/>
    <n v="14"/>
    <x v="8"/>
  </r>
  <r>
    <x v="216"/>
    <s v="Guest145@encry.com"/>
    <x v="2"/>
    <x v="136"/>
    <d v="2020-07-31T00:00:00"/>
    <d v="2020-07-06T00:00:00"/>
    <d v="1899-12-30T08:00:00"/>
    <d v="1899-12-31T00:00:00"/>
    <x v="0"/>
    <x v="1"/>
    <n v="5"/>
    <n v="0"/>
    <s v="GBP"/>
    <x v="72"/>
    <n v="5"/>
    <n v="1"/>
    <x v="8"/>
  </r>
  <r>
    <x v="217"/>
    <s v="Guest523@gmail.com"/>
    <x v="6"/>
    <x v="136"/>
    <d v="2020-08-02T00:00:00"/>
    <d v="2020-07-10T00:00:00"/>
    <d v="1899-12-30T14:00:00"/>
    <d v="1899-12-30T11:00:00"/>
    <x v="0"/>
    <x v="1"/>
    <n v="7"/>
    <n v="0"/>
    <s v="GBP"/>
    <x v="88"/>
    <n v="7"/>
    <n v="3"/>
    <x v="8"/>
  </r>
  <r>
    <x v="218"/>
    <s v="Guest322@airbnb.com"/>
    <x v="2"/>
    <x v="137"/>
    <d v="2020-08-01T00:00:00"/>
    <d v="2020-06-14T00:00:00"/>
    <d v="1899-12-30T08:00:00"/>
    <d v="1899-12-31T00:00:00"/>
    <x v="1"/>
    <x v="0"/>
    <n v="1"/>
    <n v="0"/>
    <s v="GBP"/>
    <x v="32"/>
    <n v="1"/>
    <n v="1"/>
    <x v="8"/>
  </r>
  <r>
    <x v="219"/>
    <s v="Guest262@airbnb.com"/>
    <x v="2"/>
    <x v="137"/>
    <d v="2020-08-01T00:00:00"/>
    <d v="2020-07-03T00:00:00"/>
    <d v="1899-12-30T08:00:00"/>
    <d v="1899-12-31T00:00:00"/>
    <x v="1"/>
    <x v="0"/>
    <n v="1"/>
    <n v="0"/>
    <s v="GBP"/>
    <x v="32"/>
    <n v="1"/>
    <n v="1"/>
    <x v="8"/>
  </r>
  <r>
    <x v="215"/>
    <s v="Guest353@gmail.com"/>
    <x v="4"/>
    <x v="137"/>
    <d v="2020-08-03T00:00:00"/>
    <d v="2020-06-27T00:00:00"/>
    <d v="1899-12-30T08:00:00"/>
    <d v="1899-12-31T00:00:00"/>
    <x v="0"/>
    <x v="1"/>
    <n v="6"/>
    <n v="0"/>
    <s v="GBP"/>
    <x v="77"/>
    <n v="6"/>
    <n v="3"/>
    <x v="8"/>
  </r>
  <r>
    <x v="220"/>
    <s v="Guest478@gmail.com"/>
    <x v="2"/>
    <x v="137"/>
    <d v="2020-08-01T00:00:00"/>
    <d v="2020-07-11T00:00:00"/>
    <d v="1899-12-30T08:00:00"/>
    <d v="1899-12-31T00:00:00"/>
    <x v="0"/>
    <x v="1"/>
    <n v="8"/>
    <n v="0"/>
    <s v="GBP"/>
    <x v="78"/>
    <n v="8"/>
    <n v="1"/>
    <x v="8"/>
  </r>
  <r>
    <x v="221"/>
    <s v="Guest234@gmial.com"/>
    <x v="1"/>
    <x v="137"/>
    <d v="2020-08-01T00:00:00"/>
    <d v="2020-07-20T00:00:00"/>
    <d v="1899-12-30T14:00:00"/>
    <d v="1899-12-30T11:00:00"/>
    <x v="0"/>
    <x v="1"/>
    <n v="12"/>
    <n v="0"/>
    <s v="GBP"/>
    <x v="89"/>
    <n v="12"/>
    <n v="1"/>
    <x v="8"/>
  </r>
  <r>
    <x v="222"/>
    <s v="Guest214@airbnb.com"/>
    <x v="4"/>
    <x v="138"/>
    <d v="2020-08-04T00:00:00"/>
    <d v="2020-02-27T00:00:00"/>
    <d v="1899-12-30T08:00:00"/>
    <d v="1899-12-31T00:00:00"/>
    <x v="1"/>
    <x v="0"/>
    <n v="6"/>
    <n v="0"/>
    <s v="GBP"/>
    <x v="45"/>
    <n v="6"/>
    <n v="3"/>
    <x v="8"/>
  </r>
  <r>
    <x v="223"/>
    <s v="Guest246@airbnb.com"/>
    <x v="2"/>
    <x v="138"/>
    <d v="2020-08-04T00:00:00"/>
    <d v="2020-06-28T00:00:00"/>
    <d v="1899-12-30T08:00:00"/>
    <d v="1899-12-31T00:00:00"/>
    <x v="1"/>
    <x v="0"/>
    <n v="1"/>
    <n v="0"/>
    <s v="GBP"/>
    <x v="26"/>
    <n v="1"/>
    <n v="3"/>
    <x v="8"/>
  </r>
  <r>
    <x v="224"/>
    <s v="Guest99@gmail%2Ecom"/>
    <x v="2"/>
    <x v="138"/>
    <d v="2020-08-02T00:00:00"/>
    <d v="2020-07-06T00:00:00"/>
    <d v="1899-12-30T08:00:00"/>
    <d v="1899-12-31T00:00:00"/>
    <x v="0"/>
    <x v="1"/>
    <n v="4"/>
    <n v="0"/>
    <s v="GBP"/>
    <x v="72"/>
    <n v="4"/>
    <n v="1"/>
    <x v="8"/>
  </r>
  <r>
    <x v="225"/>
    <s v="Guest462@gmail.com"/>
    <x v="3"/>
    <x v="138"/>
    <d v="2020-08-02T00:00:00"/>
    <d v="2020-07-24T00:00:00"/>
    <d v="1899-12-30T08:00:00"/>
    <d v="1899-12-31T00:00:00"/>
    <x v="0"/>
    <x v="1"/>
    <n v="5"/>
    <n v="0"/>
    <s v="GBP"/>
    <x v="3"/>
    <n v="5"/>
    <n v="1"/>
    <x v="8"/>
  </r>
  <r>
    <x v="132"/>
    <s v="Guest452@gmail.com"/>
    <x v="6"/>
    <x v="138"/>
    <d v="2020-08-02T00:00:00"/>
    <d v="2020-07-29T00:00:00"/>
    <d v="1899-12-30T14:00:00"/>
    <d v="1899-12-30T11:00:00"/>
    <x v="0"/>
    <x v="0"/>
    <n v="4"/>
    <n v="0"/>
    <s v="GBP"/>
    <x v="3"/>
    <n v="4"/>
    <n v="1"/>
    <x v="8"/>
  </r>
  <r>
    <x v="226"/>
    <s v="Guest574@gmail.com"/>
    <x v="1"/>
    <x v="138"/>
    <d v="2020-08-02T00:00:00"/>
    <d v="2020-07-23T00:00:00"/>
    <d v="1899-12-30T14:00:00"/>
    <d v="1899-12-30T11:00:00"/>
    <x v="0"/>
    <x v="1"/>
    <n v="10"/>
    <n v="0"/>
    <s v="GBP"/>
    <x v="90"/>
    <n v="10"/>
    <n v="1"/>
    <x v="8"/>
  </r>
  <r>
    <x v="223"/>
    <s v="Guest246@airbnb.com"/>
    <x v="4"/>
    <x v="139"/>
    <d v="2020-08-05T00:00:00"/>
    <d v="2020-06-28T00:00:00"/>
    <d v="1899-12-30T08:00:00"/>
    <d v="1899-12-31T00:00:00"/>
    <x v="1"/>
    <x v="0"/>
    <n v="1"/>
    <n v="0"/>
    <s v="GBP"/>
    <x v="26"/>
    <n v="1"/>
    <n v="3"/>
    <x v="8"/>
  </r>
  <r>
    <x v="227"/>
    <s v="Guest174@airbnb.com"/>
    <x v="2"/>
    <x v="139"/>
    <d v="2020-08-07T00:00:00"/>
    <d v="2020-07-19T00:00:00"/>
    <d v="1899-12-30T08:00:00"/>
    <d v="1899-12-31T00:00:00"/>
    <x v="1"/>
    <x v="0"/>
    <n v="5"/>
    <n v="0"/>
    <s v="GBP"/>
    <x v="91"/>
    <n v="5"/>
    <n v="5"/>
    <x v="8"/>
  </r>
  <r>
    <x v="228"/>
    <s v="Guest328@gmail.com"/>
    <x v="3"/>
    <x v="139"/>
    <d v="2020-08-03T00:00:00"/>
    <d v="2020-07-27T00:00:00"/>
    <d v="1899-12-30T08:00:00"/>
    <d v="1899-12-31T00:00:00"/>
    <x v="0"/>
    <x v="1"/>
    <n v="6"/>
    <n v="0"/>
    <s v="GBP"/>
    <x v="3"/>
    <n v="6"/>
    <n v="1"/>
    <x v="8"/>
  </r>
  <r>
    <x v="229"/>
    <s v="Guest184@yahoo.co.uk"/>
    <x v="2"/>
    <x v="139"/>
    <d v="2020-08-03T00:00:00"/>
    <d v="2020-07-28T00:00:00"/>
    <d v="1899-12-30T08:00:00"/>
    <d v="1899-12-31T00:00:00"/>
    <x v="0"/>
    <x v="1"/>
    <n v="5"/>
    <n v="0"/>
    <s v="GBP"/>
    <x v="3"/>
    <n v="5"/>
    <n v="1"/>
    <x v="8"/>
  </r>
  <r>
    <x v="230"/>
    <s v="Guest498@yahoo.com"/>
    <x v="6"/>
    <x v="139"/>
    <d v="2020-08-05T00:00:00"/>
    <d v="2020-07-25T00:00:00"/>
    <d v="1899-12-30T14:00:00"/>
    <d v="1899-12-30T11:00:00"/>
    <x v="0"/>
    <x v="1"/>
    <n v="8"/>
    <n v="0"/>
    <s v="GBP"/>
    <x v="53"/>
    <n v="8"/>
    <n v="3"/>
    <x v="8"/>
  </r>
  <r>
    <x v="195"/>
    <s v="Guest483@gmail.com"/>
    <x v="1"/>
    <x v="139"/>
    <d v="2020-08-03T00:00:00"/>
    <d v="2020-08-02T00:00:00"/>
    <d v="1899-12-30T14:00:00"/>
    <d v="1899-12-30T11:00:00"/>
    <x v="0"/>
    <x v="1"/>
    <n v="6"/>
    <n v="0"/>
    <s v="GBP"/>
    <x v="3"/>
    <n v="6"/>
    <n v="1"/>
    <x v="8"/>
  </r>
  <r>
    <x v="231"/>
    <s v="Guest423@airbnb.com"/>
    <x v="1"/>
    <x v="140"/>
    <d v="2020-08-10T00:00:00"/>
    <d v="2020-05-08T00:00:00"/>
    <d v="1899-12-30T08:00:00"/>
    <d v="1899-12-31T00:00:00"/>
    <x v="1"/>
    <x v="0"/>
    <n v="1"/>
    <n v="0"/>
    <s v="GBP"/>
    <x v="39"/>
    <n v="1"/>
    <n v="7"/>
    <x v="8"/>
  </r>
  <r>
    <x v="228"/>
    <s v="Guest328@gmail.com"/>
    <x v="4"/>
    <x v="140"/>
    <d v="2020-08-04T00:00:00"/>
    <d v="2020-07-27T00:00:00"/>
    <d v="1899-12-30T08:00:00"/>
    <d v="1899-12-31T00:00:00"/>
    <x v="0"/>
    <x v="1"/>
    <n v="6"/>
    <n v="0"/>
    <s v="GBP"/>
    <x v="3"/>
    <n v="6"/>
    <n v="1"/>
    <x v="8"/>
  </r>
  <r>
    <x v="145"/>
    <s v="Guest5@gmail.com"/>
    <x v="3"/>
    <x v="140"/>
    <d v="2020-08-04T00:00:00"/>
    <d v="2020-07-26T00:00:00"/>
    <d v="1899-12-30T08:00:00"/>
    <d v="1899-12-31T00:00:00"/>
    <x v="0"/>
    <x v="0"/>
    <n v="4"/>
    <n v="0"/>
    <s v="GBP"/>
    <x v="3"/>
    <n v="4"/>
    <n v="1"/>
    <x v="8"/>
  </r>
  <r>
    <x v="232"/>
    <s v="Guest442@gmail.com"/>
    <x v="3"/>
    <x v="140"/>
    <d v="2020-08-06T00:00:00"/>
    <d v="2020-07-29T00:00:00"/>
    <d v="1899-12-30T08:00:00"/>
    <d v="1899-12-31T00:00:00"/>
    <x v="0"/>
    <x v="1"/>
    <n v="6"/>
    <n v="0"/>
    <s v="GBP"/>
    <x v="23"/>
    <n v="6"/>
    <n v="3"/>
    <x v="8"/>
  </r>
  <r>
    <x v="233"/>
    <s v="Guest387@gmail.com"/>
    <x v="2"/>
    <x v="140"/>
    <d v="2020-08-05T00:00:00"/>
    <d v="2020-08-02T00:00:00"/>
    <d v="1899-12-30T08:00:00"/>
    <d v="1899-12-31T00:00:00"/>
    <x v="0"/>
    <x v="1"/>
    <n v="6"/>
    <n v="0"/>
    <s v="GBP"/>
    <x v="11"/>
    <n v="6"/>
    <n v="2"/>
    <x v="8"/>
  </r>
  <r>
    <x v="234"/>
    <s v="Guest188@gmail.com"/>
    <x v="4"/>
    <x v="141"/>
    <d v="2020-08-07T00:00:00"/>
    <d v="2020-07-06T00:00:00"/>
    <d v="1899-12-30T08:00:00"/>
    <d v="1899-12-31T00:00:00"/>
    <x v="0"/>
    <x v="1"/>
    <n v="7"/>
    <n v="0"/>
    <s v="GBP"/>
    <x v="92"/>
    <n v="7"/>
    <n v="3"/>
    <x v="8"/>
  </r>
  <r>
    <x v="235"/>
    <s v="Guest560@gmail.com"/>
    <x v="6"/>
    <x v="142"/>
    <d v="2020-08-07T00:00:00"/>
    <d v="2020-08-01T00:00:00"/>
    <d v="1899-12-30T14:00:00"/>
    <d v="1899-12-30T11:00:00"/>
    <x v="0"/>
    <x v="1"/>
    <n v="4"/>
    <n v="0"/>
    <s v="GBP"/>
    <x v="11"/>
    <n v="4"/>
    <n v="2"/>
    <x v="8"/>
  </r>
  <r>
    <x v="235"/>
    <s v="Guest560@gmail.com"/>
    <x v="2"/>
    <x v="142"/>
    <d v="2020-08-07T00:00:00"/>
    <d v="2020-07-31T00:00:00"/>
    <d v="1899-12-30T08:00:00"/>
    <d v="1899-12-31T00:00:00"/>
    <x v="0"/>
    <x v="0"/>
    <n v="4"/>
    <n v="0"/>
    <s v="GBP"/>
    <x v="11"/>
    <n v="4"/>
    <n v="2"/>
    <x v="8"/>
  </r>
  <r>
    <x v="236"/>
    <s v="Guest277@yahoo.com"/>
    <x v="2"/>
    <x v="142"/>
    <d v="2020-08-06T00:00:00"/>
    <d v="2020-08-01T00:00:00"/>
    <d v="1899-12-30T08:00:00"/>
    <d v="1899-12-31T00:00:00"/>
    <x v="0"/>
    <x v="1"/>
    <n v="6"/>
    <n v="0"/>
    <s v="GBP"/>
    <x v="3"/>
    <n v="6"/>
    <n v="1"/>
    <x v="8"/>
  </r>
  <r>
    <x v="237"/>
    <s v="Guest68@airbnb.com"/>
    <x v="2"/>
    <x v="143"/>
    <d v="2020-08-15T00:00:00"/>
    <d v="2020-07-05T00:00:00"/>
    <d v="1899-12-30T08:00:00"/>
    <d v="1899-12-31T00:00:00"/>
    <x v="1"/>
    <x v="0"/>
    <n v="1"/>
    <n v="0"/>
    <s v="GBP"/>
    <x v="93"/>
    <n v="1"/>
    <n v="9"/>
    <x v="8"/>
  </r>
  <r>
    <x v="113"/>
    <s v="Guest508@gmail.com"/>
    <x v="3"/>
    <x v="143"/>
    <d v="2020-08-08T00:00:00"/>
    <d v="2020-07-29T00:00:00"/>
    <d v="1899-12-30T08:00:00"/>
    <d v="1899-12-31T00:00:00"/>
    <x v="0"/>
    <x v="0"/>
    <n v="5"/>
    <n v="0"/>
    <s v="GBP"/>
    <x v="11"/>
    <n v="5"/>
    <n v="2"/>
    <x v="8"/>
  </r>
  <r>
    <x v="132"/>
    <s v="Guest452@gmail.com"/>
    <x v="1"/>
    <x v="143"/>
    <d v="2020-08-07T00:00:00"/>
    <d v="2020-08-05T00:00:00"/>
    <d v="1899-12-30T14:00:00"/>
    <d v="1899-12-30T11:00:00"/>
    <x v="0"/>
    <x v="0"/>
    <n v="4"/>
    <n v="0"/>
    <s v="GBP"/>
    <x v="3"/>
    <n v="4"/>
    <n v="1"/>
    <x v="8"/>
  </r>
  <r>
    <x v="132"/>
    <s v="Guest452@gmail.com"/>
    <x v="2"/>
    <x v="143"/>
    <d v="2020-08-07T00:00:00"/>
    <d v="2020-08-05T00:00:00"/>
    <d v="1899-12-30T08:00:00"/>
    <d v="1899-12-31T00:00:00"/>
    <x v="0"/>
    <x v="0"/>
    <n v="4"/>
    <n v="0"/>
    <s v="GBP"/>
    <x v="3"/>
    <n v="4"/>
    <n v="1"/>
    <x v="8"/>
  </r>
  <r>
    <x v="238"/>
    <s v="Guest50@gmail%2Ecom"/>
    <x v="3"/>
    <x v="143"/>
    <d v="2020-08-07T00:00:00"/>
    <d v="2020-08-02T00:00:00"/>
    <d v="1899-12-30T08:00:00"/>
    <d v="1899-12-31T00:00:00"/>
    <x v="0"/>
    <x v="0"/>
    <n v="5"/>
    <n v="0"/>
    <s v="GBP"/>
    <x v="11"/>
    <n v="5"/>
    <n v="1"/>
    <x v="8"/>
  </r>
  <r>
    <x v="132"/>
    <s v="Guest452@gmail.com"/>
    <x v="3"/>
    <x v="143"/>
    <d v="2020-08-07T00:00:00"/>
    <d v="2020-08-06T00:00:00"/>
    <d v="1899-12-30T08:00:00"/>
    <d v="1899-12-31T00:00:00"/>
    <x v="0"/>
    <x v="1"/>
    <n v="4"/>
    <n v="0"/>
    <s v="GBP"/>
    <x v="3"/>
    <n v="4"/>
    <n v="1"/>
    <x v="8"/>
  </r>
  <r>
    <x v="239"/>
    <s v="Guest295@gmail.com"/>
    <x v="2"/>
    <x v="143"/>
    <d v="2020-08-07T00:00:00"/>
    <d v="2020-08-06T00:00:00"/>
    <d v="1899-12-30T08:00:00"/>
    <d v="1899-12-31T00:00:00"/>
    <x v="0"/>
    <x v="1"/>
    <n v="5"/>
    <n v="0"/>
    <s v="GBP"/>
    <x v="3"/>
    <n v="5"/>
    <n v="1"/>
    <x v="8"/>
  </r>
  <r>
    <x v="240"/>
    <s v="Guest72@gmail%2Ecom"/>
    <x v="2"/>
    <x v="144"/>
    <d v="2020-08-09T00:00:00"/>
    <d v="2020-07-14T00:00:00"/>
    <d v="1899-12-30T08:00:00"/>
    <d v="1899-12-31T00:00:00"/>
    <x v="0"/>
    <x v="1"/>
    <n v="1"/>
    <n v="0"/>
    <s v="GBP"/>
    <x v="94"/>
    <n v="1"/>
    <n v="2"/>
    <x v="8"/>
  </r>
  <r>
    <x v="241"/>
    <s v="Guest201@gmail.com"/>
    <x v="4"/>
    <x v="144"/>
    <d v="2020-08-08T00:00:00"/>
    <d v="2020-07-14T00:00:00"/>
    <d v="1899-12-30T08:00:00"/>
    <d v="1899-12-31T00:00:00"/>
    <x v="0"/>
    <x v="0"/>
    <n v="6"/>
    <n v="0"/>
    <s v="GBP"/>
    <x v="72"/>
    <n v="6"/>
    <n v="1"/>
    <x v="8"/>
  </r>
  <r>
    <x v="95"/>
    <s v="Guest282@yahoo.com"/>
    <x v="6"/>
    <x v="144"/>
    <d v="2020-08-09T00:00:00"/>
    <d v="2020-07-27T00:00:00"/>
    <d v="1899-12-30T14:00:00"/>
    <d v="1899-12-30T11:00:00"/>
    <x v="0"/>
    <x v="0"/>
    <n v="4"/>
    <n v="0"/>
    <s v="GBP"/>
    <x v="11"/>
    <n v="4"/>
    <n v="2"/>
    <x v="8"/>
  </r>
  <r>
    <x v="241"/>
    <s v="Guest201@gmail.com"/>
    <x v="6"/>
    <x v="144"/>
    <d v="2020-08-08T00:00:00"/>
    <d v="2020-08-02T00:00:00"/>
    <d v="1899-12-30T14:00:00"/>
    <d v="1899-12-30T11:00:00"/>
    <x v="0"/>
    <x v="1"/>
    <n v="4"/>
    <n v="0"/>
    <s v="GBP"/>
    <x v="3"/>
    <n v="4"/>
    <n v="1"/>
    <x v="8"/>
  </r>
  <r>
    <x v="238"/>
    <s v="Guest50@gmail%2Ecom"/>
    <x v="3"/>
    <x v="144"/>
    <d v="2020-08-08T00:00:00"/>
    <d v="2020-08-06T00:00:00"/>
    <d v="1899-12-30T08:00:00"/>
    <d v="1899-12-31T00:00:00"/>
    <x v="0"/>
    <x v="0"/>
    <n v="5"/>
    <n v="0"/>
    <s v="GBP"/>
    <x v="3"/>
    <n v="5"/>
    <n v="1"/>
    <x v="8"/>
  </r>
  <r>
    <x v="242"/>
    <s v="Guest507@gmail.com"/>
    <x v="3"/>
    <x v="144"/>
    <d v="2020-08-08T00:00:00"/>
    <d v="2020-08-08T00:00:00"/>
    <d v="1899-12-30T08:00:00"/>
    <d v="1899-12-31T00:00:00"/>
    <x v="0"/>
    <x v="1"/>
    <n v="5"/>
    <n v="0"/>
    <s v="GBP"/>
    <x v="3"/>
    <n v="5"/>
    <n v="1"/>
    <x v="8"/>
  </r>
  <r>
    <x v="243"/>
    <s v="Guest119@gmail.com"/>
    <x v="3"/>
    <x v="145"/>
    <d v="2020-08-09T00:00:00"/>
    <d v="2020-07-15T00:00:00"/>
    <d v="1899-12-30T08:00:00"/>
    <d v="1899-12-31T00:00:00"/>
    <x v="0"/>
    <x v="1"/>
    <n v="6"/>
    <n v="0"/>
    <s v="GBP"/>
    <x v="3"/>
    <n v="6"/>
    <n v="1"/>
    <x v="8"/>
  </r>
  <r>
    <x v="243"/>
    <s v="Guest119@gmail.com"/>
    <x v="6"/>
    <x v="145"/>
    <d v="2020-08-09T00:00:00"/>
    <d v="2020-07-15T00:00:00"/>
    <d v="1899-12-30T14:00:00"/>
    <d v="1899-12-30T11:00:00"/>
    <x v="0"/>
    <x v="0"/>
    <n v="6"/>
    <n v="0"/>
    <s v="GBP"/>
    <x v="72"/>
    <n v="6"/>
    <n v="1"/>
    <x v="8"/>
  </r>
  <r>
    <x v="243"/>
    <s v="Guest119@gmail.com"/>
    <x v="1"/>
    <x v="145"/>
    <d v="2020-08-09T00:00:00"/>
    <d v="2020-07-15T00:00:00"/>
    <d v="1899-12-30T14:00:00"/>
    <d v="1899-12-30T11:00:00"/>
    <x v="0"/>
    <x v="0"/>
    <n v="6"/>
    <n v="0"/>
    <s v="GBP"/>
    <x v="72"/>
    <n v="6"/>
    <n v="1"/>
    <x v="8"/>
  </r>
  <r>
    <x v="244"/>
    <s v="Guest232@gmail.com"/>
    <x v="1"/>
    <x v="145"/>
    <d v="2020-08-09T00:00:00"/>
    <d v="2020-07-15T00:00:00"/>
    <d v="1899-12-30T14:00:00"/>
    <d v="1899-12-30T11:00:00"/>
    <x v="0"/>
    <x v="0"/>
    <n v="2"/>
    <n v="0"/>
    <s v="GBP"/>
    <x v="72"/>
    <n v="2"/>
    <n v="1"/>
    <x v="8"/>
  </r>
  <r>
    <x v="245"/>
    <s v="Guest192@yahoo.com"/>
    <x v="6"/>
    <x v="145"/>
    <d v="2020-08-09T00:00:00"/>
    <d v="2020-07-28T00:00:00"/>
    <d v="1899-12-30T14:00:00"/>
    <d v="1899-12-30T11:00:00"/>
    <x v="0"/>
    <x v="1"/>
    <n v="4"/>
    <n v="0"/>
    <s v="GBP"/>
    <x v="3"/>
    <n v="4"/>
    <n v="1"/>
    <x v="8"/>
  </r>
  <r>
    <x v="113"/>
    <s v="Guest508@gmail.com"/>
    <x v="1"/>
    <x v="145"/>
    <d v="2020-08-10T00:00:00"/>
    <d v="2020-08-02T00:00:00"/>
    <d v="1899-12-30T14:00:00"/>
    <d v="1899-12-30T11:00:00"/>
    <x v="0"/>
    <x v="1"/>
    <n v="6"/>
    <n v="0"/>
    <s v="GBP"/>
    <x v="11"/>
    <n v="6"/>
    <n v="2"/>
    <x v="8"/>
  </r>
  <r>
    <x v="246"/>
    <s v="Guest371@gmail.com"/>
    <x v="2"/>
    <x v="146"/>
    <d v="2020-08-10T00:00:00"/>
    <d v="2020-07-20T00:00:00"/>
    <d v="1899-12-30T08:00:00"/>
    <d v="1899-12-31T00:00:00"/>
    <x v="0"/>
    <x v="1"/>
    <n v="6"/>
    <n v="0"/>
    <s v="GBP"/>
    <x v="3"/>
    <n v="6"/>
    <n v="1"/>
    <x v="8"/>
  </r>
  <r>
    <x v="247"/>
    <s v="Guest385@gmail.com"/>
    <x v="6"/>
    <x v="146"/>
    <d v="2020-08-10T00:00:00"/>
    <d v="2020-07-29T00:00:00"/>
    <d v="1899-12-30T14:00:00"/>
    <d v="1899-12-30T11:00:00"/>
    <x v="0"/>
    <x v="1"/>
    <n v="4"/>
    <n v="0"/>
    <s v="GBP"/>
    <x v="3"/>
    <n v="4"/>
    <n v="1"/>
    <x v="8"/>
  </r>
  <r>
    <x v="114"/>
    <s v="Guest496@airbnb.com"/>
    <x v="1"/>
    <x v="146"/>
    <d v="2020-08-15T00:00:00"/>
    <d v="2020-07-31T00:00:00"/>
    <d v="1899-12-30T14:00:00"/>
    <d v="1899-12-30T11:00:00"/>
    <x v="1"/>
    <x v="0"/>
    <n v="1"/>
    <n v="0"/>
    <s v="GBP"/>
    <x v="8"/>
    <n v="1"/>
    <n v="6"/>
    <x v="8"/>
  </r>
  <r>
    <x v="248"/>
    <s v="Guest421@hotmail.com"/>
    <x v="3"/>
    <x v="146"/>
    <d v="2020-08-10T00:00:00"/>
    <d v="2020-08-03T00:00:00"/>
    <d v="1899-12-30T08:00:00"/>
    <d v="1899-12-31T00:00:00"/>
    <x v="0"/>
    <x v="1"/>
    <n v="5"/>
    <n v="0"/>
    <s v="GBP"/>
    <x v="3"/>
    <n v="5"/>
    <n v="1"/>
    <x v="8"/>
  </r>
  <r>
    <x v="249"/>
    <s v="Guest182@gmail.com"/>
    <x v="6"/>
    <x v="147"/>
    <d v="2020-08-11T00:00:00"/>
    <d v="2020-08-06T00:00:00"/>
    <d v="1899-12-30T14:00:00"/>
    <d v="1899-12-30T11:00:00"/>
    <x v="0"/>
    <x v="1"/>
    <n v="6"/>
    <n v="0"/>
    <s v="GBP"/>
    <x v="3"/>
    <n v="6"/>
    <n v="1"/>
    <x v="8"/>
  </r>
  <r>
    <x v="250"/>
    <s v="Guest29@gmail.com"/>
    <x v="1"/>
    <x v="147"/>
    <d v="2020-08-11T00:00:00"/>
    <d v="2020-08-06T00:00:00"/>
    <d v="1899-12-30T14:00:00"/>
    <d v="1899-12-30T11:00:00"/>
    <x v="0"/>
    <x v="1"/>
    <n v="6"/>
    <n v="0"/>
    <s v="GBP"/>
    <x v="95"/>
    <n v="6"/>
    <n v="1"/>
    <x v="8"/>
  </r>
  <r>
    <x v="251"/>
    <s v="Guest1@gmail%2Ecom"/>
    <x v="3"/>
    <x v="147"/>
    <d v="2020-08-11T00:00:00"/>
    <d v="2020-08-04T00:00:00"/>
    <d v="1899-12-30T08:00:00"/>
    <d v="1899-12-31T00:00:00"/>
    <x v="0"/>
    <x v="1"/>
    <n v="6"/>
    <n v="0"/>
    <s v="GBP"/>
    <x v="3"/>
    <n v="6"/>
    <n v="1"/>
    <x v="8"/>
  </r>
  <r>
    <x v="252"/>
    <s v="Guest103@gmail%2Ecom"/>
    <x v="2"/>
    <x v="147"/>
    <d v="2020-08-11T00:00:00"/>
    <d v="2020-08-07T00:00:00"/>
    <d v="1899-12-30T08:00:00"/>
    <d v="1899-12-31T00:00:00"/>
    <x v="0"/>
    <x v="1"/>
    <n v="4"/>
    <n v="0"/>
    <s v="GBP"/>
    <x v="3"/>
    <n v="4"/>
    <n v="1"/>
    <x v="8"/>
  </r>
  <r>
    <x v="186"/>
    <s v="Guest274@airbnb.com"/>
    <x v="2"/>
    <x v="148"/>
    <d v="2020-08-14T00:00:00"/>
    <d v="2020-07-24T00:00:00"/>
    <d v="1899-12-30T08:00:00"/>
    <d v="1899-12-31T00:00:00"/>
    <x v="0"/>
    <x v="1"/>
    <n v="3"/>
    <n v="0"/>
    <s v="GBP"/>
    <x v="23"/>
    <n v="3"/>
    <n v="3"/>
    <x v="8"/>
  </r>
  <r>
    <x v="132"/>
    <s v="Guest452@gmail.com"/>
    <x v="4"/>
    <x v="148"/>
    <d v="2020-08-12T00:00:00"/>
    <d v="2020-08-05T00:00:00"/>
    <d v="1899-12-30T08:00:00"/>
    <d v="1899-12-31T00:00:00"/>
    <x v="0"/>
    <x v="1"/>
    <n v="4"/>
    <n v="0"/>
    <s v="GBP"/>
    <x v="3"/>
    <n v="4"/>
    <n v="1"/>
    <x v="8"/>
  </r>
  <r>
    <x v="253"/>
    <s v="Guest114@yahoo.com"/>
    <x v="1"/>
    <x v="148"/>
    <d v="2020-08-13T00:00:00"/>
    <d v="2020-08-07T00:00:00"/>
    <d v="1899-12-30T14:00:00"/>
    <d v="1899-12-30T11:00:00"/>
    <x v="0"/>
    <x v="0"/>
    <n v="3"/>
    <n v="0"/>
    <s v="GBP"/>
    <x v="11"/>
    <n v="3"/>
    <n v="2"/>
    <x v="8"/>
  </r>
  <r>
    <x v="107"/>
    <s v="Guest425@gmail.com"/>
    <x v="1"/>
    <x v="148"/>
    <d v="2020-08-12T00:00:00"/>
    <d v="2020-08-07T00:00:00"/>
    <d v="1899-12-30T14:00:00"/>
    <d v="1899-12-30T11:00:00"/>
    <x v="0"/>
    <x v="1"/>
    <n v="2"/>
    <n v="0"/>
    <s v="GBP"/>
    <x v="3"/>
    <n v="2"/>
    <n v="1"/>
    <x v="8"/>
  </r>
  <r>
    <x v="252"/>
    <s v="Guest103@gmail%2Ecom"/>
    <x v="6"/>
    <x v="148"/>
    <d v="2020-08-12T00:00:00"/>
    <d v="2020-08-11T00:00:00"/>
    <d v="1899-12-30T14:00:00"/>
    <d v="1899-12-30T11:00:00"/>
    <x v="0"/>
    <x v="1"/>
    <n v="4"/>
    <n v="0"/>
    <s v="GBP"/>
    <x v="3"/>
    <n v="4"/>
    <n v="1"/>
    <x v="8"/>
  </r>
  <r>
    <x v="254"/>
    <s v="Guest537@gmail.com"/>
    <x v="3"/>
    <x v="148"/>
    <d v="2020-08-12T00:00:00"/>
    <d v="2020-08-11T00:00:00"/>
    <d v="1899-12-30T08:00:00"/>
    <d v="1899-12-31T00:00:00"/>
    <x v="0"/>
    <x v="1"/>
    <n v="4"/>
    <n v="0"/>
    <s v="GBP"/>
    <x v="3"/>
    <n v="4"/>
    <n v="1"/>
    <x v="8"/>
  </r>
  <r>
    <x v="167"/>
    <s v="Guest398@gmail.com"/>
    <x v="3"/>
    <x v="149"/>
    <d v="2020-08-15T00:00:00"/>
    <d v="2020-08-05T00:00:00"/>
    <d v="1899-12-30T08:00:00"/>
    <d v="1899-12-31T00:00:00"/>
    <x v="0"/>
    <x v="1"/>
    <n v="6"/>
    <n v="0"/>
    <s v="GBP"/>
    <x v="23"/>
    <n v="6"/>
    <n v="3"/>
    <x v="8"/>
  </r>
  <r>
    <x v="255"/>
    <s v="Guest497@yahoo.com"/>
    <x v="4"/>
    <x v="149"/>
    <d v="2020-08-15T00:00:00"/>
    <d v="2020-08-05T00:00:00"/>
    <d v="1899-12-30T08:00:00"/>
    <d v="1899-12-31T00:00:00"/>
    <x v="0"/>
    <x v="0"/>
    <n v="8"/>
    <n v="0"/>
    <s v="GBP"/>
    <x v="53"/>
    <n v="8"/>
    <n v="3"/>
    <x v="8"/>
  </r>
  <r>
    <x v="256"/>
    <s v="Guest113@gmail.com"/>
    <x v="6"/>
    <x v="149"/>
    <d v="2020-08-13T00:00:00"/>
    <d v="2020-08-06T00:00:00"/>
    <d v="1899-12-30T14:00:00"/>
    <d v="1899-12-30T11:00:00"/>
    <x v="0"/>
    <x v="0"/>
    <n v="6"/>
    <n v="0"/>
    <s v="GBP"/>
    <x v="96"/>
    <n v="6"/>
    <n v="1"/>
    <x v="8"/>
  </r>
  <r>
    <x v="257"/>
    <s v="Guest134@yahoo.com"/>
    <x v="6"/>
    <x v="149"/>
    <d v="2020-08-14T00:00:00"/>
    <d v="2020-08-10T00:00:00"/>
    <d v="1899-12-30T14:00:00"/>
    <d v="1899-12-30T11:00:00"/>
    <x v="0"/>
    <x v="1"/>
    <n v="5"/>
    <n v="0"/>
    <s v="GBP"/>
    <x v="11"/>
    <n v="5"/>
    <n v="2"/>
    <x v="8"/>
  </r>
  <r>
    <x v="254"/>
    <s v="Guest537@gmail.com"/>
    <x v="4"/>
    <x v="149"/>
    <d v="2020-08-13T00:00:00"/>
    <d v="2020-08-10T00:00:00"/>
    <d v="1899-12-30T08:00:00"/>
    <d v="1899-12-31T00:00:00"/>
    <x v="0"/>
    <x v="1"/>
    <n v="4"/>
    <n v="0"/>
    <s v="GBP"/>
    <x v="3"/>
    <n v="4"/>
    <n v="1"/>
    <x v="8"/>
  </r>
  <r>
    <x v="258"/>
    <s v="Guest343@gmail%2Ecom"/>
    <x v="1"/>
    <x v="149"/>
    <d v="2020-08-13T00:00:00"/>
    <d v="2020-08-09T00:00:00"/>
    <d v="1899-12-30T14:00:00"/>
    <d v="1899-12-30T11:00:00"/>
    <x v="0"/>
    <x v="1"/>
    <n v="5"/>
    <n v="0"/>
    <s v="GBP"/>
    <x v="3"/>
    <n v="5"/>
    <n v="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6"/>
    <s v="Guest39@sdf.fsd"/>
    <x v="4"/>
    <x v="149"/>
    <d v="2020-09-12T00:00:00"/>
    <d v="2020-10-22T00:00:00"/>
    <d v="1899-12-30T12:00:00"/>
    <d v="1899-12-30T14:00:00"/>
    <x v="0"/>
    <x v="0"/>
    <n v="1"/>
    <n v="0"/>
    <s v="GBP"/>
    <x v="74"/>
    <n v="1"/>
    <n v="31"/>
    <x v="8"/>
  </r>
  <r>
    <x v="67"/>
    <s v="Guest151@careerinsights.tv"/>
    <x v="4"/>
    <x v="149"/>
    <d v="2020-09-12T00:00:00"/>
    <d v="2020-10-28T00:00:00"/>
    <d v="1899-12-30T12:00:00"/>
    <d v="1899-12-30T14:00:00"/>
    <x v="0"/>
    <x v="0"/>
    <n v="1"/>
    <n v="0"/>
    <s v="GBP"/>
    <x v="74"/>
    <n v="1"/>
    <n v="31"/>
    <x v="8"/>
  </r>
  <r>
    <x v="259"/>
    <s v="Guest187@gmail.com"/>
    <x v="1"/>
    <x v="150"/>
    <d v="2020-08-15T00:00:00"/>
    <d v="2020-07-31T00:00:00"/>
    <d v="1899-12-30T14:00:00"/>
    <d v="1899-12-30T11:00:00"/>
    <x v="0"/>
    <x v="1"/>
    <n v="6"/>
    <n v="2"/>
    <s v="GBP"/>
    <x v="50"/>
    <n v="8"/>
    <n v="2"/>
    <x v="8"/>
  </r>
  <r>
    <x v="258"/>
    <s v="Guest343@gmail%2Ecom"/>
    <x v="4"/>
    <x v="150"/>
    <d v="2020-08-15T00:00:00"/>
    <d v="2020-08-10T00:00:00"/>
    <d v="1899-12-30T08:00:00"/>
    <d v="1899-12-31T00:00:00"/>
    <x v="0"/>
    <x v="0"/>
    <n v="4"/>
    <n v="0"/>
    <s v="GBP"/>
    <x v="11"/>
    <n v="4"/>
    <n v="2"/>
    <x v="8"/>
  </r>
  <r>
    <x v="132"/>
    <s v="Guest452@gmail.com"/>
    <x v="4"/>
    <x v="150"/>
    <d v="2020-08-14T00:00:00"/>
    <d v="2020-08-12T00:00:00"/>
    <d v="1899-12-30T08:00:00"/>
    <d v="1899-12-31T00:00:00"/>
    <x v="0"/>
    <x v="1"/>
    <n v="5"/>
    <n v="0"/>
    <s v="GBP"/>
    <x v="3"/>
    <n v="5"/>
    <n v="1"/>
    <x v="8"/>
  </r>
  <r>
    <x v="101"/>
    <s v="Guest303@gmail.com"/>
    <x v="6"/>
    <x v="151"/>
    <d v="2020-08-16T00:00:00"/>
    <d v="2020-07-28T00:00:00"/>
    <d v="1899-12-30T14:00:00"/>
    <d v="1899-12-30T11:00:00"/>
    <x v="0"/>
    <x v="1"/>
    <n v="5"/>
    <n v="0"/>
    <s v="GBP"/>
    <x v="11"/>
    <n v="5"/>
    <n v="2"/>
    <x v="8"/>
  </r>
  <r>
    <x v="241"/>
    <s v="Guest201@gmail.com"/>
    <x v="4"/>
    <x v="151"/>
    <d v="2020-08-15T00:00:00"/>
    <d v="2020-07-14T00:00:00"/>
    <d v="1899-12-30T08:00:00"/>
    <d v="1899-12-31T00:00:00"/>
    <x v="0"/>
    <x v="0"/>
    <n v="7"/>
    <n v="0"/>
    <s v="GBP"/>
    <x v="79"/>
    <n v="7"/>
    <n v="1"/>
    <x v="8"/>
  </r>
  <r>
    <x v="260"/>
    <s v="Guest380@gmail.com"/>
    <x v="4"/>
    <x v="151"/>
    <d v="2020-08-15T00:00:00"/>
    <d v="2020-08-10T00:00:00"/>
    <d v="1899-12-30T08:00:00"/>
    <d v="1899-12-31T00:00:00"/>
    <x v="0"/>
    <x v="1"/>
    <n v="5"/>
    <n v="0"/>
    <s v="GBP"/>
    <x v="3"/>
    <n v="5"/>
    <n v="1"/>
    <x v="8"/>
  </r>
  <r>
    <x v="261"/>
    <s v="Guest405@gmail.com"/>
    <x v="4"/>
    <x v="152"/>
    <d v="2020-08-17T00:00:00"/>
    <d v="2020-07-07T00:00:00"/>
    <d v="1899-12-30T08:00:00"/>
    <d v="1899-12-31T00:00:00"/>
    <x v="0"/>
    <x v="0"/>
    <n v="3"/>
    <n v="0"/>
    <s v="GBP"/>
    <x v="77"/>
    <n v="3"/>
    <n v="2"/>
    <x v="8"/>
  </r>
  <r>
    <x v="262"/>
    <s v="Guest450@gmail.com"/>
    <x v="4"/>
    <x v="152"/>
    <d v="2020-08-17T00:00:00"/>
    <d v="2020-07-09T00:00:00"/>
    <d v="1899-12-30T08:00:00"/>
    <d v="1899-12-31T00:00:00"/>
    <x v="0"/>
    <x v="1"/>
    <n v="4"/>
    <n v="0"/>
    <s v="GBP"/>
    <x v="77"/>
    <n v="4"/>
    <n v="2"/>
    <x v="8"/>
  </r>
  <r>
    <x v="263"/>
    <s v="Guest11@encry.com"/>
    <x v="1"/>
    <x v="152"/>
    <d v="2020-08-16T00:00:00"/>
    <d v="2020-07-09T00:00:00"/>
    <d v="1899-12-30T08:00:00"/>
    <d v="1899-12-31T00:00:00"/>
    <x v="0"/>
    <x v="0"/>
    <n v="6"/>
    <n v="0"/>
    <s v="GBP"/>
    <x v="72"/>
    <n v="6"/>
    <n v="1"/>
    <x v="8"/>
  </r>
  <r>
    <x v="264"/>
    <s v="Guest199@encry.com"/>
    <x v="1"/>
    <x v="152"/>
    <d v="2020-08-16T00:00:00"/>
    <d v="2020-07-10T00:00:00"/>
    <d v="1899-12-30T08:00:00"/>
    <d v="1899-12-31T00:00:00"/>
    <x v="0"/>
    <x v="1"/>
    <n v="6"/>
    <n v="0"/>
    <s v="GBP"/>
    <x v="72"/>
    <n v="6"/>
    <n v="1"/>
    <x v="8"/>
  </r>
  <r>
    <x v="265"/>
    <s v="Guest562@"/>
    <x v="2"/>
    <x v="152"/>
    <d v="2020-08-20T00:00:00"/>
    <d v="2020-03-15T00:00:00"/>
    <d v="1899-12-30T08:00:00"/>
    <d v="1899-12-31T00:00:00"/>
    <x v="4"/>
    <x v="0"/>
    <n v="2"/>
    <n v="3"/>
    <s v="GBP"/>
    <x v="97"/>
    <n v="5"/>
    <n v="5"/>
    <x v="8"/>
  </r>
  <r>
    <x v="261"/>
    <s v="Guest405@gmail.com"/>
    <x v="3"/>
    <x v="152"/>
    <d v="2020-08-17T00:00:00"/>
    <d v="2020-07-08T00:00:00"/>
    <d v="1899-12-30T08:00:00"/>
    <d v="1899-12-31T00:00:00"/>
    <x v="0"/>
    <x v="1"/>
    <n v="5"/>
    <n v="0"/>
    <s v="GBP"/>
    <x v="11"/>
    <n v="5"/>
    <n v="2"/>
    <x v="8"/>
  </r>
  <r>
    <x v="266"/>
    <s v="Guest63@airbnb.com"/>
    <x v="2"/>
    <x v="153"/>
    <d v="2020-08-20T00:00:00"/>
    <d v="2020-07-28T00:00:00"/>
    <d v="1899-12-30T08:00:00"/>
    <d v="1899-12-31T00:00:00"/>
    <x v="1"/>
    <x v="0"/>
    <n v="1"/>
    <n v="0"/>
    <s v="GBP"/>
    <x v="98"/>
    <n v="1"/>
    <n v="4"/>
    <x v="8"/>
  </r>
  <r>
    <x v="267"/>
    <s v="Guest247@gmail.com"/>
    <x v="2"/>
    <x v="153"/>
    <d v="2020-08-21T00:00:00"/>
    <d v="2020-07-29T00:00:00"/>
    <d v="1899-12-30T08:00:00"/>
    <d v="1899-12-31T00:00:00"/>
    <x v="0"/>
    <x v="1"/>
    <n v="6"/>
    <n v="0"/>
    <s v="GBP"/>
    <x v="5"/>
    <n v="6"/>
    <n v="5"/>
    <x v="8"/>
  </r>
  <r>
    <x v="268"/>
    <s v="Guest408@yahoo.com"/>
    <x v="1"/>
    <x v="153"/>
    <d v="2020-08-17T00:00:00"/>
    <d v="2020-08-07T00:00:00"/>
    <d v="1899-12-30T14:00:00"/>
    <d v="1899-12-30T11:00:00"/>
    <x v="0"/>
    <x v="1"/>
    <n v="5"/>
    <n v="0"/>
    <s v="GBP"/>
    <x v="3"/>
    <n v="5"/>
    <n v="1"/>
    <x v="8"/>
  </r>
  <r>
    <x v="255"/>
    <s v="Guest497@yahoo.com"/>
    <x v="6"/>
    <x v="153"/>
    <d v="2020-08-17T00:00:00"/>
    <d v="2020-08-12T00:00:00"/>
    <d v="1899-12-30T14:00:00"/>
    <d v="1899-12-30T11:00:00"/>
    <x v="0"/>
    <x v="1"/>
    <n v="5"/>
    <n v="0"/>
    <s v="GBP"/>
    <x v="3"/>
    <n v="5"/>
    <n v="1"/>
    <x v="8"/>
  </r>
  <r>
    <x v="132"/>
    <s v="Guest452@gmail.com"/>
    <x v="4"/>
    <x v="154"/>
    <d v="2020-08-22T00:00:00"/>
    <d v="2020-08-07T00:00:00"/>
    <d v="1899-12-30T08:00:00"/>
    <d v="1899-12-31T00:00:00"/>
    <x v="0"/>
    <x v="1"/>
    <n v="4"/>
    <n v="0"/>
    <s v="GBP"/>
    <x v="5"/>
    <n v="4"/>
    <n v="5"/>
    <x v="8"/>
  </r>
  <r>
    <x v="193"/>
    <s v="Guest41@gmail.com"/>
    <x v="1"/>
    <x v="154"/>
    <d v="2020-08-22T00:00:00"/>
    <d v="2020-08-13T00:00:00"/>
    <d v="1899-12-30T14:00:00"/>
    <d v="1899-12-30T11:00:00"/>
    <x v="0"/>
    <x v="1"/>
    <n v="6"/>
    <n v="0"/>
    <s v="GBP"/>
    <x v="3"/>
    <n v="6"/>
    <n v="5"/>
    <x v="8"/>
  </r>
  <r>
    <x v="255"/>
    <s v="Guest497@yahoo.com"/>
    <x v="3"/>
    <x v="154"/>
    <d v="2020-08-20T00:00:00"/>
    <d v="2020-08-12T00:00:00"/>
    <d v="1899-12-30T08:00:00"/>
    <d v="1899-12-31T00:00:00"/>
    <x v="0"/>
    <x v="1"/>
    <n v="6"/>
    <n v="0"/>
    <s v="GBP"/>
    <x v="23"/>
    <n v="6"/>
    <n v="3"/>
    <x v="8"/>
  </r>
  <r>
    <x v="129"/>
    <s v="Guest308@guest.booking.com"/>
    <x v="3"/>
    <x v="155"/>
    <d v="2020-09-02T00:00:00"/>
    <d v="2020-05-07T00:00:00"/>
    <d v="1899-12-30T08:00:00"/>
    <d v="1899-12-31T00:00:00"/>
    <x v="2"/>
    <x v="0"/>
    <n v="2"/>
    <n v="0"/>
    <s v="GBP"/>
    <x v="99"/>
    <n v="2"/>
    <n v="15"/>
    <x v="8"/>
  </r>
  <r>
    <x v="258"/>
    <s v="Guest343@gmail%2Ecom"/>
    <x v="6"/>
    <x v="155"/>
    <d v="2020-08-20T00:00:00"/>
    <d v="2020-06-16T00:00:00"/>
    <d v="1899-12-30T14:00:00"/>
    <d v="1899-12-30T11:00:00"/>
    <x v="0"/>
    <x v="1"/>
    <n v="5"/>
    <n v="0"/>
    <s v="GBP"/>
    <x v="11"/>
    <n v="5"/>
    <n v="2"/>
    <x v="8"/>
  </r>
  <r>
    <x v="126"/>
    <s v="Guest571@airbnb.com"/>
    <x v="1"/>
    <x v="156"/>
    <d v="2020-09-02T00:00:00"/>
    <d v="2020-06-08T00:00:00"/>
    <d v="1899-12-30T08:00:00"/>
    <d v="1899-12-31T00:00:00"/>
    <x v="1"/>
    <x v="0"/>
    <n v="2"/>
    <n v="0"/>
    <s v="GBP"/>
    <x v="100"/>
    <n v="2"/>
    <n v="14"/>
    <x v="8"/>
  </r>
  <r>
    <x v="255"/>
    <s v="Guest497@yahoo.com"/>
    <x v="3"/>
    <x v="156"/>
    <d v="2020-08-20T00:00:00"/>
    <d v="2020-08-12T00:00:00"/>
    <d v="1899-12-30T08:00:00"/>
    <d v="1899-12-31T00:00:00"/>
    <x v="0"/>
    <x v="0"/>
    <n v="5"/>
    <n v="0"/>
    <s v="GBP"/>
    <x v="3"/>
    <n v="5"/>
    <n v="1"/>
    <x v="8"/>
  </r>
  <r>
    <x v="269"/>
    <s v="Guest66@gmail%2Ecom"/>
    <x v="6"/>
    <x v="157"/>
    <d v="2020-08-21T00:00:00"/>
    <d v="2020-08-12T00:00:00"/>
    <d v="1899-12-30T14:00:00"/>
    <d v="1899-12-30T11:00:00"/>
    <x v="0"/>
    <x v="1"/>
    <n v="5"/>
    <n v="0"/>
    <s v="GBP"/>
    <x v="3"/>
    <n v="5"/>
    <n v="1"/>
    <x v="8"/>
  </r>
  <r>
    <x v="270"/>
    <s v="Guest402@gmail.com"/>
    <x v="3"/>
    <x v="157"/>
    <d v="2020-08-21T00:00:00"/>
    <d v="2020-08-13T00:00:00"/>
    <d v="1899-12-30T08:00:00"/>
    <d v="1899-12-31T00:00:00"/>
    <x v="0"/>
    <x v="1"/>
    <n v="5"/>
    <n v="0"/>
    <s v="GBP"/>
    <x v="3"/>
    <n v="5"/>
    <n v="1"/>
    <x v="8"/>
  </r>
  <r>
    <x v="271"/>
    <s v="Guest171@airbnb.com"/>
    <x v="2"/>
    <x v="158"/>
    <d v="2020-08-24T00:00:00"/>
    <d v="2020-07-31T00:00:00"/>
    <d v="1899-12-30T08:00:00"/>
    <d v="1899-12-31T00:00:00"/>
    <x v="1"/>
    <x v="0"/>
    <n v="6"/>
    <n v="0"/>
    <s v="GBP"/>
    <x v="45"/>
    <n v="6"/>
    <n v="3"/>
    <x v="8"/>
  </r>
  <r>
    <x v="272"/>
    <s v="Guest339@yahoo.co.uk"/>
    <x v="6"/>
    <x v="158"/>
    <d v="2020-08-23T00:00:00"/>
    <d v="2020-08-09T00:00:00"/>
    <d v="1899-12-30T14:00:00"/>
    <d v="1899-12-30T11:00:00"/>
    <x v="0"/>
    <x v="1"/>
    <n v="4"/>
    <n v="0"/>
    <s v="GBP"/>
    <x v="11"/>
    <n v="4"/>
    <n v="2"/>
    <x v="8"/>
  </r>
  <r>
    <x v="273"/>
    <s v="Guest14@guest.airbnb.com"/>
    <x v="3"/>
    <x v="158"/>
    <d v="2020-08-24T00:00:00"/>
    <d v="2020-08-13T00:00:00"/>
    <d v="1899-12-30T08:00:00"/>
    <d v="1899-12-31T00:00:00"/>
    <x v="0"/>
    <x v="0"/>
    <n v="6"/>
    <n v="0"/>
    <s v="GBP"/>
    <x v="23"/>
    <n v="6"/>
    <n v="3"/>
    <x v="8"/>
  </r>
  <r>
    <x v="274"/>
    <s v="Guest433@gmail.com"/>
    <x v="3"/>
    <x v="158"/>
    <d v="2020-08-22T00:00:00"/>
    <d v="2020-08-18T00:00:00"/>
    <d v="1899-12-30T08:00:00"/>
    <d v="1899-12-31T00:00:00"/>
    <x v="0"/>
    <x v="1"/>
    <n v="2"/>
    <n v="0"/>
    <s v="GBP"/>
    <x v="3"/>
    <n v="2"/>
    <n v="1"/>
    <x v="8"/>
  </r>
  <r>
    <x v="275"/>
    <s v="Guest351@gmail.com"/>
    <x v="2"/>
    <x v="158"/>
    <d v="2020-08-25T00:00:00"/>
    <d v="2020-08-01T00:00:00"/>
    <d v="1899-12-30T08:00:00"/>
    <d v="1899-12-31T00:00:00"/>
    <x v="0"/>
    <x v="1"/>
    <n v="4"/>
    <n v="3"/>
    <s v="GBP"/>
    <x v="101"/>
    <n v="7"/>
    <n v="4"/>
    <x v="8"/>
  </r>
  <r>
    <x v="276"/>
    <s v="Guest510@yahoo.com"/>
    <x v="5"/>
    <x v="158"/>
    <d v="2020-09-20T00:00:00"/>
    <d v="2020-08-23T00:00:00"/>
    <d v="1899-12-30T14:00:00"/>
    <d v="1899-12-30T11:00:00"/>
    <x v="0"/>
    <x v="1"/>
    <n v="1"/>
    <n v="0"/>
    <s v="GBP"/>
    <x v="102"/>
    <n v="1"/>
    <n v="30"/>
    <x v="8"/>
  </r>
  <r>
    <x v="202"/>
    <s v="Guest389@yahoo%2Ecom"/>
    <x v="4"/>
    <x v="159"/>
    <d v="2020-08-23T00:00:00"/>
    <d v="2020-07-09T00:00:00"/>
    <d v="1899-12-30T08:00:00"/>
    <d v="1899-12-31T00:00:00"/>
    <x v="0"/>
    <x v="0"/>
    <n v="5"/>
    <n v="0"/>
    <s v="GBP"/>
    <x v="72"/>
    <n v="5"/>
    <n v="1"/>
    <x v="8"/>
  </r>
  <r>
    <x v="277"/>
    <s v="Guest57@gmail.com"/>
    <x v="4"/>
    <x v="159"/>
    <d v="2020-08-23T00:00:00"/>
    <d v="2020-07-29T00:00:00"/>
    <d v="1899-12-30T08:00:00"/>
    <d v="1899-12-31T00:00:00"/>
    <x v="0"/>
    <x v="1"/>
    <n v="2"/>
    <n v="0"/>
    <s v="GBP"/>
    <x v="3"/>
    <n v="2"/>
    <n v="1"/>
    <x v="8"/>
  </r>
  <r>
    <x v="278"/>
    <s v="Guest172@gmail.com"/>
    <x v="6"/>
    <x v="159"/>
    <d v="2020-08-25T00:00:00"/>
    <d v="2020-08-01T00:00:00"/>
    <d v="1899-12-30T14:00:00"/>
    <d v="1899-12-30T11:00:00"/>
    <x v="0"/>
    <x v="0"/>
    <n v="5"/>
    <n v="0"/>
    <s v="GBP"/>
    <x v="23"/>
    <n v="5"/>
    <n v="3"/>
    <x v="8"/>
  </r>
  <r>
    <x v="279"/>
    <s v="Guest173@gmail.com"/>
    <x v="6"/>
    <x v="159"/>
    <d v="2020-08-23T00:00:00"/>
    <d v="2020-08-08T00:00:00"/>
    <d v="1899-12-30T14:00:00"/>
    <d v="1899-12-30T11:00:00"/>
    <x v="0"/>
    <x v="0"/>
    <n v="1"/>
    <n v="0"/>
    <s v="GBP"/>
    <x v="3"/>
    <n v="1"/>
    <n v="1"/>
    <x v="8"/>
  </r>
  <r>
    <x v="202"/>
    <s v="Guest389@yahoo%2Ecom"/>
    <x v="1"/>
    <x v="159"/>
    <d v="2020-08-23T00:00:00"/>
    <d v="2020-07-29T00:00:00"/>
    <d v="1899-12-30T14:00:00"/>
    <d v="1899-12-30T11:00:00"/>
    <x v="0"/>
    <x v="1"/>
    <n v="2"/>
    <n v="0"/>
    <s v="GBP"/>
    <x v="3"/>
    <n v="2"/>
    <n v="1"/>
    <x v="8"/>
  </r>
  <r>
    <x v="280"/>
    <s v="Guest554@gmail.com"/>
    <x v="3"/>
    <x v="159"/>
    <d v="2020-08-25T00:00:00"/>
    <d v="2020-08-17T00:00:00"/>
    <d v="1899-12-30T08:00:00"/>
    <d v="1899-12-31T00:00:00"/>
    <x v="0"/>
    <x v="1"/>
    <n v="6"/>
    <n v="0"/>
    <s v="GBP"/>
    <x v="23"/>
    <n v="6"/>
    <n v="3"/>
    <x v="8"/>
  </r>
  <r>
    <x v="245"/>
    <s v="Guest192@yahoo.com"/>
    <x v="1"/>
    <x v="160"/>
    <d v="2020-08-24T00:00:00"/>
    <d v="2020-08-12T00:00:00"/>
    <d v="1899-12-30T14:00:00"/>
    <d v="1899-12-30T11:00:00"/>
    <x v="0"/>
    <x v="1"/>
    <n v="5"/>
    <n v="0"/>
    <s v="GBP"/>
    <x v="3"/>
    <n v="5"/>
    <n v="1"/>
    <x v="8"/>
  </r>
  <r>
    <x v="281"/>
    <s v="Guest340@encry.com"/>
    <x v="6"/>
    <x v="160"/>
    <d v="2020-08-24T00:00:00"/>
    <d v="2020-08-14T00:00:00"/>
    <d v="1899-12-30T14:00:00"/>
    <d v="1899-12-30T11:00:00"/>
    <x v="0"/>
    <x v="1"/>
    <n v="2"/>
    <n v="0"/>
    <s v="GBP"/>
    <x v="3"/>
    <n v="2"/>
    <n v="1"/>
    <x v="8"/>
  </r>
  <r>
    <x v="282"/>
    <s v="Guest64@gmail.com"/>
    <x v="4"/>
    <x v="160"/>
    <d v="2020-08-24T00:00:00"/>
    <d v="2020-07-18T00:00:00"/>
    <d v="1899-12-30T08:00:00"/>
    <d v="1899-12-31T00:00:00"/>
    <x v="0"/>
    <x v="1"/>
    <n v="3"/>
    <n v="0"/>
    <s v="GBP"/>
    <x v="3"/>
    <n v="3"/>
    <n v="1"/>
    <x v="8"/>
  </r>
  <r>
    <x v="283"/>
    <s v="Guest524@airbnb.com"/>
    <x v="4"/>
    <x v="161"/>
    <d v="2020-08-27T00:00:00"/>
    <d v="2020-07-24T00:00:00"/>
    <d v="1899-12-30T08:00:00"/>
    <d v="1899-12-31T00:00:00"/>
    <x v="1"/>
    <x v="0"/>
    <n v="1"/>
    <n v="0"/>
    <s v="GBP"/>
    <x v="103"/>
    <n v="1"/>
    <n v="3"/>
    <x v="8"/>
  </r>
  <r>
    <x v="284"/>
    <s v="Guest391@gmail.com"/>
    <x v="4"/>
    <x v="161"/>
    <d v="2020-08-26T00:00:00"/>
    <d v="2020-07-28T00:00:00"/>
    <d v="1899-12-30T08:00:00"/>
    <d v="1899-12-31T00:00:00"/>
    <x v="0"/>
    <x v="1"/>
    <n v="5"/>
    <n v="0"/>
    <s v="GBP"/>
    <x v="11"/>
    <n v="5"/>
    <n v="2"/>
    <x v="8"/>
  </r>
  <r>
    <x v="254"/>
    <s v="Guest537@gmail.com"/>
    <x v="6"/>
    <x v="161"/>
    <d v="2020-08-25T00:00:00"/>
    <d v="2020-08-17T00:00:00"/>
    <d v="1899-12-30T14:00:00"/>
    <d v="1899-12-30T11:00:00"/>
    <x v="0"/>
    <x v="1"/>
    <n v="6"/>
    <n v="0"/>
    <s v="GBP"/>
    <x v="3"/>
    <n v="6"/>
    <n v="1"/>
    <x v="8"/>
  </r>
  <r>
    <x v="285"/>
    <s v="Guest71@airbnb.com"/>
    <x v="2"/>
    <x v="161"/>
    <d v="2020-08-27T00:00:00"/>
    <d v="2020-08-18T00:00:00"/>
    <d v="1899-12-30T08:00:00"/>
    <d v="1899-12-31T00:00:00"/>
    <x v="1"/>
    <x v="0"/>
    <n v="1"/>
    <n v="0"/>
    <s v="GBP"/>
    <x v="26"/>
    <n v="1"/>
    <n v="3"/>
    <x v="8"/>
  </r>
  <r>
    <x v="239"/>
    <s v="Guest295@gmail.com"/>
    <x v="1"/>
    <x v="161"/>
    <d v="2020-08-25T00:00:00"/>
    <d v="2020-08-21T00:00:00"/>
    <d v="1899-12-30T14:00:00"/>
    <d v="1899-12-30T11:00:00"/>
    <x v="0"/>
    <x v="0"/>
    <n v="6"/>
    <n v="0"/>
    <s v="GBP"/>
    <x v="3"/>
    <n v="6"/>
    <n v="1"/>
    <x v="8"/>
  </r>
  <r>
    <x v="251"/>
    <s v="Guest1@gmail%2Ecom"/>
    <x v="6"/>
    <x v="162"/>
    <d v="2020-08-26T00:00:00"/>
    <d v="2020-08-08T00:00:00"/>
    <d v="1899-12-30T14:00:00"/>
    <d v="1899-12-30T11:00:00"/>
    <x v="0"/>
    <x v="0"/>
    <n v="5"/>
    <n v="0"/>
    <s v="GBP"/>
    <x v="3"/>
    <n v="5"/>
    <n v="1"/>
    <x v="8"/>
  </r>
  <r>
    <x v="286"/>
    <s v="Guest110@gmail.com"/>
    <x v="1"/>
    <x v="162"/>
    <d v="2020-08-26T00:00:00"/>
    <d v="2020-08-09T00:00:00"/>
    <d v="1899-12-30T14:00:00"/>
    <d v="1899-12-30T11:00:00"/>
    <x v="0"/>
    <x v="0"/>
    <n v="4"/>
    <n v="0"/>
    <s v="GBP"/>
    <x v="3"/>
    <n v="4"/>
    <n v="1"/>
    <x v="8"/>
  </r>
  <r>
    <x v="254"/>
    <s v="Guest537@gmail.com"/>
    <x v="6"/>
    <x v="162"/>
    <d v="2020-08-26T00:00:00"/>
    <d v="2020-08-17T00:00:00"/>
    <d v="1899-12-30T14:00:00"/>
    <d v="1899-12-30T11:00:00"/>
    <x v="0"/>
    <x v="1"/>
    <n v="6"/>
    <n v="0"/>
    <s v="GBP"/>
    <x v="3"/>
    <n v="6"/>
    <n v="1"/>
    <x v="8"/>
  </r>
  <r>
    <x v="287"/>
    <s v="Guest104@yahoo.com"/>
    <x v="1"/>
    <x v="162"/>
    <d v="2020-08-26T00:00:00"/>
    <d v="2020-08-20T00:00:00"/>
    <d v="1899-12-30T14:00:00"/>
    <d v="1899-12-30T11:00:00"/>
    <x v="0"/>
    <x v="1"/>
    <n v="5"/>
    <n v="0"/>
    <s v="GBP"/>
    <x v="3"/>
    <n v="5"/>
    <n v="1"/>
    <x v="8"/>
  </r>
  <r>
    <x v="288"/>
    <s v="Guest294@gmail.com"/>
    <x v="2"/>
    <x v="162"/>
    <d v="2020-08-28T00:00:00"/>
    <d v="2020-08-18T00:00:00"/>
    <d v="1899-12-30T08:00:00"/>
    <d v="1899-12-31T00:00:00"/>
    <x v="0"/>
    <x v="1"/>
    <n v="3"/>
    <n v="0"/>
    <s v="GBP"/>
    <x v="23"/>
    <n v="3"/>
    <n v="3"/>
    <x v="8"/>
  </r>
  <r>
    <x v="289"/>
    <s v="Guest25@gmail%2Ecom"/>
    <x v="3"/>
    <x v="162"/>
    <d v="2020-08-26T00:00:00"/>
    <d v="2020-08-22T00:00:00"/>
    <d v="1899-12-30T08:00:00"/>
    <d v="1899-12-31T00:00:00"/>
    <x v="0"/>
    <x v="1"/>
    <n v="5"/>
    <n v="0"/>
    <s v="GBP"/>
    <x v="3"/>
    <n v="5"/>
    <n v="1"/>
    <x v="8"/>
  </r>
  <r>
    <x v="254"/>
    <s v="Guest537@gmail.com"/>
    <x v="4"/>
    <x v="163"/>
    <d v="2020-08-27T00:00:00"/>
    <d v="2020-08-17T00:00:00"/>
    <d v="1899-12-30T08:00:00"/>
    <d v="1899-12-31T00:00:00"/>
    <x v="0"/>
    <x v="1"/>
    <n v="6"/>
    <n v="0"/>
    <s v="GBP"/>
    <x v="3"/>
    <n v="6"/>
    <n v="1"/>
    <x v="8"/>
  </r>
  <r>
    <x v="251"/>
    <s v="Guest1@gmail%2Ecom"/>
    <x v="3"/>
    <x v="163"/>
    <d v="2020-08-27T00:00:00"/>
    <d v="2020-08-22T00:00:00"/>
    <d v="1899-12-30T08:00:00"/>
    <d v="1899-12-31T00:00:00"/>
    <x v="0"/>
    <x v="0"/>
    <n v="5"/>
    <n v="0"/>
    <s v="GBP"/>
    <x v="3"/>
    <n v="5"/>
    <n v="1"/>
    <x v="8"/>
  </r>
  <r>
    <x v="290"/>
    <s v="Guest89@gmail%2Ecom"/>
    <x v="1"/>
    <x v="163"/>
    <d v="2020-08-28T00:00:00"/>
    <d v="2020-08-15T00:00:00"/>
    <d v="1899-12-30T14:00:00"/>
    <d v="1899-12-30T11:00:00"/>
    <x v="0"/>
    <x v="1"/>
    <n v="4"/>
    <n v="0"/>
    <s v="GBP"/>
    <x v="11"/>
    <n v="4"/>
    <n v="2"/>
    <x v="8"/>
  </r>
  <r>
    <x v="291"/>
    <s v="Guest540@airbnb.com"/>
    <x v="3"/>
    <x v="164"/>
    <d v="2020-08-29T00:00:00"/>
    <d v="2020-08-08T00:00:00"/>
    <d v="1899-12-30T08:00:00"/>
    <d v="1899-12-31T00:00:00"/>
    <x v="1"/>
    <x v="0"/>
    <n v="1"/>
    <n v="0"/>
    <s v="GBP"/>
    <x v="68"/>
    <n v="1"/>
    <n v="2"/>
    <x v="8"/>
  </r>
  <r>
    <x v="214"/>
    <s v="Guest291@yahoo.com"/>
    <x v="4"/>
    <x v="164"/>
    <d v="2020-08-28T00:00:00"/>
    <d v="2020-08-12T00:00:00"/>
    <d v="1899-12-30T08:00:00"/>
    <d v="1899-12-31T00:00:00"/>
    <x v="0"/>
    <x v="1"/>
    <n v="5"/>
    <n v="0"/>
    <s v="GBP"/>
    <x v="3"/>
    <n v="5"/>
    <n v="1"/>
    <x v="8"/>
  </r>
  <r>
    <x v="292"/>
    <s v="Guest501@airbnb.com"/>
    <x v="1"/>
    <x v="164"/>
    <d v="2020-08-29T00:00:00"/>
    <d v="2020-08-12T00:00:00"/>
    <d v="1899-12-30T14:00:00"/>
    <d v="1899-12-30T11:00:00"/>
    <x v="1"/>
    <x v="0"/>
    <n v="1"/>
    <n v="0"/>
    <s v="GBP"/>
    <x v="9"/>
    <n v="1"/>
    <n v="2"/>
    <x v="8"/>
  </r>
  <r>
    <x v="293"/>
    <s v="Guest13@gmail.com"/>
    <x v="6"/>
    <x v="164"/>
    <d v="2020-08-28T00:00:00"/>
    <d v="2020-08-21T00:00:00"/>
    <d v="1899-12-30T14:00:00"/>
    <d v="1899-12-30T11:00:00"/>
    <x v="0"/>
    <x v="1"/>
    <n v="5"/>
    <n v="0"/>
    <s v="GBP"/>
    <x v="3"/>
    <n v="5"/>
    <n v="1"/>
    <x v="8"/>
  </r>
  <r>
    <x v="210"/>
    <s v="Guest156@slh%2Ecom"/>
    <x v="3"/>
    <x v="164"/>
    <d v="2020-08-28T00:00:00"/>
    <d v="2020-08-26T00:00:00"/>
    <d v="1899-12-30T08:00:00"/>
    <d v="1899-12-31T00:00:00"/>
    <x v="0"/>
    <x v="0"/>
    <n v="3"/>
    <n v="0"/>
    <s v="GBP"/>
    <x v="104"/>
    <n v="3"/>
    <n v="1"/>
    <x v="8"/>
  </r>
  <r>
    <x v="294"/>
    <s v="Guest264@yahoo.co.uk"/>
    <x v="4"/>
    <x v="165"/>
    <d v="2020-08-30T00:00:00"/>
    <d v="2020-07-26T00:00:00"/>
    <d v="1899-12-30T08:00:00"/>
    <d v="1899-12-31T00:00:00"/>
    <x v="0"/>
    <x v="1"/>
    <n v="8"/>
    <n v="0"/>
    <s v="GBP"/>
    <x v="50"/>
    <n v="8"/>
    <n v="2"/>
    <x v="8"/>
  </r>
  <r>
    <x v="294"/>
    <s v="Guest264@yahoo.co.uk"/>
    <x v="6"/>
    <x v="165"/>
    <d v="2020-08-30T00:00:00"/>
    <d v="2020-07-26T00:00:00"/>
    <d v="1899-12-30T14:00:00"/>
    <d v="1899-12-30T11:00:00"/>
    <x v="0"/>
    <x v="1"/>
    <n v="5"/>
    <n v="0"/>
    <s v="GBP"/>
    <x v="11"/>
    <n v="5"/>
    <n v="2"/>
    <x v="8"/>
  </r>
  <r>
    <x v="58"/>
    <s v="Guest415@gmail%2Ecom"/>
    <x v="2"/>
    <x v="165"/>
    <d v="2020-08-31T00:00:00"/>
    <d v="2020-08-02T00:00:00"/>
    <d v="1899-12-30T08:00:00"/>
    <d v="1899-12-31T00:00:00"/>
    <x v="0"/>
    <x v="0"/>
    <n v="4"/>
    <n v="0"/>
    <s v="GBP"/>
    <x v="23"/>
    <n v="4"/>
    <n v="3"/>
    <x v="8"/>
  </r>
  <r>
    <x v="295"/>
    <s v="Guest403@gmail.com"/>
    <x v="3"/>
    <x v="165"/>
    <d v="2020-08-30T00:00:00"/>
    <d v="2020-08-13T00:00:00"/>
    <d v="1899-12-30T08:00:00"/>
    <d v="1899-12-31T00:00:00"/>
    <x v="0"/>
    <x v="1"/>
    <n v="5"/>
    <n v="0"/>
    <s v="GBP"/>
    <x v="11"/>
    <n v="5"/>
    <n v="2"/>
    <x v="8"/>
  </r>
  <r>
    <x v="296"/>
    <s v="Guest538@gmail.com"/>
    <x v="2"/>
    <x v="165"/>
    <d v="2020-08-30T00:00:00"/>
    <d v="2020-08-03T00:00:00"/>
    <d v="1899-12-30T08:00:00"/>
    <d v="1899-12-31T00:00:00"/>
    <x v="0"/>
    <x v="0"/>
    <n v="4"/>
    <n v="0"/>
    <s v="GBP"/>
    <x v="11"/>
    <n v="4"/>
    <n v="2"/>
    <x v="8"/>
  </r>
  <r>
    <x v="288"/>
    <s v="Guest294@gmail.com"/>
    <x v="1"/>
    <x v="165"/>
    <d v="2020-09-01T00:00:00"/>
    <d v="2020-08-18T00:00:00"/>
    <d v="1899-12-30T14:00:00"/>
    <d v="1899-12-30T11:00:00"/>
    <x v="0"/>
    <x v="1"/>
    <n v="3"/>
    <n v="0"/>
    <s v="GBP"/>
    <x v="105"/>
    <n v="3"/>
    <n v="4"/>
    <x v="8"/>
  </r>
  <r>
    <x v="169"/>
    <s v="Guest570@guest.airbnb.com"/>
    <x v="2"/>
    <x v="165"/>
    <d v="2020-08-29T00:00:00"/>
    <d v="2020-08-28T00:00:00"/>
    <d v="1899-12-30T08:00:00"/>
    <d v="1899-12-31T00:00:00"/>
    <x v="0"/>
    <x v="1"/>
    <n v="4"/>
    <n v="0"/>
    <s v="GBP"/>
    <x v="104"/>
    <n v="4"/>
    <n v="1"/>
    <x v="8"/>
  </r>
  <r>
    <x v="297"/>
    <s v="Guest318@gmail.com"/>
    <x v="1"/>
    <x v="166"/>
    <d v="2020-08-30T00:00:00"/>
    <d v="2020-07-07T00:00:00"/>
    <d v="1899-12-30T08:00:00"/>
    <d v="1899-12-31T00:00:00"/>
    <x v="0"/>
    <x v="0"/>
    <n v="4"/>
    <n v="0"/>
    <s v="GBP"/>
    <x v="72"/>
    <n v="4"/>
    <n v="1"/>
    <x v="8"/>
  </r>
  <r>
    <x v="297"/>
    <s v="Guest318@gmail.com"/>
    <x v="2"/>
    <x v="166"/>
    <d v="2020-08-30T00:00:00"/>
    <d v="2020-08-28T00:00:00"/>
    <d v="1899-12-30T08:00:00"/>
    <d v="1899-12-31T00:00:00"/>
    <x v="0"/>
    <x v="1"/>
    <n v="4"/>
    <n v="0"/>
    <s v="GBP"/>
    <x v="104"/>
    <n v="4"/>
    <n v="1"/>
    <x v="8"/>
  </r>
  <r>
    <x v="298"/>
    <s v="Guest445@gmail.com"/>
    <x v="4"/>
    <x v="167"/>
    <d v="2020-09-02T00:00:00"/>
    <d v="2020-08-06T00:00:00"/>
    <d v="1899-12-30T08:00:00"/>
    <d v="1899-12-31T00:00:00"/>
    <x v="0"/>
    <x v="1"/>
    <n v="6"/>
    <n v="0"/>
    <s v="GBP"/>
    <x v="23"/>
    <n v="6"/>
    <n v="3"/>
    <x v="8"/>
  </r>
  <r>
    <x v="298"/>
    <s v="Guest445@gmail.com"/>
    <x v="6"/>
    <x v="167"/>
    <d v="2020-09-02T00:00:00"/>
    <d v="2020-08-06T00:00:00"/>
    <d v="1899-12-30T14:00:00"/>
    <d v="1899-12-30T11:00:00"/>
    <x v="0"/>
    <x v="1"/>
    <n v="4"/>
    <n v="0"/>
    <s v="GBP"/>
    <x v="23"/>
    <n v="4"/>
    <n v="3"/>
    <x v="8"/>
  </r>
  <r>
    <x v="298"/>
    <s v="Guest445@gmail.com"/>
    <x v="3"/>
    <x v="167"/>
    <d v="2020-09-02T00:00:00"/>
    <d v="2020-08-08T00:00:00"/>
    <d v="1899-12-30T08:00:00"/>
    <d v="1899-12-31T00:00:00"/>
    <x v="0"/>
    <x v="1"/>
    <n v="6"/>
    <n v="0"/>
    <s v="GBP"/>
    <x v="23"/>
    <n v="6"/>
    <n v="3"/>
    <x v="8"/>
  </r>
  <r>
    <x v="299"/>
    <s v="Guest3@gmail.com"/>
    <x v="2"/>
    <x v="167"/>
    <d v="2020-09-01T00:00:00"/>
    <d v="2020-08-25T00:00:00"/>
    <d v="1899-12-30T08:00:00"/>
    <d v="1899-12-31T00:00:00"/>
    <x v="0"/>
    <x v="1"/>
    <n v="1"/>
    <n v="0"/>
    <s v="GBP"/>
    <x v="106"/>
    <n v="1"/>
    <n v="2"/>
    <x v="8"/>
  </r>
  <r>
    <x v="210"/>
    <s v="Guest156@slh%2Ecom"/>
    <x v="1"/>
    <x v="167"/>
    <d v="2020-09-01T00:00:00"/>
    <d v="2020-08-24T00:00:00"/>
    <d v="1899-12-30T14:00:00"/>
    <d v="1899-12-30T11:00:00"/>
    <x v="0"/>
    <x v="0"/>
    <n v="4"/>
    <n v="0"/>
    <s v="GBP"/>
    <x v="106"/>
    <n v="4"/>
    <n v="2"/>
    <x v="8"/>
  </r>
  <r>
    <x v="210"/>
    <s v="Guest156@slh%2Ecom"/>
    <x v="1"/>
    <x v="168"/>
    <d v="2020-09-01T00:00:00"/>
    <d v="2020-08-24T00:00:00"/>
    <d v="1899-12-30T14:00:00"/>
    <d v="1899-12-30T11:00:00"/>
    <x v="0"/>
    <x v="0"/>
    <n v="4"/>
    <n v="0"/>
    <s v="GBP"/>
    <x v="104"/>
    <n v="4"/>
    <n v="1"/>
    <x v="8"/>
  </r>
  <r>
    <x v="300"/>
    <s v="Guest399@airbnb.com"/>
    <x v="6"/>
    <x v="169"/>
    <d v="2020-09-08T00:00:00"/>
    <d v="2020-06-23T00:00:00"/>
    <d v="1899-12-30T14:00:00"/>
    <d v="1899-12-30T11:00:00"/>
    <x v="1"/>
    <x v="0"/>
    <n v="4"/>
    <n v="0"/>
    <s v="GBP"/>
    <x v="39"/>
    <n v="4"/>
    <n v="7"/>
    <x v="8"/>
  </r>
  <r>
    <x v="301"/>
    <s v="Guest166@airbnb.com"/>
    <x v="2"/>
    <x v="169"/>
    <d v="2020-09-04T00:00:00"/>
    <d v="2020-08-03T00:00:00"/>
    <d v="1899-12-30T08:00:00"/>
    <d v="1899-12-31T00:00:00"/>
    <x v="1"/>
    <x v="0"/>
    <n v="1"/>
    <n v="0"/>
    <s v="GBP"/>
    <x v="107"/>
    <n v="1"/>
    <n v="3"/>
    <x v="8"/>
  </r>
  <r>
    <x v="302"/>
    <s v="Guest146@yahoo.com"/>
    <x v="1"/>
    <x v="169"/>
    <d v="2020-09-02T00:00:00"/>
    <d v="2020-08-13T00:00:00"/>
    <d v="1899-12-30T14:00:00"/>
    <d v="1899-12-30T11:00:00"/>
    <x v="0"/>
    <x v="1"/>
    <n v="6"/>
    <n v="0"/>
    <s v="GBP"/>
    <x v="3"/>
    <n v="6"/>
    <n v="1"/>
    <x v="8"/>
  </r>
  <r>
    <x v="302"/>
    <s v="Guest146@yahoo.com"/>
    <x v="2"/>
    <x v="169"/>
    <d v="2020-09-02T00:00:00"/>
    <d v="2020-08-13T00:00:00"/>
    <d v="1899-12-30T08:00:00"/>
    <d v="1899-12-31T00:00:00"/>
    <x v="0"/>
    <x v="1"/>
    <n v="6"/>
    <n v="0"/>
    <s v="GBP"/>
    <x v="3"/>
    <n v="6"/>
    <n v="1"/>
    <x v="8"/>
  </r>
  <r>
    <x v="303"/>
    <s v="Guest344@gmail.com"/>
    <x v="5"/>
    <x v="169"/>
    <d v="2020-10-01T00:00:00"/>
    <d v="2020-08-06T00:00:00"/>
    <d v="1899-12-30T14:00:00"/>
    <d v="1899-12-30T11:00:00"/>
    <x v="0"/>
    <x v="0"/>
    <n v="5"/>
    <n v="0"/>
    <s v="GBP"/>
    <x v="108"/>
    <n v="5"/>
    <n v="30"/>
    <x v="8"/>
  </r>
  <r>
    <x v="304"/>
    <s v="Guest160@airbnb.com"/>
    <x v="1"/>
    <x v="170"/>
    <d v="2020-09-10T00:00:00"/>
    <d v="2020-07-23T00:00:00"/>
    <d v="1899-12-30T14:00:00"/>
    <d v="1899-12-30T11:00:00"/>
    <x v="1"/>
    <x v="0"/>
    <n v="2"/>
    <n v="0"/>
    <s v="GBP"/>
    <x v="109"/>
    <n v="2"/>
    <n v="8"/>
    <x v="8"/>
  </r>
  <r>
    <x v="305"/>
    <s v="Guest352@yahoo.com"/>
    <x v="2"/>
    <x v="170"/>
    <d v="2020-09-04T00:00:00"/>
    <d v="2020-08-13T00:00:00"/>
    <d v="1899-12-30T08:00:00"/>
    <d v="1899-12-31T00:00:00"/>
    <x v="0"/>
    <x v="1"/>
    <n v="4"/>
    <n v="0"/>
    <s v="GBP"/>
    <x v="11"/>
    <n v="4"/>
    <n v="2"/>
    <x v="8"/>
  </r>
  <r>
    <x v="257"/>
    <s v="Guest134@yahoo.com"/>
    <x v="3"/>
    <x v="170"/>
    <d v="2020-09-03T00:00:00"/>
    <d v="2020-08-31T00:00:00"/>
    <d v="1899-12-30T08:00:00"/>
    <d v="1899-12-31T00:00:00"/>
    <x v="0"/>
    <x v="0"/>
    <n v="6"/>
    <n v="0"/>
    <s v="GBP"/>
    <x v="104"/>
    <n v="6"/>
    <n v="1"/>
    <x v="8"/>
  </r>
  <r>
    <x v="306"/>
    <s v="Guest120@airbnb.com"/>
    <x v="1"/>
    <x v="170"/>
    <d v="2020-09-03T00:00:00"/>
    <d v="2020-08-29T00:00:00"/>
    <d v="1899-12-30T14:00:00"/>
    <d v="1899-12-30T11:00:00"/>
    <x v="0"/>
    <x v="0"/>
    <n v="4"/>
    <n v="0"/>
    <s v="GBP"/>
    <x v="104"/>
    <n v="4"/>
    <n v="1"/>
    <x v="8"/>
  </r>
  <r>
    <x v="257"/>
    <s v="Guest134@yahoo.com"/>
    <x v="6"/>
    <x v="170"/>
    <d v="2020-09-03T00:00:00"/>
    <d v="2020-08-31T00:00:00"/>
    <d v="1899-12-30T14:00:00"/>
    <d v="1899-12-30T11:00:00"/>
    <x v="0"/>
    <x v="0"/>
    <n v="5"/>
    <n v="0"/>
    <s v="GBP"/>
    <x v="104"/>
    <n v="5"/>
    <n v="1"/>
    <x v="8"/>
  </r>
  <r>
    <x v="307"/>
    <s v="Guest46@encry.com"/>
    <x v="6"/>
    <x v="170"/>
    <d v="2020-09-06T00:00:00"/>
    <d v="2020-08-31T00:00:00"/>
    <d v="1899-12-30T14:00:00"/>
    <d v="1899-12-30T11:00:00"/>
    <x v="0"/>
    <x v="0"/>
    <n v="4"/>
    <n v="0"/>
    <s v="GBP"/>
    <x v="105"/>
    <n v="4"/>
    <n v="4"/>
    <x v="8"/>
  </r>
  <r>
    <x v="308"/>
    <s v="Guest123@gmail.com"/>
    <x v="1"/>
    <x v="170"/>
    <d v="2020-09-04T00:00:00"/>
    <d v="2020-08-31T00:00:00"/>
    <d v="1899-12-30T14:00:00"/>
    <d v="1899-12-30T11:00:00"/>
    <x v="0"/>
    <x v="0"/>
    <n v="3"/>
    <n v="0"/>
    <s v="GBP"/>
    <x v="106"/>
    <n v="3"/>
    <n v="2"/>
    <x v="8"/>
  </r>
  <r>
    <x v="307"/>
    <s v="Guest46@encry.com"/>
    <x v="1"/>
    <x v="170"/>
    <d v="2020-09-04T00:00:00"/>
    <d v="2020-09-02T00:00:00"/>
    <d v="1899-12-30T14:00:00"/>
    <d v="1899-12-30T11:00:00"/>
    <x v="0"/>
    <x v="0"/>
    <n v="3"/>
    <n v="0"/>
    <s v="GBP"/>
    <x v="104"/>
    <n v="3"/>
    <n v="2"/>
    <x v="8"/>
  </r>
  <r>
    <x v="307"/>
    <s v="Guest46@encry.com"/>
    <x v="1"/>
    <x v="170"/>
    <d v="2020-09-04T00:00:00"/>
    <d v="2020-09-02T00:00:00"/>
    <d v="1899-12-30T14:00:00"/>
    <d v="1899-12-30T11:00:00"/>
    <x v="0"/>
    <x v="1"/>
    <n v="3"/>
    <n v="0"/>
    <s v="GBP"/>
    <x v="106"/>
    <n v="3"/>
    <n v="2"/>
    <x v="8"/>
  </r>
  <r>
    <x v="309"/>
    <s v="Guest397@yahoo.com"/>
    <x v="3"/>
    <x v="170"/>
    <d v="2020-09-03T00:00:00"/>
    <d v="2020-09-02T00:00:00"/>
    <d v="1899-12-30T08:00:00"/>
    <d v="1899-12-31T00:00:00"/>
    <x v="0"/>
    <x v="1"/>
    <n v="4"/>
    <n v="0"/>
    <s v="GBP"/>
    <x v="104"/>
    <n v="4"/>
    <n v="1"/>
    <x v="8"/>
  </r>
  <r>
    <x v="132"/>
    <s v="Guest452@gmail.com"/>
    <x v="4"/>
    <x v="170"/>
    <d v="2020-09-06T00:00:00"/>
    <d v="2020-08-20T00:00:00"/>
    <d v="1899-12-30T08:00:00"/>
    <d v="1899-12-31T00:00:00"/>
    <x v="0"/>
    <x v="1"/>
    <n v="5"/>
    <n v="0"/>
    <s v="GBP"/>
    <x v="105"/>
    <n v="5"/>
    <n v="4"/>
    <x v="8"/>
  </r>
  <r>
    <x v="310"/>
    <s v="Guest396@yahoo.com"/>
    <x v="6"/>
    <x v="170"/>
    <d v="2020-09-03T00:00:00"/>
    <d v="2020-09-07T00:00:00"/>
    <d v="1899-12-30T14:00:00"/>
    <d v="1899-12-30T11:00:00"/>
    <x v="0"/>
    <x v="0"/>
    <n v="3"/>
    <n v="0"/>
    <s v="GBP"/>
    <x v="104"/>
    <n v="3"/>
    <n v="1"/>
    <x v="8"/>
  </r>
  <r>
    <x v="239"/>
    <s v="Guest295@gmail.com"/>
    <x v="6"/>
    <x v="170"/>
    <d v="2020-09-11T00:00:00"/>
    <d v="2020-08-27T00:00:00"/>
    <d v="1899-12-30T14:00:00"/>
    <d v="1899-12-30T11:00:00"/>
    <x v="0"/>
    <x v="1"/>
    <n v="4"/>
    <n v="0"/>
    <s v="GBP"/>
    <x v="110"/>
    <n v="4"/>
    <n v="9"/>
    <x v="8"/>
  </r>
  <r>
    <x v="306"/>
    <s v="Guest120@airbnb.com"/>
    <x v="1"/>
    <x v="171"/>
    <d v="2020-09-04T00:00:00"/>
    <d v="2020-08-29T00:00:00"/>
    <d v="1899-12-30T14:00:00"/>
    <d v="1899-12-30T11:00:00"/>
    <x v="0"/>
    <x v="0"/>
    <n v="4"/>
    <n v="0"/>
    <s v="GBP"/>
    <x v="104"/>
    <n v="4"/>
    <n v="1"/>
    <x v="8"/>
  </r>
  <r>
    <x v="311"/>
    <s v="Guest229@airbnb%2Ecom"/>
    <x v="1"/>
    <x v="171"/>
    <d v="2020-09-04T00:00:00"/>
    <d v="2020-09-02T00:00:00"/>
    <d v="1899-12-30T14:00:00"/>
    <d v="1899-12-30T11:00:00"/>
    <x v="0"/>
    <x v="0"/>
    <n v="3"/>
    <n v="0"/>
    <s v="GBP"/>
    <x v="104"/>
    <n v="3"/>
    <n v="1"/>
    <x v="8"/>
  </r>
  <r>
    <x v="312"/>
    <s v="Guest392@gmail.com"/>
    <x v="3"/>
    <x v="171"/>
    <d v="2020-09-04T00:00:00"/>
    <d v="2020-09-03T00:00:00"/>
    <d v="1899-12-30T08:00:00"/>
    <d v="1899-12-31T00:00:00"/>
    <x v="0"/>
    <x v="1"/>
    <n v="4"/>
    <n v="0"/>
    <s v="GBP"/>
    <x v="104"/>
    <n v="4"/>
    <n v="1"/>
    <x v="8"/>
  </r>
  <r>
    <x v="313"/>
    <s v="Guest215@airbnb.com"/>
    <x v="2"/>
    <x v="172"/>
    <d v="2020-09-06T00:00:00"/>
    <d v="2020-06-18T00:00:00"/>
    <d v="1899-12-30T08:00:00"/>
    <d v="1899-12-31T00:00:00"/>
    <x v="1"/>
    <x v="0"/>
    <n v="4"/>
    <n v="0"/>
    <s v="GBP"/>
    <x v="51"/>
    <n v="4"/>
    <n v="2"/>
    <x v="8"/>
  </r>
  <r>
    <x v="314"/>
    <s v="Guest337@gmail.com"/>
    <x v="1"/>
    <x v="172"/>
    <d v="2020-09-06T00:00:00"/>
    <d v="2020-07-26T00:00:00"/>
    <d v="1899-12-30T14:00:00"/>
    <d v="1899-12-30T11:00:00"/>
    <x v="0"/>
    <x v="1"/>
    <n v="3"/>
    <n v="0"/>
    <s v="GBP"/>
    <x v="11"/>
    <n v="3"/>
    <n v="2"/>
    <x v="8"/>
  </r>
  <r>
    <x v="315"/>
    <s v="Guest24@gmail.com"/>
    <x v="3"/>
    <x v="172"/>
    <d v="2020-09-05T00:00:00"/>
    <d v="2020-08-23T00:00:00"/>
    <d v="1899-12-30T08:00:00"/>
    <d v="1899-12-31T00:00:00"/>
    <x v="0"/>
    <x v="0"/>
    <n v="5"/>
    <n v="0"/>
    <s v="GBP"/>
    <x v="3"/>
    <n v="5"/>
    <n v="1"/>
    <x v="8"/>
  </r>
  <r>
    <x v="289"/>
    <s v="Guest25@gmail%2Ecom"/>
    <x v="6"/>
    <x v="172"/>
    <d v="2020-09-05T00:00:00"/>
    <d v="2020-08-23T00:00:00"/>
    <d v="1899-12-30T14:00:00"/>
    <d v="1899-12-30T11:00:00"/>
    <x v="0"/>
    <x v="0"/>
    <n v="5"/>
    <n v="0"/>
    <s v="GBP"/>
    <x v="3"/>
    <n v="5"/>
    <n v="1"/>
    <x v="8"/>
  </r>
  <r>
    <x v="316"/>
    <s v="Guest443@airbnb.com"/>
    <x v="3"/>
    <x v="172"/>
    <d v="2020-09-06T00:00:00"/>
    <d v="2020-08-31T00:00:00"/>
    <d v="1899-12-30T08:00:00"/>
    <d v="1899-12-31T00:00:00"/>
    <x v="1"/>
    <x v="0"/>
    <n v="4"/>
    <n v="0"/>
    <s v="GBP"/>
    <x v="68"/>
    <n v="4"/>
    <n v="2"/>
    <x v="8"/>
  </r>
  <r>
    <x v="315"/>
    <s v="Guest24@gmail.com"/>
    <x v="2"/>
    <x v="172"/>
    <d v="2020-09-05T00:00:00"/>
    <d v="2020-08-14T00:00:00"/>
    <d v="1899-12-30T08:00:00"/>
    <d v="1899-12-31T00:00:00"/>
    <x v="0"/>
    <x v="1"/>
    <n v="4"/>
    <n v="0"/>
    <s v="GBP"/>
    <x v="104"/>
    <n v="4"/>
    <n v="1"/>
    <x v="8"/>
  </r>
  <r>
    <x v="317"/>
    <s v="Guest366@gmail.com"/>
    <x v="3"/>
    <x v="172"/>
    <d v="2020-09-08T00:00:00"/>
    <d v="2020-08-31T00:00:00"/>
    <d v="1899-12-30T08:00:00"/>
    <d v="1899-12-31T00:00:00"/>
    <x v="0"/>
    <x v="0"/>
    <n v="4"/>
    <n v="0"/>
    <s v="GBP"/>
    <x v="105"/>
    <n v="4"/>
    <n v="4"/>
    <x v="8"/>
  </r>
  <r>
    <x v="317"/>
    <s v="Guest366@gmail.com"/>
    <x v="3"/>
    <x v="172"/>
    <d v="2020-09-08T00:00:00"/>
    <d v="2020-09-02T00:00:00"/>
    <d v="1899-12-30T08:00:00"/>
    <d v="1899-12-31T00:00:00"/>
    <x v="0"/>
    <x v="1"/>
    <n v="4"/>
    <n v="0"/>
    <s v="GBP"/>
    <x v="105"/>
    <n v="4"/>
    <n v="4"/>
    <x v="8"/>
  </r>
  <r>
    <x v="318"/>
    <s v="Guest388@airbnb.com"/>
    <x v="4"/>
    <x v="173"/>
    <d v="2020-09-08T00:00:00"/>
    <d v="2020-08-21T00:00:00"/>
    <d v="1899-12-30T08:00:00"/>
    <d v="1899-12-31T00:00:00"/>
    <x v="1"/>
    <x v="0"/>
    <n v="1"/>
    <n v="0"/>
    <s v="GBP"/>
    <x v="26"/>
    <n v="1"/>
    <n v="3"/>
    <x v="8"/>
  </r>
  <r>
    <x v="319"/>
    <s v="Guest220@airbnb.com"/>
    <x v="4"/>
    <x v="173"/>
    <d v="2020-09-08T00:00:00"/>
    <d v="2020-08-21T00:00:00"/>
    <d v="1899-12-30T08:00:00"/>
    <d v="1899-12-31T00:00:00"/>
    <x v="1"/>
    <x v="0"/>
    <n v="1"/>
    <n v="0"/>
    <s v="GBP"/>
    <x v="26"/>
    <n v="1"/>
    <n v="3"/>
    <x v="8"/>
  </r>
  <r>
    <x v="320"/>
    <s v="Guest404@airbnb.com"/>
    <x v="4"/>
    <x v="173"/>
    <d v="2020-09-08T00:00:00"/>
    <d v="2020-08-21T00:00:00"/>
    <d v="1899-12-30T08:00:00"/>
    <d v="1899-12-31T00:00:00"/>
    <x v="1"/>
    <x v="0"/>
    <n v="6"/>
    <n v="0"/>
    <s v="GBP"/>
    <x v="26"/>
    <n v="6"/>
    <n v="3"/>
    <x v="8"/>
  </r>
  <r>
    <x v="321"/>
    <s v="Guest27@airbnb.com"/>
    <x v="3"/>
    <x v="173"/>
    <d v="2020-09-07T00:00:00"/>
    <d v="2020-08-30T00:00:00"/>
    <d v="1899-12-30T08:00:00"/>
    <d v="1899-12-31T00:00:00"/>
    <x v="1"/>
    <x v="0"/>
    <n v="4"/>
    <n v="0"/>
    <s v="GBP"/>
    <x v="68"/>
    <n v="4"/>
    <n v="2"/>
    <x v="8"/>
  </r>
  <r>
    <x v="322"/>
    <s v="Guest248@encry.com"/>
    <x v="2"/>
    <x v="173"/>
    <d v="2020-09-06T00:00:00"/>
    <d v="2020-09-01T00:00:00"/>
    <d v="1899-12-30T08:00:00"/>
    <d v="1899-12-31T00:00:00"/>
    <x v="4"/>
    <x v="0"/>
    <n v="6"/>
    <n v="0"/>
    <s v="GBP"/>
    <x v="85"/>
    <n v="6"/>
    <n v="1"/>
    <x v="8"/>
  </r>
  <r>
    <x v="197"/>
    <s v="Guest289@yahoo%2Ecom"/>
    <x v="2"/>
    <x v="173"/>
    <d v="2020-09-06T00:00:00"/>
    <d v="2020-09-03T00:00:00"/>
    <d v="1899-12-30T08:00:00"/>
    <d v="1899-12-31T00:00:00"/>
    <x v="0"/>
    <x v="0"/>
    <n v="6"/>
    <n v="0"/>
    <s v="GBP"/>
    <x v="104"/>
    <n v="6"/>
    <n v="1"/>
    <x v="8"/>
  </r>
  <r>
    <x v="244"/>
    <s v="Guest232@gmail.com"/>
    <x v="4"/>
    <x v="173"/>
    <d v="2020-09-06T00:00:00"/>
    <d v="2020-09-01T00:00:00"/>
    <d v="1899-12-30T08:00:00"/>
    <d v="1899-12-31T00:00:00"/>
    <x v="0"/>
    <x v="0"/>
    <n v="5"/>
    <n v="0"/>
    <s v="GBP"/>
    <x v="104"/>
    <n v="5"/>
    <n v="1"/>
    <x v="8"/>
  </r>
  <r>
    <x v="322"/>
    <s v="Guest248@encry.com"/>
    <x v="2"/>
    <x v="173"/>
    <d v="2020-09-06T00:00:00"/>
    <d v="2020-09-03T00:00:00"/>
    <d v="1899-12-30T08:00:00"/>
    <d v="1899-12-31T00:00:00"/>
    <x v="0"/>
    <x v="1"/>
    <n v="6"/>
    <n v="0"/>
    <s v="GBP"/>
    <x v="104"/>
    <n v="6"/>
    <n v="1"/>
    <x v="8"/>
  </r>
  <r>
    <x v="289"/>
    <s v="Guest25@gmail%2Ecom"/>
    <x v="1"/>
    <x v="174"/>
    <d v="2020-09-07T00:00:00"/>
    <d v="2020-09-04T00:00:00"/>
    <d v="1899-12-30T14:00:00"/>
    <d v="1899-12-30T11:00:00"/>
    <x v="0"/>
    <x v="0"/>
    <n v="6"/>
    <n v="0"/>
    <s v="GBP"/>
    <x v="104"/>
    <n v="6"/>
    <n v="1"/>
    <x v="8"/>
  </r>
  <r>
    <x v="308"/>
    <s v="Guest123@gmail.com"/>
    <x v="2"/>
    <x v="174"/>
    <d v="2020-09-08T00:00:00"/>
    <d v="2020-09-03T00:00:00"/>
    <d v="1899-12-30T08:00:00"/>
    <d v="1899-12-31T00:00:00"/>
    <x v="0"/>
    <x v="1"/>
    <n v="5"/>
    <n v="0"/>
    <s v="GBP"/>
    <x v="106"/>
    <n v="5"/>
    <n v="2"/>
    <x v="8"/>
  </r>
  <r>
    <x v="323"/>
    <s v="Guest436@yahoo.com"/>
    <x v="1"/>
    <x v="174"/>
    <d v="2020-09-07T00:00:00"/>
    <d v="2020-09-06T00:00:00"/>
    <d v="1899-12-30T14:00:00"/>
    <d v="1899-12-30T11:00:00"/>
    <x v="0"/>
    <x v="1"/>
    <n v="5"/>
    <n v="0"/>
    <s v="GBP"/>
    <x v="104"/>
    <n v="5"/>
    <n v="1"/>
    <x v="8"/>
  </r>
  <r>
    <x v="324"/>
    <s v="Guest470@yahoo.co.uk"/>
    <x v="3"/>
    <x v="174"/>
    <d v="2020-09-07T00:00:00"/>
    <d v="2020-09-21T00:00:00"/>
    <d v="1899-12-30T08:00:00"/>
    <d v="1899-12-31T00:00:00"/>
    <x v="0"/>
    <x v="0"/>
    <n v="1"/>
    <n v="0"/>
    <s v="GBP"/>
    <x v="111"/>
    <n v="1"/>
    <n v="1"/>
    <x v="8"/>
  </r>
  <r>
    <x v="325"/>
    <s v="Guest487@gmail.com"/>
    <x v="4"/>
    <x v="175"/>
    <d v="2020-09-08T00:00:00"/>
    <d v="2020-08-30T00:00:00"/>
    <d v="1899-12-30T08:00:00"/>
    <d v="1899-12-31T00:00:00"/>
    <x v="0"/>
    <x v="1"/>
    <n v="6"/>
    <n v="0"/>
    <s v="GBP"/>
    <x v="104"/>
    <n v="6"/>
    <n v="1"/>
    <x v="8"/>
  </r>
  <r>
    <x v="326"/>
    <s v="Guest338@gmail.com"/>
    <x v="1"/>
    <x v="175"/>
    <d v="2020-09-08T00:00:00"/>
    <d v="2020-09-01T00:00:00"/>
    <d v="1899-12-30T14:00:00"/>
    <d v="1899-12-30T11:00:00"/>
    <x v="0"/>
    <x v="1"/>
    <n v="7"/>
    <n v="0"/>
    <s v="GBP"/>
    <x v="112"/>
    <n v="7"/>
    <n v="1"/>
    <x v="8"/>
  </r>
  <r>
    <x v="308"/>
    <s v="Guest123@gmail.com"/>
    <x v="3"/>
    <x v="175"/>
    <d v="2020-09-08T00:00:00"/>
    <d v="2020-09-03T00:00:00"/>
    <d v="1899-12-30T08:00:00"/>
    <d v="1899-12-31T00:00:00"/>
    <x v="0"/>
    <x v="0"/>
    <n v="5"/>
    <n v="0"/>
    <s v="GBP"/>
    <x v="104"/>
    <n v="5"/>
    <n v="1"/>
    <x v="8"/>
  </r>
  <r>
    <x v="325"/>
    <s v="Guest487@gmail.com"/>
    <x v="3"/>
    <x v="176"/>
    <d v="2020-09-10T00:00:00"/>
    <d v="2020-08-30T00:00:00"/>
    <d v="1899-12-30T08:00:00"/>
    <d v="1899-12-31T00:00:00"/>
    <x v="0"/>
    <x v="1"/>
    <n v="6"/>
    <n v="0"/>
    <s v="GBP"/>
    <x v="106"/>
    <n v="6"/>
    <n v="2"/>
    <x v="8"/>
  </r>
  <r>
    <x v="251"/>
    <s v="Guest1@gmail%2Ecom"/>
    <x v="2"/>
    <x v="176"/>
    <d v="2020-09-13T00:00:00"/>
    <d v="2020-08-30T00:00:00"/>
    <d v="1899-12-30T08:00:00"/>
    <d v="1899-12-31T00:00:00"/>
    <x v="0"/>
    <x v="0"/>
    <n v="6"/>
    <n v="0"/>
    <s v="GBP"/>
    <x v="113"/>
    <n v="6"/>
    <n v="5"/>
    <x v="8"/>
  </r>
  <r>
    <x v="224"/>
    <s v="Guest99@gmail%2Ecom"/>
    <x v="1"/>
    <x v="176"/>
    <d v="2020-09-09T00:00:00"/>
    <d v="2020-09-01T00:00:00"/>
    <d v="1899-12-30T14:00:00"/>
    <d v="1899-12-30T11:00:00"/>
    <x v="0"/>
    <x v="0"/>
    <n v="6"/>
    <n v="0"/>
    <s v="GBP"/>
    <x v="104"/>
    <n v="6"/>
    <n v="1"/>
    <x v="8"/>
  </r>
  <r>
    <x v="327"/>
    <s v="Guest364@gmail.com"/>
    <x v="4"/>
    <x v="176"/>
    <d v="2020-09-11T00:00:00"/>
    <d v="2020-09-03T00:00:00"/>
    <d v="1899-12-30T08:00:00"/>
    <d v="1899-12-31T00:00:00"/>
    <x v="0"/>
    <x v="1"/>
    <n v="4"/>
    <n v="0"/>
    <s v="GBP"/>
    <x v="114"/>
    <n v="4"/>
    <n v="3"/>
    <x v="8"/>
  </r>
  <r>
    <x v="326"/>
    <s v="Guest338@gmail.com"/>
    <x v="2"/>
    <x v="176"/>
    <d v="2020-09-13T00:00:00"/>
    <d v="2020-08-31T00:00:00"/>
    <d v="1899-12-30T08:00:00"/>
    <d v="1899-12-31T00:00:00"/>
    <x v="0"/>
    <x v="1"/>
    <n v="6"/>
    <n v="0"/>
    <s v="GBP"/>
    <x v="113"/>
    <n v="6"/>
    <n v="5"/>
    <x v="8"/>
  </r>
  <r>
    <x v="328"/>
    <s v="Guest323@airbnb.com"/>
    <x v="2"/>
    <x v="176"/>
    <d v="2020-09-10T00:00:00"/>
    <d v="2020-08-28T00:00:00"/>
    <d v="1899-12-30T08:00:00"/>
    <d v="1899-12-31T00:00:00"/>
    <x v="1"/>
    <x v="0"/>
    <n v="1"/>
    <n v="0"/>
    <s v="GBP"/>
    <x v="9"/>
    <n v="1"/>
    <n v="2"/>
    <x v="8"/>
  </r>
  <r>
    <x v="329"/>
    <s v="Guest52@yahoo%2Ecom"/>
    <x v="3"/>
    <x v="177"/>
    <d v="2020-09-13T00:00:00"/>
    <d v="2020-09-09T00:00:00"/>
    <d v="1899-12-30T08:00:00"/>
    <d v="1899-12-31T00:00:00"/>
    <x v="0"/>
    <x v="1"/>
    <n v="6"/>
    <n v="0"/>
    <s v="GBP"/>
    <x v="114"/>
    <n v="6"/>
    <n v="3"/>
    <x v="8"/>
  </r>
  <r>
    <x v="330"/>
    <s v="Guest418@gmail.com"/>
    <x v="1"/>
    <x v="177"/>
    <d v="2020-09-11T00:00:00"/>
    <d v="2020-09-10T00:00:00"/>
    <d v="1899-12-30T14:00:00"/>
    <d v="1899-12-30T11:00:00"/>
    <x v="0"/>
    <x v="1"/>
    <n v="4"/>
    <n v="0"/>
    <s v="GBP"/>
    <x v="104"/>
    <n v="4"/>
    <n v="1"/>
    <x v="8"/>
  </r>
  <r>
    <x v="331"/>
    <s v="Guest121@airbnb.com"/>
    <x v="2"/>
    <x v="178"/>
    <d v="2020-09-15T00:00:00"/>
    <d v="2020-06-27T00:00:00"/>
    <d v="1899-12-30T08:00:00"/>
    <d v="1899-12-31T00:00:00"/>
    <x v="1"/>
    <x v="0"/>
    <n v="3"/>
    <n v="0"/>
    <s v="GBP"/>
    <x v="115"/>
    <n v="3"/>
    <n v="4"/>
    <x v="8"/>
  </r>
  <r>
    <x v="332"/>
    <s v="Guest94@airbnb.com"/>
    <x v="2"/>
    <x v="178"/>
    <d v="2020-09-13T00:00:00"/>
    <d v="2020-08-28T00:00:00"/>
    <d v="1899-12-30T08:00:00"/>
    <d v="1899-12-31T00:00:00"/>
    <x v="1"/>
    <x v="0"/>
    <n v="4"/>
    <n v="0"/>
    <s v="GBP"/>
    <x v="9"/>
    <n v="4"/>
    <n v="2"/>
    <x v="8"/>
  </r>
  <r>
    <x v="140"/>
    <s v="Guest212@gmail.com"/>
    <x v="6"/>
    <x v="178"/>
    <d v="2020-09-13T00:00:00"/>
    <d v="2020-08-31T00:00:00"/>
    <d v="1899-12-30T14:00:00"/>
    <d v="1899-12-30T11:00:00"/>
    <x v="0"/>
    <x v="1"/>
    <n v="5"/>
    <n v="0"/>
    <s v="GBP"/>
    <x v="106"/>
    <n v="5"/>
    <n v="2"/>
    <x v="8"/>
  </r>
  <r>
    <x v="315"/>
    <s v="Guest24@gmail.com"/>
    <x v="3"/>
    <x v="178"/>
    <d v="2020-09-12T00:00:00"/>
    <d v="2020-08-28T00:00:00"/>
    <d v="1899-12-30T08:00:00"/>
    <d v="1899-12-31T00:00:00"/>
    <x v="0"/>
    <x v="0"/>
    <n v="4"/>
    <n v="0"/>
    <s v="GBP"/>
    <x v="104"/>
    <n v="4"/>
    <n v="1"/>
    <x v="8"/>
  </r>
  <r>
    <x v="333"/>
    <s v="Guest75@gmail.com"/>
    <x v="3"/>
    <x v="178"/>
    <d v="2020-09-13T00:00:00"/>
    <d v="2020-09-02T00:00:00"/>
    <d v="1899-12-30T08:00:00"/>
    <d v="1899-12-31T00:00:00"/>
    <x v="0"/>
    <x v="0"/>
    <n v="4"/>
    <n v="0"/>
    <s v="GBP"/>
    <x v="106"/>
    <n v="4"/>
    <n v="2"/>
    <x v="8"/>
  </r>
  <r>
    <x v="334"/>
    <s v="Guest87@yahoo.com"/>
    <x v="1"/>
    <x v="178"/>
    <d v="2020-09-13T00:00:00"/>
    <d v="2020-08-01T00:00:00"/>
    <d v="1899-12-30T14:00:00"/>
    <d v="1899-12-30T11:00:00"/>
    <x v="0"/>
    <x v="1"/>
    <n v="4"/>
    <n v="0"/>
    <s v="GBP"/>
    <x v="116"/>
    <n v="4"/>
    <n v="2"/>
    <x v="8"/>
  </r>
  <r>
    <x v="335"/>
    <s v="Guest17@gmail.com"/>
    <x v="4"/>
    <x v="178"/>
    <d v="2020-09-12T00:00:00"/>
    <d v="2020-08-02T00:00:00"/>
    <d v="1899-12-30T08:00:00"/>
    <d v="1899-12-31T00:00:00"/>
    <x v="0"/>
    <x v="1"/>
    <n v="5"/>
    <n v="0"/>
    <s v="GBP"/>
    <x v="111"/>
    <n v="5"/>
    <n v="1"/>
    <x v="8"/>
  </r>
  <r>
    <x v="336"/>
    <s v="Guest412@airbnb.com"/>
    <x v="2"/>
    <x v="179"/>
    <d v="2020-09-14T00:00:00"/>
    <d v="2020-08-23T00:00:00"/>
    <d v="1899-12-30T08:00:00"/>
    <d v="1899-12-31T00:00:00"/>
    <x v="1"/>
    <x v="0"/>
    <n v="2"/>
    <n v="0"/>
    <s v="GBP"/>
    <x v="9"/>
    <n v="2"/>
    <n v="2"/>
    <x v="8"/>
  </r>
  <r>
    <x v="337"/>
    <s v="Guest270@airbnb.com"/>
    <x v="7"/>
    <x v="179"/>
    <d v="2020-09-13T00:00:00"/>
    <d v="2020-09-05T00:00:00"/>
    <d v="1899-12-30T11:00:00"/>
    <d v="1899-12-30T10:00:00"/>
    <x v="1"/>
    <x v="0"/>
    <n v="7"/>
    <n v="0"/>
    <s v="GBP"/>
    <x v="117"/>
    <n v="7"/>
    <n v="1"/>
    <x v="8"/>
  </r>
  <r>
    <x v="58"/>
    <s v="Guest415@gmail%2Ecom"/>
    <x v="5"/>
    <x v="180"/>
    <d v="2020-09-18T00:00:00"/>
    <d v="2020-08-04T00:00:00"/>
    <d v="1899-12-30T14:00:00"/>
    <d v="1899-12-30T11:00:00"/>
    <x v="0"/>
    <x v="0"/>
    <n v="5"/>
    <n v="0"/>
    <s v="GBP"/>
    <x v="65"/>
    <n v="5"/>
    <n v="5"/>
    <x v="8"/>
  </r>
  <r>
    <x v="338"/>
    <s v="Guest305@airbnb.com"/>
    <x v="2"/>
    <x v="180"/>
    <d v="2020-09-15T00:00:00"/>
    <d v="2020-09-01T00:00:00"/>
    <d v="1899-12-30T08:00:00"/>
    <d v="1899-12-31T00:00:00"/>
    <x v="1"/>
    <x v="0"/>
    <n v="5"/>
    <n v="0"/>
    <s v="GBP"/>
    <x v="51"/>
    <n v="5"/>
    <n v="2"/>
    <x v="8"/>
  </r>
  <r>
    <x v="132"/>
    <s v="Guest452@gmail.com"/>
    <x v="4"/>
    <x v="180"/>
    <d v="2020-09-15T00:00:00"/>
    <d v="2020-08-20T00:00:00"/>
    <d v="1899-12-30T08:00:00"/>
    <d v="1899-12-31T00:00:00"/>
    <x v="0"/>
    <x v="1"/>
    <n v="6"/>
    <n v="0"/>
    <s v="GBP"/>
    <x v="106"/>
    <n v="6"/>
    <n v="2"/>
    <x v="8"/>
  </r>
  <r>
    <x v="339"/>
    <s v="Guest175@gmail.com"/>
    <x v="2"/>
    <x v="180"/>
    <d v="2020-09-16T00:00:00"/>
    <d v="2020-09-05T00:00:00"/>
    <d v="1899-12-30T08:00:00"/>
    <d v="1899-12-31T00:00:00"/>
    <x v="0"/>
    <x v="1"/>
    <n v="4"/>
    <n v="0"/>
    <s v="GBP"/>
    <x v="114"/>
    <n v="4"/>
    <n v="3"/>
    <x v="8"/>
  </r>
  <r>
    <x v="329"/>
    <s v="Guest52@yahoo%2Ecom"/>
    <x v="6"/>
    <x v="180"/>
    <d v="2020-09-14T00:00:00"/>
    <d v="2020-09-09T00:00:00"/>
    <d v="1899-12-30T14:00:00"/>
    <d v="1899-12-30T11:00:00"/>
    <x v="0"/>
    <x v="1"/>
    <n v="4"/>
    <n v="0"/>
    <s v="GBP"/>
    <x v="104"/>
    <n v="4"/>
    <n v="1"/>
    <x v="8"/>
  </r>
  <r>
    <x v="304"/>
    <s v="Guest160@airbnb.com"/>
    <x v="3"/>
    <x v="181"/>
    <d v="2020-09-21T00:00:00"/>
    <d v="2020-08-20T00:00:00"/>
    <d v="1899-12-30T08:00:00"/>
    <d v="1899-12-31T00:00:00"/>
    <x v="1"/>
    <x v="0"/>
    <n v="5"/>
    <n v="0"/>
    <s v="GBP"/>
    <x v="118"/>
    <n v="5"/>
    <n v="7"/>
    <x v="8"/>
  </r>
  <r>
    <x v="340"/>
    <s v="Guest4@airbnb.com"/>
    <x v="1"/>
    <x v="181"/>
    <d v="2020-09-15T00:00:00"/>
    <d v="2020-09-01T00:00:00"/>
    <d v="1899-12-30T14:00:00"/>
    <d v="1899-12-30T11:00:00"/>
    <x v="0"/>
    <x v="0"/>
    <n v="6"/>
    <n v="0"/>
    <s v="GBP"/>
    <x v="104"/>
    <n v="6"/>
    <n v="1"/>
    <x v="8"/>
  </r>
  <r>
    <x v="341"/>
    <s v="Guest342@gmail.com"/>
    <x v="6"/>
    <x v="181"/>
    <d v="2020-09-15T00:00:00"/>
    <d v="2020-09-12T00:00:00"/>
    <d v="1899-12-30T14:00:00"/>
    <d v="1899-12-30T11:00:00"/>
    <x v="0"/>
    <x v="1"/>
    <n v="6"/>
    <n v="0"/>
    <s v="GBP"/>
    <x v="104"/>
    <n v="6"/>
    <n v="1"/>
    <x v="8"/>
  </r>
  <r>
    <x v="342"/>
    <s v="Guest493@gmail.com"/>
    <x v="3"/>
    <x v="181"/>
    <d v="2020-09-15T00:00:00"/>
    <d v="2020-09-07T00:00:00"/>
    <d v="1899-12-30T08:00:00"/>
    <d v="1899-12-31T00:00:00"/>
    <x v="0"/>
    <x v="0"/>
    <n v="4"/>
    <n v="0"/>
    <s v="GBP"/>
    <x v="111"/>
    <n v="4"/>
    <n v="1"/>
    <x v="8"/>
  </r>
  <r>
    <x v="343"/>
    <s v="Guest437@gmail.com"/>
    <x v="3"/>
    <x v="181"/>
    <d v="2020-09-17T00:00:00"/>
    <d v="2020-09-14T00:00:00"/>
    <d v="1899-12-30T08:00:00"/>
    <d v="1899-12-31T00:00:00"/>
    <x v="0"/>
    <x v="1"/>
    <n v="6"/>
    <n v="0"/>
    <s v="GBP"/>
    <x v="119"/>
    <n v="6"/>
    <n v="3"/>
    <x v="8"/>
  </r>
  <r>
    <x v="344"/>
    <s v="Guest472@airbnb.com"/>
    <x v="2"/>
    <x v="182"/>
    <d v="2020-09-17T00:00:00"/>
    <d v="2020-08-19T00:00:00"/>
    <d v="1899-12-30T08:00:00"/>
    <d v="1899-12-31T00:00:00"/>
    <x v="1"/>
    <x v="0"/>
    <n v="4"/>
    <n v="0"/>
    <s v="GBP"/>
    <x v="9"/>
    <n v="4"/>
    <n v="2"/>
    <x v="8"/>
  </r>
  <r>
    <x v="132"/>
    <s v="Guest452@gmail.com"/>
    <x v="4"/>
    <x v="182"/>
    <d v="2020-09-18T00:00:00"/>
    <d v="2020-08-20T00:00:00"/>
    <d v="1899-12-30T08:00:00"/>
    <d v="1899-12-31T00:00:00"/>
    <x v="0"/>
    <x v="1"/>
    <n v="5"/>
    <n v="0"/>
    <s v="GBP"/>
    <x v="23"/>
    <n v="5"/>
    <n v="3"/>
    <x v="8"/>
  </r>
  <r>
    <x v="132"/>
    <s v="Guest452@gmail.com"/>
    <x v="6"/>
    <x v="182"/>
    <d v="2020-09-17T00:00:00"/>
    <d v="2020-09-14T00:00:00"/>
    <d v="1899-12-30T14:00:00"/>
    <d v="1899-12-30T11:00:00"/>
    <x v="0"/>
    <x v="1"/>
    <n v="4"/>
    <n v="0"/>
    <s v="GBP"/>
    <x v="116"/>
    <n v="4"/>
    <n v="2"/>
    <x v="8"/>
  </r>
  <r>
    <x v="345"/>
    <s v="Guest463@yahoo.com"/>
    <x v="1"/>
    <x v="182"/>
    <d v="2020-09-16T00:00:00"/>
    <d v="2020-09-14T00:00:00"/>
    <d v="1899-12-30T14:00:00"/>
    <d v="1899-12-30T11:00:00"/>
    <x v="0"/>
    <x v="1"/>
    <n v="4"/>
    <n v="0"/>
    <s v="GBP"/>
    <x v="111"/>
    <n v="4"/>
    <n v="1"/>
    <x v="8"/>
  </r>
  <r>
    <x v="346"/>
    <s v="Guest106@airbnb.com"/>
    <x v="2"/>
    <x v="183"/>
    <d v="2020-09-18T00:00:00"/>
    <d v="2020-08-29T00:00:00"/>
    <d v="1899-12-30T08:00:00"/>
    <d v="1899-12-31T00:00:00"/>
    <x v="1"/>
    <x v="0"/>
    <n v="1"/>
    <n v="0"/>
    <s v="GBP"/>
    <x v="9"/>
    <n v="1"/>
    <n v="2"/>
    <x v="8"/>
  </r>
  <r>
    <x v="347"/>
    <s v="Guest331@gmail.com"/>
    <x v="2"/>
    <x v="183"/>
    <d v="2020-09-18T00:00:00"/>
    <d v="2020-09-08T00:00:00"/>
    <d v="1899-12-30T08:00:00"/>
    <d v="1899-12-31T00:00:00"/>
    <x v="0"/>
    <x v="1"/>
    <n v="4"/>
    <n v="0"/>
    <s v="GBP"/>
    <x v="106"/>
    <n v="4"/>
    <n v="2"/>
    <x v="8"/>
  </r>
  <r>
    <x v="348"/>
    <s v="Guest449@gmail.com"/>
    <x v="1"/>
    <x v="183"/>
    <d v="2020-09-17T00:00:00"/>
    <d v="2020-09-15T00:00:00"/>
    <d v="1899-12-30T14:00:00"/>
    <d v="1899-12-30T11:00:00"/>
    <x v="0"/>
    <x v="1"/>
    <n v="6"/>
    <n v="0"/>
    <s v="GBP"/>
    <x v="111"/>
    <n v="6"/>
    <n v="1"/>
    <x v="8"/>
  </r>
  <r>
    <x v="349"/>
    <s v="Guest249@gmail.com"/>
    <x v="1"/>
    <x v="184"/>
    <d v="2020-09-18T00:00:00"/>
    <d v="2020-09-11T00:00:00"/>
    <d v="1899-12-30T14:00:00"/>
    <d v="1899-12-30T11:00:00"/>
    <x v="0"/>
    <x v="1"/>
    <n v="4"/>
    <n v="0"/>
    <s v="GBP"/>
    <x v="104"/>
    <n v="4"/>
    <n v="1"/>
    <x v="8"/>
  </r>
  <r>
    <x v="350"/>
    <s v="Guest494@gmail.com"/>
    <x v="3"/>
    <x v="184"/>
    <d v="2020-09-18T00:00:00"/>
    <d v="2020-09-14T00:00:00"/>
    <d v="1899-12-30T08:00:00"/>
    <d v="1899-12-31T00:00:00"/>
    <x v="0"/>
    <x v="1"/>
    <n v="5"/>
    <n v="0"/>
    <s v="GBP"/>
    <x v="111"/>
    <n v="5"/>
    <n v="1"/>
    <x v="8"/>
  </r>
  <r>
    <x v="58"/>
    <s v="Guest415@gmail%2Ecom"/>
    <x v="6"/>
    <x v="184"/>
    <d v="2020-09-24T00:00:00"/>
    <d v="2020-08-02T00:00:00"/>
    <d v="1899-12-30T14:00:00"/>
    <d v="1899-12-30T11:00:00"/>
    <x v="0"/>
    <x v="1"/>
    <n v="5"/>
    <n v="0"/>
    <s v="GBP"/>
    <x v="120"/>
    <n v="5"/>
    <n v="7"/>
    <x v="8"/>
  </r>
  <r>
    <x v="351"/>
    <s v="Guest196@gmail.com"/>
    <x v="4"/>
    <x v="185"/>
    <d v="2020-09-21T00:00:00"/>
    <d v="2020-08-06T00:00:00"/>
    <d v="1899-12-30T08:00:00"/>
    <d v="1899-12-31T00:00:00"/>
    <x v="0"/>
    <x v="1"/>
    <n v="2"/>
    <n v="0"/>
    <s v="GBP"/>
    <x v="3"/>
    <n v="2"/>
    <n v="3"/>
    <x v="8"/>
  </r>
  <r>
    <x v="352"/>
    <s v="Guest373@yahoo.co.uk"/>
    <x v="2"/>
    <x v="185"/>
    <d v="2020-09-20T00:00:00"/>
    <d v="2020-08-13T00:00:00"/>
    <d v="1899-12-30T08:00:00"/>
    <d v="1899-12-31T00:00:00"/>
    <x v="0"/>
    <x v="1"/>
    <n v="6"/>
    <n v="0"/>
    <s v="GBP"/>
    <x v="3"/>
    <n v="6"/>
    <n v="2"/>
    <x v="8"/>
  </r>
  <r>
    <x v="352"/>
    <s v="Guest373@yahoo.co.uk"/>
    <x v="1"/>
    <x v="185"/>
    <d v="2020-09-20T00:00:00"/>
    <d v="2020-08-14T00:00:00"/>
    <d v="1899-12-30T14:00:00"/>
    <d v="1899-12-30T11:00:00"/>
    <x v="0"/>
    <x v="1"/>
    <n v="6"/>
    <n v="0"/>
    <s v="GBP"/>
    <x v="11"/>
    <n v="6"/>
    <n v="2"/>
    <x v="8"/>
  </r>
  <r>
    <x v="353"/>
    <s v="Guest378@gmail.com"/>
    <x v="3"/>
    <x v="185"/>
    <d v="2020-09-20T00:00:00"/>
    <d v="2020-08-31T00:00:00"/>
    <d v="1899-12-30T08:00:00"/>
    <d v="1899-12-31T00:00:00"/>
    <x v="0"/>
    <x v="0"/>
    <n v="6"/>
    <n v="0"/>
    <s v="GBP"/>
    <x v="106"/>
    <n v="6"/>
    <n v="2"/>
    <x v="8"/>
  </r>
  <r>
    <x v="354"/>
    <s v="Guest375@gmail.com"/>
    <x v="3"/>
    <x v="185"/>
    <d v="2020-09-19T00:00:00"/>
    <d v="2020-09-04T00:00:00"/>
    <d v="1899-12-30T08:00:00"/>
    <d v="1899-12-31T00:00:00"/>
    <x v="0"/>
    <x v="1"/>
    <n v="4"/>
    <n v="0"/>
    <s v="GBP"/>
    <x v="104"/>
    <n v="4"/>
    <n v="1"/>
    <x v="8"/>
  </r>
  <r>
    <x v="355"/>
    <s v="Guest20@airbnb.com"/>
    <x v="4"/>
    <x v="185"/>
    <d v="2020-09-19T00:00:00"/>
    <d v="2020-09-12T00:00:00"/>
    <d v="1899-12-30T08:00:00"/>
    <d v="1899-12-31T00:00:00"/>
    <x v="1"/>
    <x v="0"/>
    <n v="1"/>
    <n v="0"/>
    <s v="GBP"/>
    <x v="121"/>
    <n v="1"/>
    <n v="1"/>
    <x v="8"/>
  </r>
  <r>
    <x v="356"/>
    <s v="Guest495@airbnb.com"/>
    <x v="2"/>
    <x v="186"/>
    <d v="2020-09-20T00:00:00"/>
    <d v="2020-06-25T00:00:00"/>
    <d v="1899-12-30T08:00:00"/>
    <d v="1899-12-31T00:00:00"/>
    <x v="1"/>
    <x v="0"/>
    <n v="4"/>
    <n v="0"/>
    <s v="GBP"/>
    <x v="32"/>
    <n v="4"/>
    <n v="1"/>
    <x v="8"/>
  </r>
  <r>
    <x v="357"/>
    <s v="Guest435@airbnb.com"/>
    <x v="7"/>
    <x v="186"/>
    <d v="2020-09-20T00:00:00"/>
    <d v="2020-08-22T00:00:00"/>
    <d v="1899-12-30T11:00:00"/>
    <d v="1899-12-30T10:00:00"/>
    <x v="1"/>
    <x v="0"/>
    <n v="8"/>
    <n v="0"/>
    <s v="GBP"/>
    <x v="32"/>
    <n v="8"/>
    <n v="1"/>
    <x v="8"/>
  </r>
  <r>
    <x v="358"/>
    <s v="Guest241@gmail.com"/>
    <x v="3"/>
    <x v="186"/>
    <d v="2020-09-20T00:00:00"/>
    <d v="2020-09-01T00:00:00"/>
    <d v="1899-12-30T08:00:00"/>
    <d v="1899-12-31T00:00:00"/>
    <x v="0"/>
    <x v="1"/>
    <n v="4"/>
    <n v="0"/>
    <s v="GBP"/>
    <x v="104"/>
    <n v="4"/>
    <n v="1"/>
    <x v="8"/>
  </r>
  <r>
    <x v="307"/>
    <s v="Guest46@encry.com"/>
    <x v="6"/>
    <x v="187"/>
    <d v="2020-09-24T00:00:00"/>
    <d v="2020-09-01T00:00:00"/>
    <d v="1899-12-30T14:00:00"/>
    <d v="1899-12-30T11:00:00"/>
    <x v="0"/>
    <x v="0"/>
    <n v="4"/>
    <n v="0"/>
    <s v="GBP"/>
    <x v="105"/>
    <n v="4"/>
    <n v="4"/>
    <x v="8"/>
  </r>
  <r>
    <x v="359"/>
    <s v="Guest98@gmail.com"/>
    <x v="2"/>
    <x v="187"/>
    <d v="2020-09-21T00:00:00"/>
    <d v="2020-09-09T00:00:00"/>
    <d v="1899-12-30T08:00:00"/>
    <d v="1899-12-31T00:00:00"/>
    <x v="0"/>
    <x v="1"/>
    <n v="4"/>
    <n v="0"/>
    <s v="GBP"/>
    <x v="104"/>
    <n v="4"/>
    <n v="1"/>
    <x v="8"/>
  </r>
  <r>
    <x v="10"/>
    <s v="Guest204@gmail.com"/>
    <x v="1"/>
    <x v="187"/>
    <d v="2020-09-26T00:00:00"/>
    <d v="2020-09-09T00:00:00"/>
    <d v="1899-12-30T14:00:00"/>
    <d v="1899-12-30T11:00:00"/>
    <x v="0"/>
    <x v="1"/>
    <n v="3"/>
    <n v="0"/>
    <s v="GBP"/>
    <x v="122"/>
    <n v="3"/>
    <n v="6"/>
    <x v="8"/>
  </r>
  <r>
    <x v="360"/>
    <s v="Guest286@airbnb.com"/>
    <x v="3"/>
    <x v="187"/>
    <d v="2020-09-22T00:00:00"/>
    <d v="2020-09-15T00:00:00"/>
    <d v="1899-12-30T08:00:00"/>
    <d v="1899-12-31T00:00:00"/>
    <x v="1"/>
    <x v="0"/>
    <n v="2"/>
    <n v="0"/>
    <s v="GBP"/>
    <x v="123"/>
    <n v="2"/>
    <n v="2"/>
    <x v="8"/>
  </r>
  <r>
    <x v="361"/>
    <s v="Guest8@gmail.com"/>
    <x v="3"/>
    <x v="187"/>
    <d v="2020-09-22T00:00:00"/>
    <d v="2020-09-17T00:00:00"/>
    <d v="1899-12-30T08:00:00"/>
    <d v="1899-12-31T00:00:00"/>
    <x v="0"/>
    <x v="1"/>
    <n v="4"/>
    <n v="0"/>
    <s v="GBP"/>
    <x v="116"/>
    <n v="4"/>
    <n v="2"/>
    <x v="8"/>
  </r>
  <r>
    <x v="132"/>
    <s v="Guest452@gmail.com"/>
    <x v="4"/>
    <x v="188"/>
    <d v="2020-09-27T00:00:00"/>
    <d v="2020-08-20T00:00:00"/>
    <d v="1899-12-30T08:00:00"/>
    <d v="1899-12-31T00:00:00"/>
    <x v="0"/>
    <x v="0"/>
    <n v="4"/>
    <n v="0"/>
    <s v="GBP"/>
    <x v="25"/>
    <n v="4"/>
    <n v="6"/>
    <x v="8"/>
  </r>
  <r>
    <x v="132"/>
    <s v="Guest452@gmail.com"/>
    <x v="4"/>
    <x v="188"/>
    <d v="2020-09-27T00:00:00"/>
    <d v="2020-09-05T00:00:00"/>
    <d v="1899-12-30T08:00:00"/>
    <d v="1899-12-31T00:00:00"/>
    <x v="0"/>
    <x v="1"/>
    <n v="4"/>
    <n v="0"/>
    <s v="GBP"/>
    <x v="122"/>
    <n v="4"/>
    <n v="6"/>
    <x v="8"/>
  </r>
  <r>
    <x v="351"/>
    <s v="Guest196@gmail.com"/>
    <x v="6"/>
    <x v="188"/>
    <d v="2020-09-22T00:00:00"/>
    <d v="2020-09-07T00:00:00"/>
    <d v="1899-12-30T14:00:00"/>
    <d v="1899-12-30T11:00:00"/>
    <x v="0"/>
    <x v="0"/>
    <n v="4"/>
    <n v="0"/>
    <s v="GBP"/>
    <x v="104"/>
    <n v="4"/>
    <n v="1"/>
    <x v="8"/>
  </r>
  <r>
    <x v="351"/>
    <s v="Guest196@gmail.com"/>
    <x v="2"/>
    <x v="188"/>
    <d v="2020-09-22T00:00:00"/>
    <d v="2020-09-20T00:00:00"/>
    <d v="1899-12-30T08:00:00"/>
    <d v="1899-12-31T00:00:00"/>
    <x v="0"/>
    <x v="1"/>
    <n v="4"/>
    <n v="0"/>
    <s v="GBP"/>
    <x v="111"/>
    <n v="4"/>
    <n v="1"/>
    <x v="8"/>
  </r>
  <r>
    <x v="362"/>
    <s v="Guest53@gmail%2Ecom"/>
    <x v="2"/>
    <x v="189"/>
    <d v="2020-09-23T00:00:00"/>
    <d v="2020-09-10T00:00:00"/>
    <d v="1899-12-30T08:00:00"/>
    <d v="1899-12-31T00:00:00"/>
    <x v="0"/>
    <x v="0"/>
    <n v="5"/>
    <n v="0"/>
    <s v="GBP"/>
    <x v="104"/>
    <n v="5"/>
    <n v="1"/>
    <x v="8"/>
  </r>
  <r>
    <x v="362"/>
    <s v="Guest53@gmail%2Ecom"/>
    <x v="3"/>
    <x v="189"/>
    <d v="2020-09-24T00:00:00"/>
    <d v="2020-09-10T00:00:00"/>
    <d v="1899-12-30T08:00:00"/>
    <d v="1899-12-31T00:00:00"/>
    <x v="0"/>
    <x v="1"/>
    <n v="6"/>
    <n v="0"/>
    <s v="GBP"/>
    <x v="106"/>
    <n v="6"/>
    <n v="2"/>
    <x v="8"/>
  </r>
  <r>
    <x v="210"/>
    <s v="Guest156@slh%2Ecom"/>
    <x v="2"/>
    <x v="189"/>
    <d v="2020-09-23T00:00:00"/>
    <d v="2020-09-12T00:00:00"/>
    <d v="1899-12-30T08:00:00"/>
    <d v="1899-12-31T00:00:00"/>
    <x v="0"/>
    <x v="0"/>
    <n v="4"/>
    <n v="0"/>
    <s v="GBP"/>
    <x v="104"/>
    <n v="4"/>
    <n v="1"/>
    <x v="8"/>
  </r>
  <r>
    <x v="363"/>
    <s v="Guest183@airbnb.com"/>
    <x v="2"/>
    <x v="190"/>
    <d v="2020-10-04T00:00:00"/>
    <d v="2020-06-18T00:00:00"/>
    <d v="1899-12-30T08:00:00"/>
    <d v="1899-12-31T00:00:00"/>
    <x v="1"/>
    <x v="0"/>
    <n v="1"/>
    <n v="0"/>
    <s v="GBP"/>
    <x v="124"/>
    <n v="1"/>
    <n v="10"/>
    <x v="8"/>
  </r>
  <r>
    <x v="269"/>
    <s v="Guest66@gmail%2Ecom"/>
    <x v="3"/>
    <x v="190"/>
    <d v="2020-09-25T00:00:00"/>
    <d v="2020-09-22T00:00:00"/>
    <d v="1899-12-30T08:00:00"/>
    <d v="1899-12-31T00:00:00"/>
    <x v="0"/>
    <x v="1"/>
    <n v="10"/>
    <n v="0"/>
    <s v="GBP"/>
    <x v="125"/>
    <n v="10"/>
    <n v="1"/>
    <x v="8"/>
  </r>
  <r>
    <x v="364"/>
    <s v="Guest213@gmail.com"/>
    <x v="2"/>
    <x v="190"/>
    <d v="2020-09-25T00:00:00"/>
    <d v="2020-09-22T00:00:00"/>
    <d v="1899-12-30T08:00:00"/>
    <d v="1899-12-31T00:00:00"/>
    <x v="0"/>
    <x v="1"/>
    <n v="3"/>
    <n v="0"/>
    <s v="GBP"/>
    <x v="111"/>
    <n v="3"/>
    <n v="1"/>
    <x v="8"/>
  </r>
  <r>
    <x v="365"/>
    <s v="Guest553@gmail.com"/>
    <x v="6"/>
    <x v="191"/>
    <d v="2020-09-29T00:00:00"/>
    <d v="2020-08-24T00:00:00"/>
    <d v="1899-12-30T14:00:00"/>
    <d v="1899-12-30T11:00:00"/>
    <x v="0"/>
    <x v="1"/>
    <n v="6"/>
    <n v="0"/>
    <s v="GBP"/>
    <x v="105"/>
    <n v="6"/>
    <n v="4"/>
    <x v="8"/>
  </r>
  <r>
    <x v="353"/>
    <s v="Guest378@gmail.com"/>
    <x v="2"/>
    <x v="191"/>
    <d v="2020-09-27T00:00:00"/>
    <d v="2020-09-01T00:00:00"/>
    <d v="1899-12-30T08:00:00"/>
    <d v="1899-12-31T00:00:00"/>
    <x v="0"/>
    <x v="1"/>
    <n v="6"/>
    <n v="0"/>
    <s v="GBP"/>
    <x v="106"/>
    <n v="6"/>
    <n v="2"/>
    <x v="8"/>
  </r>
  <r>
    <x v="353"/>
    <s v="Guest378@gmail.com"/>
    <x v="3"/>
    <x v="191"/>
    <d v="2020-09-27T00:00:00"/>
    <d v="2020-09-01T00:00:00"/>
    <d v="1899-12-30T08:00:00"/>
    <d v="1899-12-31T00:00:00"/>
    <x v="0"/>
    <x v="0"/>
    <n v="6"/>
    <n v="0"/>
    <s v="GBP"/>
    <x v="106"/>
    <n v="6"/>
    <n v="2"/>
    <x v="8"/>
  </r>
  <r>
    <x v="366"/>
    <s v="Guest467@gmail.com"/>
    <x v="5"/>
    <x v="191"/>
    <d v="2020-09-30T00:00:00"/>
    <d v="2020-09-09T00:00:00"/>
    <d v="1899-12-30T14:00:00"/>
    <d v="1899-12-30T11:00:00"/>
    <x v="0"/>
    <x v="1"/>
    <n v="6"/>
    <n v="0"/>
    <s v="GBP"/>
    <x v="126"/>
    <n v="6"/>
    <n v="5"/>
    <x v="8"/>
  </r>
  <r>
    <x v="88"/>
    <s v="Guest275@airbnb.com"/>
    <x v="3"/>
    <x v="192"/>
    <d v="2020-09-29T00:00:00"/>
    <d v="2020-08-27T00:00:00"/>
    <d v="1899-12-30T08:00:00"/>
    <d v="1899-12-31T00:00:00"/>
    <x v="0"/>
    <x v="0"/>
    <n v="4"/>
    <n v="0"/>
    <s v="GBP"/>
    <x v="114"/>
    <n v="4"/>
    <n v="3"/>
    <x v="8"/>
  </r>
  <r>
    <x v="88"/>
    <s v="Guest275@airbnb.com"/>
    <x v="1"/>
    <x v="192"/>
    <d v="2020-09-29T00:00:00"/>
    <d v="2020-08-30T00:00:00"/>
    <d v="1899-12-30T14:00:00"/>
    <d v="1899-12-30T11:00:00"/>
    <x v="0"/>
    <x v="1"/>
    <n v="6"/>
    <n v="0"/>
    <s v="GBP"/>
    <x v="114"/>
    <n v="6"/>
    <n v="3"/>
    <x v="8"/>
  </r>
  <r>
    <x v="367"/>
    <s v="Guest195@airbnb.com"/>
    <x v="3"/>
    <x v="193"/>
    <d v="2020-09-30T00:00:00"/>
    <d v="2020-05-19T00:00:00"/>
    <d v="1899-12-30T08:00:00"/>
    <d v="1899-12-31T00:00:00"/>
    <x v="1"/>
    <x v="0"/>
    <n v="1"/>
    <n v="0"/>
    <s v="GBP"/>
    <x v="127"/>
    <n v="1"/>
    <n v="3"/>
    <x v="8"/>
  </r>
  <r>
    <x v="132"/>
    <s v="Guest452@gmail.com"/>
    <x v="4"/>
    <x v="193"/>
    <d v="2020-09-30T00:00:00"/>
    <d v="2020-09-05T00:00:00"/>
    <d v="1899-12-30T08:00:00"/>
    <d v="1899-12-31T00:00:00"/>
    <x v="0"/>
    <x v="0"/>
    <n v="4"/>
    <n v="0"/>
    <s v="GBP"/>
    <x v="114"/>
    <n v="4"/>
    <n v="3"/>
    <x v="8"/>
  </r>
  <r>
    <x v="368"/>
    <s v="Guest383@gmail.com"/>
    <x v="3"/>
    <x v="193"/>
    <d v="2020-10-02T00:00:00"/>
    <d v="2020-09-10T00:00:00"/>
    <d v="1899-12-30T08:00:00"/>
    <d v="1899-12-31T00:00:00"/>
    <x v="0"/>
    <x v="1"/>
    <n v="3"/>
    <n v="0"/>
    <s v="GBP"/>
    <x v="113"/>
    <n v="3"/>
    <n v="5"/>
    <x v="8"/>
  </r>
  <r>
    <x v="369"/>
    <s v="Guest504@airbnb.com"/>
    <x v="1"/>
    <x v="194"/>
    <d v="2020-10-02T00:00:00"/>
    <d v="2020-09-10T00:00:00"/>
    <d v="1899-12-30T14:00:00"/>
    <d v="1899-12-30T11:00:00"/>
    <x v="1"/>
    <x v="0"/>
    <n v="1"/>
    <n v="0"/>
    <s v="GBP"/>
    <x v="128"/>
    <n v="1"/>
    <n v="3"/>
    <x v="8"/>
  </r>
  <r>
    <x v="370"/>
    <s v="Guest178@yahoo.com"/>
    <x v="6"/>
    <x v="194"/>
    <d v="2020-10-01T00:00:00"/>
    <d v="2020-09-22T00:00:00"/>
    <d v="1899-12-30T14:00:00"/>
    <d v="1899-12-30T11:00:00"/>
    <x v="0"/>
    <x v="1"/>
    <n v="4"/>
    <n v="0"/>
    <s v="GBP"/>
    <x v="116"/>
    <n v="4"/>
    <n v="2"/>
    <x v="8"/>
  </r>
  <r>
    <x v="1"/>
    <s v="Guest205@gmail.com"/>
    <x v="2"/>
    <x v="194"/>
    <d v="2020-10-01T00:00:00"/>
    <d v="2020-09-23T00:00:00"/>
    <d v="1899-12-30T08:00:00"/>
    <d v="1899-12-31T00:00:00"/>
    <x v="0"/>
    <x v="1"/>
    <n v="3"/>
    <n v="0"/>
    <s v="GBP"/>
    <x v="116"/>
    <n v="3"/>
    <n v="2"/>
    <x v="8"/>
  </r>
  <r>
    <x v="371"/>
    <s v="Guest157@airbnb.com"/>
    <x v="7"/>
    <x v="195"/>
    <d v="2020-10-03T00:00:00"/>
    <d v="2020-09-11T00:00:00"/>
    <d v="1899-12-30T11:00:00"/>
    <d v="1899-12-30T10:00:00"/>
    <x v="1"/>
    <x v="0"/>
    <n v="3"/>
    <n v="0"/>
    <s v="GBP"/>
    <x v="129"/>
    <n v="3"/>
    <n v="2"/>
    <x v="8"/>
  </r>
  <r>
    <x v="372"/>
    <s v="Guest355@yahoo.com"/>
    <x v="1"/>
    <x v="195"/>
    <d v="2020-10-02T00:00:00"/>
    <d v="2020-09-24T00:00:00"/>
    <d v="1899-12-30T14:00:00"/>
    <d v="1899-12-30T11:00:00"/>
    <x v="0"/>
    <x v="1"/>
    <n v="4"/>
    <n v="0"/>
    <s v="GBP"/>
    <x v="111"/>
    <n v="4"/>
    <n v="1"/>
    <x v="8"/>
  </r>
  <r>
    <x v="373"/>
    <s v="Guest132@airbnb.com"/>
    <x v="6"/>
    <x v="195"/>
    <d v="2020-10-03T00:00:00"/>
    <d v="2020-10-01T00:00:00"/>
    <d v="1899-12-30T14:00:00"/>
    <d v="1899-12-30T11:00:00"/>
    <x v="0"/>
    <x v="0"/>
    <n v="4"/>
    <n v="0"/>
    <s v="GBP"/>
    <x v="116"/>
    <n v="4"/>
    <n v="2"/>
    <x v="8"/>
  </r>
  <r>
    <x v="373"/>
    <s v="Guest132@airbnb.com"/>
    <x v="6"/>
    <x v="195"/>
    <d v="2020-10-03T00:00:00"/>
    <d v="2020-10-01T00:00:00"/>
    <d v="1899-12-30T14:00:00"/>
    <d v="1899-12-30T11:00:00"/>
    <x v="1"/>
    <x v="1"/>
    <n v="4"/>
    <n v="0"/>
    <s v="GBP"/>
    <x v="116"/>
    <n v="4"/>
    <n v="2"/>
    <x v="8"/>
  </r>
  <r>
    <x v="374"/>
    <s v="Guest572@yahoo.com"/>
    <x v="3"/>
    <x v="196"/>
    <d v="2020-10-03T00:00:00"/>
    <d v="2020-09-25T00:00:00"/>
    <d v="1899-12-30T08:00:00"/>
    <d v="1899-12-31T00:00:00"/>
    <x v="0"/>
    <x v="1"/>
    <n v="6"/>
    <n v="0"/>
    <s v="GBP"/>
    <x v="111"/>
    <n v="6"/>
    <n v="1"/>
    <x v="8"/>
  </r>
  <r>
    <x v="375"/>
    <s v="Guest128@gmail.com"/>
    <x v="4"/>
    <x v="196"/>
    <d v="2020-10-04T00:00:00"/>
    <d v="2020-09-02T00:00:00"/>
    <d v="1899-12-30T08:00:00"/>
    <d v="1899-12-31T00:00:00"/>
    <x v="0"/>
    <x v="1"/>
    <n v="4"/>
    <n v="0"/>
    <s v="GBP"/>
    <x v="116"/>
    <n v="4"/>
    <n v="2"/>
    <x v="8"/>
  </r>
  <r>
    <x v="252"/>
    <s v="Guest103@gmail%2Ecom"/>
    <x v="5"/>
    <x v="196"/>
    <d v="2020-10-04T00:00:00"/>
    <d v="2020-09-20T00:00:00"/>
    <d v="1899-12-30T14:00:00"/>
    <d v="1899-12-30T11:00:00"/>
    <x v="0"/>
    <x v="1"/>
    <n v="5"/>
    <n v="0"/>
    <s v="GBP"/>
    <x v="130"/>
    <n v="5"/>
    <n v="2"/>
    <x v="8"/>
  </r>
  <r>
    <x v="376"/>
    <s v="Guest147@gmail.com"/>
    <x v="3"/>
    <x v="197"/>
    <d v="2020-10-05T00:00:00"/>
    <d v="2020-09-17T00:00:00"/>
    <d v="1899-12-30T08:00:00"/>
    <d v="1899-12-31T00:00:00"/>
    <x v="0"/>
    <x v="1"/>
    <n v="5"/>
    <n v="0"/>
    <s v="GBP"/>
    <x v="116"/>
    <n v="5"/>
    <n v="2"/>
    <x v="8"/>
  </r>
  <r>
    <x v="252"/>
    <s v="Guest103@gmail%2Ecom"/>
    <x v="7"/>
    <x v="197"/>
    <d v="2020-10-05T00:00:00"/>
    <d v="2020-10-02T00:00:00"/>
    <d v="1899-12-30T14:00:00"/>
    <d v="1899-12-30T12:00:00"/>
    <x v="0"/>
    <x v="1"/>
    <n v="5"/>
    <n v="0"/>
    <s v="GBP"/>
    <x v="130"/>
    <n v="5"/>
    <n v="2"/>
    <x v="8"/>
  </r>
  <r>
    <x v="197"/>
    <s v="Guest289@yahoo%2Ecom"/>
    <x v="5"/>
    <x v="198"/>
    <d v="2020-10-15T00:00:00"/>
    <d v="2020-09-23T00:00:00"/>
    <d v="1899-12-30T14:00:00"/>
    <d v="1899-12-30T11:00:00"/>
    <x v="0"/>
    <x v="0"/>
    <n v="3"/>
    <n v="0"/>
    <s v="GBP"/>
    <x v="131"/>
    <n v="3"/>
    <n v="11"/>
    <x v="8"/>
  </r>
  <r>
    <x v="377"/>
    <s v="Guest235@yahoo.com"/>
    <x v="1"/>
    <x v="198"/>
    <d v="2020-10-05T00:00:00"/>
    <d v="2020-09-30T00:00:00"/>
    <d v="1899-12-30T14:00:00"/>
    <d v="1899-12-30T11:00:00"/>
    <x v="0"/>
    <x v="1"/>
    <n v="4"/>
    <n v="0"/>
    <s v="GBP"/>
    <x v="111"/>
    <n v="4"/>
    <n v="1"/>
    <x v="8"/>
  </r>
  <r>
    <x v="325"/>
    <s v="Guest487@gmail.com"/>
    <x v="4"/>
    <x v="198"/>
    <d v="2020-10-05T00:00:00"/>
    <d v="2020-09-13T00:00:00"/>
    <d v="1899-12-30T08:00:00"/>
    <d v="1899-12-31T00:00:00"/>
    <x v="0"/>
    <x v="0"/>
    <n v="5"/>
    <n v="0"/>
    <s v="GBP"/>
    <x v="111"/>
    <n v="5"/>
    <n v="1"/>
    <x v="8"/>
  </r>
  <r>
    <x v="378"/>
    <s v="Guest490@gmail.com"/>
    <x v="4"/>
    <x v="198"/>
    <d v="2020-10-05T00:00:00"/>
    <d v="2020-10-02T00:00:00"/>
    <d v="1899-12-30T12:00:00"/>
    <d v="1899-12-30T14:00:00"/>
    <x v="0"/>
    <x v="1"/>
    <n v="4"/>
    <n v="0"/>
    <s v="GBP"/>
    <x v="111"/>
    <n v="4"/>
    <n v="1"/>
    <x v="8"/>
  </r>
  <r>
    <x v="379"/>
    <s v="Guest203@gmail%2Ecom"/>
    <x v="5"/>
    <x v="198"/>
    <d v="2020-10-08T00:00:00"/>
    <d v="2020-09-28T00:00:00"/>
    <d v="1899-12-30T14:00:00"/>
    <d v="1899-12-30T11:00:00"/>
    <x v="0"/>
    <x v="1"/>
    <n v="4"/>
    <n v="0"/>
    <s v="GBP"/>
    <x v="132"/>
    <n v="4"/>
    <n v="4"/>
    <x v="8"/>
  </r>
  <r>
    <x v="380"/>
    <s v="Guest37@yahoo.com"/>
    <x v="1"/>
    <x v="199"/>
    <d v="2020-10-07T00:00:00"/>
    <d v="2020-09-10T00:00:00"/>
    <d v="1899-12-30T14:00:00"/>
    <d v="1899-12-30T11:00:00"/>
    <x v="0"/>
    <x v="1"/>
    <n v="4"/>
    <n v="0"/>
    <s v="GBP"/>
    <x v="106"/>
    <n v="4"/>
    <n v="2"/>
    <x v="8"/>
  </r>
  <r>
    <x v="299"/>
    <s v="Guest3@gmail.com"/>
    <x v="3"/>
    <x v="199"/>
    <d v="2020-10-09T00:00:00"/>
    <d v="2020-09-17T00:00:00"/>
    <d v="1899-12-30T08:00:00"/>
    <d v="1899-12-31T00:00:00"/>
    <x v="0"/>
    <x v="0"/>
    <n v="3"/>
    <n v="0"/>
    <s v="GBP"/>
    <x v="133"/>
    <n v="3"/>
    <n v="4"/>
    <x v="8"/>
  </r>
  <r>
    <x v="381"/>
    <s v="Guest167@airbnb.com"/>
    <x v="2"/>
    <x v="199"/>
    <d v="2020-10-07T00:00:00"/>
    <d v="2020-09-23T00:00:00"/>
    <d v="1899-12-30T08:00:00"/>
    <d v="1899-12-31T00:00:00"/>
    <x v="1"/>
    <x v="0"/>
    <n v="1"/>
    <n v="0"/>
    <s v="GBP"/>
    <x v="134"/>
    <n v="1"/>
    <n v="2"/>
    <x v="8"/>
  </r>
  <r>
    <x v="381"/>
    <s v="Guest167@airbnb.com"/>
    <x v="3"/>
    <x v="199"/>
    <d v="2020-10-07T00:00:00"/>
    <d v="2020-09-23T00:00:00"/>
    <d v="1899-12-30T08:00:00"/>
    <d v="1899-12-31T00:00:00"/>
    <x v="1"/>
    <x v="0"/>
    <n v="1"/>
    <n v="0"/>
    <s v="GBP"/>
    <x v="135"/>
    <n v="1"/>
    <n v="2"/>
    <x v="8"/>
  </r>
  <r>
    <x v="382"/>
    <s v="Guest224@airbnb.com"/>
    <x v="2"/>
    <x v="199"/>
    <d v="2020-10-16T00:00:00"/>
    <d v="2020-09-27T00:00:00"/>
    <d v="1899-12-30T08:00:00"/>
    <d v="1899-12-31T00:00:00"/>
    <x v="1"/>
    <x v="0"/>
    <n v="2"/>
    <n v="0"/>
    <s v="GBP"/>
    <x v="136"/>
    <n v="2"/>
    <n v="11"/>
    <x v="8"/>
  </r>
  <r>
    <x v="240"/>
    <s v="Guest72@gmail%2Ecom"/>
    <x v="4"/>
    <x v="199"/>
    <d v="2020-10-07T00:00:00"/>
    <d v="2020-09-03T00:00:00"/>
    <d v="1899-12-30T08:00:00"/>
    <d v="1899-12-31T00:00:00"/>
    <x v="0"/>
    <x v="1"/>
    <n v="4"/>
    <n v="0"/>
    <s v="GBP"/>
    <x v="116"/>
    <n v="4"/>
    <n v="2"/>
    <x v="8"/>
  </r>
  <r>
    <x v="197"/>
    <s v="Guest289@yahoo%2Ecom"/>
    <x v="7"/>
    <x v="199"/>
    <d v="2020-10-09T00:00:00"/>
    <d v="2020-09-03T00:00:00"/>
    <d v="1899-12-30T14:00:00"/>
    <d v="1899-12-30T12:00:00"/>
    <x v="0"/>
    <x v="0"/>
    <n v="4"/>
    <n v="0"/>
    <s v="GBP"/>
    <x v="132"/>
    <n v="4"/>
    <n v="4"/>
    <x v="8"/>
  </r>
  <r>
    <x v="383"/>
    <s v="Guest565@gmail.com"/>
    <x v="3"/>
    <x v="199"/>
    <d v="2020-10-06T00:00:00"/>
    <d v="2020-10-06T00:00:00"/>
    <d v="1899-12-30T08:00:00"/>
    <d v="1899-12-31T00:00:00"/>
    <x v="0"/>
    <x v="1"/>
    <n v="2"/>
    <n v="0"/>
    <s v="GBP"/>
    <x v="111"/>
    <n v="2"/>
    <n v="1"/>
    <x v="8"/>
  </r>
  <r>
    <x v="384"/>
    <s v="Guest271@gmail.com"/>
    <x v="7"/>
    <x v="200"/>
    <d v="2020-10-09T00:00:00"/>
    <d v="2020-10-05T00:00:00"/>
    <d v="1899-12-30T14:00:00"/>
    <d v="1899-12-30T12:00:00"/>
    <x v="0"/>
    <x v="1"/>
    <n v="6"/>
    <n v="0"/>
    <s v="GBP"/>
    <x v="137"/>
    <n v="6"/>
    <n v="3"/>
    <x v="8"/>
  </r>
  <r>
    <x v="385"/>
    <s v="Guest91@yahoo.com"/>
    <x v="2"/>
    <x v="200"/>
    <d v="2020-10-07T00:00:00"/>
    <d v="2020-09-30T00:00:00"/>
    <d v="1899-12-30T08:00:00"/>
    <d v="1899-12-31T00:00:00"/>
    <x v="0"/>
    <x v="1"/>
    <n v="6"/>
    <n v="0"/>
    <s v="GBP"/>
    <x v="111"/>
    <n v="6"/>
    <n v="1"/>
    <x v="8"/>
  </r>
  <r>
    <x v="386"/>
    <s v="Guest547@gmail.com"/>
    <x v="4"/>
    <x v="201"/>
    <d v="2020-10-13T00:00:00"/>
    <d v="2020-08-27T00:00:00"/>
    <d v="1899-12-30T08:00:00"/>
    <d v="1899-12-31T00:00:00"/>
    <x v="0"/>
    <x v="1"/>
    <n v="6"/>
    <n v="0"/>
    <s v="GBP"/>
    <x v="122"/>
    <n v="6"/>
    <n v="6"/>
    <x v="8"/>
  </r>
  <r>
    <x v="387"/>
    <s v="Guest189@airbnb.com"/>
    <x v="7"/>
    <x v="201"/>
    <d v="2020-10-08T00:00:00"/>
    <d v="2020-09-29T00:00:00"/>
    <d v="1899-12-30T14:00:00"/>
    <d v="1899-12-30T12:00:00"/>
    <x v="1"/>
    <x v="0"/>
    <n v="1"/>
    <n v="0"/>
    <s v="GBP"/>
    <x v="138"/>
    <n v="1"/>
    <n v="1"/>
    <x v="8"/>
  </r>
  <r>
    <x v="252"/>
    <s v="Guest103@gmail%2Ecom"/>
    <x v="1"/>
    <x v="201"/>
    <d v="2020-10-09T00:00:00"/>
    <d v="2020-10-06T00:00:00"/>
    <d v="1899-12-30T14:00:00"/>
    <d v="1899-12-30T11:00:00"/>
    <x v="0"/>
    <x v="1"/>
    <n v="5"/>
    <n v="0"/>
    <s v="GBP"/>
    <x v="116"/>
    <n v="5"/>
    <n v="2"/>
    <x v="8"/>
  </r>
  <r>
    <x v="387"/>
    <s v="Guest189@airbnb.com"/>
    <x v="1"/>
    <x v="202"/>
    <d v="2020-10-10T00:00:00"/>
    <d v="2020-10-02T00:00:00"/>
    <d v="1899-12-30T14:00:00"/>
    <d v="1899-12-30T11:00:00"/>
    <x v="1"/>
    <x v="0"/>
    <n v="1"/>
    <n v="0"/>
    <s v="GBP"/>
    <x v="134"/>
    <n v="1"/>
    <n v="2"/>
    <x v="8"/>
  </r>
  <r>
    <x v="388"/>
    <s v="Guest457@gmail.com"/>
    <x v="5"/>
    <x v="202"/>
    <d v="2020-10-13T00:00:00"/>
    <d v="2020-10-03T00:00:00"/>
    <d v="1899-12-30T14:00:00"/>
    <d v="1899-12-30T11:00:00"/>
    <x v="0"/>
    <x v="1"/>
    <n v="6"/>
    <n v="0"/>
    <s v="GBP"/>
    <x v="126"/>
    <n v="6"/>
    <n v="5"/>
    <x v="8"/>
  </r>
  <r>
    <x v="350"/>
    <s v="Guest494@gmail.com"/>
    <x v="2"/>
    <x v="202"/>
    <d v="2020-10-09T00:00:00"/>
    <d v="2020-10-07T00:00:00"/>
    <d v="1899-12-30T08:00:00"/>
    <d v="1899-12-31T00:00:00"/>
    <x v="0"/>
    <x v="1"/>
    <n v="4"/>
    <n v="0"/>
    <s v="GBP"/>
    <x v="111"/>
    <n v="4"/>
    <n v="1"/>
    <x v="8"/>
  </r>
  <r>
    <x v="389"/>
    <s v="Guest125@yahoo.co.uk"/>
    <x v="3"/>
    <x v="202"/>
    <d v="2020-10-09T00:00:00"/>
    <d v="2020-10-02T00:00:00"/>
    <d v="1899-12-30T08:00:00"/>
    <d v="1899-12-31T00:00:00"/>
    <x v="0"/>
    <x v="1"/>
    <n v="3"/>
    <n v="0"/>
    <s v="GBP"/>
    <x v="111"/>
    <n v="3"/>
    <n v="1"/>
    <x v="8"/>
  </r>
  <r>
    <x v="390"/>
    <s v="Guest236@airbnb.com"/>
    <x v="5"/>
    <x v="203"/>
    <d v="2020-10-19T00:00:00"/>
    <d v="2020-09-07T00:00:00"/>
    <d v="1899-12-30T14:00:00"/>
    <d v="1899-12-30T11:00:00"/>
    <x v="1"/>
    <x v="0"/>
    <n v="1"/>
    <n v="0"/>
    <s v="GBP"/>
    <x v="139"/>
    <n v="1"/>
    <n v="10"/>
    <x v="8"/>
  </r>
  <r>
    <x v="390"/>
    <s v="Guest236@airbnb.com"/>
    <x v="1"/>
    <x v="203"/>
    <d v="2020-10-19T00:00:00"/>
    <d v="2020-09-07T00:00:00"/>
    <d v="1899-12-30T14:00:00"/>
    <d v="1899-12-30T11:00:00"/>
    <x v="1"/>
    <x v="0"/>
    <n v="1"/>
    <n v="0"/>
    <s v="GBP"/>
    <x v="140"/>
    <n v="1"/>
    <n v="10"/>
    <x v="8"/>
  </r>
  <r>
    <x v="391"/>
    <s v="Guest427@gmail.com"/>
    <x v="3"/>
    <x v="203"/>
    <d v="2020-10-11T00:00:00"/>
    <d v="2020-09-05T00:00:00"/>
    <d v="1899-12-30T08:00:00"/>
    <d v="1899-12-31T00:00:00"/>
    <x v="0"/>
    <x v="0"/>
    <n v="5"/>
    <n v="0"/>
    <s v="GBP"/>
    <x v="106"/>
    <n v="5"/>
    <n v="2"/>
    <x v="8"/>
  </r>
  <r>
    <x v="391"/>
    <s v="Guest427@gmail.com"/>
    <x v="3"/>
    <x v="203"/>
    <d v="2020-10-11T00:00:00"/>
    <d v="2020-09-05T00:00:00"/>
    <d v="1899-12-30T08:00:00"/>
    <d v="1899-12-31T00:00:00"/>
    <x v="0"/>
    <x v="0"/>
    <n v="5"/>
    <n v="0"/>
    <s v="GBP"/>
    <x v="106"/>
    <n v="5"/>
    <n v="2"/>
    <x v="8"/>
  </r>
  <r>
    <x v="391"/>
    <s v="Guest427@gmail.com"/>
    <x v="3"/>
    <x v="203"/>
    <d v="2020-10-11T00:00:00"/>
    <d v="2020-09-10T00:00:00"/>
    <d v="1899-12-30T08:00:00"/>
    <d v="1899-12-31T00:00:00"/>
    <x v="0"/>
    <x v="0"/>
    <n v="5"/>
    <n v="0"/>
    <s v="GBP"/>
    <x v="106"/>
    <n v="5"/>
    <n v="2"/>
    <x v="8"/>
  </r>
  <r>
    <x v="392"/>
    <s v="Guest231@gmail.com"/>
    <x v="2"/>
    <x v="203"/>
    <d v="2020-10-11T00:00:00"/>
    <d v="2020-09-28T00:00:00"/>
    <d v="1899-12-30T08:00:00"/>
    <d v="1899-12-31T00:00:00"/>
    <x v="0"/>
    <x v="1"/>
    <n v="4"/>
    <n v="0"/>
    <s v="GBP"/>
    <x v="116"/>
    <n v="4"/>
    <n v="2"/>
    <x v="8"/>
  </r>
  <r>
    <x v="69"/>
    <s v="Guest460@gmail.com"/>
    <x v="3"/>
    <x v="203"/>
    <d v="2020-10-20T00:00:00"/>
    <d v="2020-09-10T00:00:00"/>
    <d v="1899-12-30T08:00:00"/>
    <d v="1899-12-31T00:00:00"/>
    <x v="0"/>
    <x v="0"/>
    <n v="5"/>
    <n v="0"/>
    <s v="GBP"/>
    <x v="141"/>
    <n v="5"/>
    <n v="11"/>
    <x v="8"/>
  </r>
  <r>
    <x v="393"/>
    <s v="Guest386@yahoo.com"/>
    <x v="7"/>
    <x v="203"/>
    <d v="2020-10-11T00:00:00"/>
    <d v="2020-09-28T00:00:00"/>
    <d v="1899-12-30T14:00:00"/>
    <d v="1899-12-30T12:00:00"/>
    <x v="0"/>
    <x v="1"/>
    <n v="4"/>
    <n v="0"/>
    <s v="GBP"/>
    <x v="130"/>
    <n v="4"/>
    <n v="2"/>
    <x v="8"/>
  </r>
  <r>
    <x v="251"/>
    <s v="Guest1@gmail%2Ecom"/>
    <x v="1"/>
    <x v="203"/>
    <d v="2020-10-10T00:00:00"/>
    <d v="2020-10-03T00:00:00"/>
    <d v="1899-12-30T14:00:00"/>
    <d v="1899-12-30T11:00:00"/>
    <x v="0"/>
    <x v="0"/>
    <n v="2"/>
    <n v="0"/>
    <s v="GBP"/>
    <x v="111"/>
    <n v="2"/>
    <n v="1"/>
    <x v="8"/>
  </r>
  <r>
    <x v="394"/>
    <s v="Guest559@airbnb.com"/>
    <x v="1"/>
    <x v="203"/>
    <d v="2020-10-11T00:00:00"/>
    <d v="2020-10-06T00:00:00"/>
    <d v="1899-12-30T14:00:00"/>
    <d v="1899-12-30T11:00:00"/>
    <x v="0"/>
    <x v="1"/>
    <n v="4"/>
    <n v="0"/>
    <s v="GBP"/>
    <x v="116"/>
    <n v="4"/>
    <n v="2"/>
    <x v="8"/>
  </r>
  <r>
    <x v="395"/>
    <s v="Guest302@gmail.com"/>
    <x v="3"/>
    <x v="203"/>
    <d v="2020-10-14T00:00:00"/>
    <d v="2020-10-02T00:00:00"/>
    <d v="1899-12-30T08:00:00"/>
    <d v="1899-12-31T00:00:00"/>
    <x v="0"/>
    <x v="1"/>
    <n v="4"/>
    <n v="0"/>
    <s v="GBP"/>
    <x v="142"/>
    <n v="4"/>
    <n v="5"/>
    <x v="8"/>
  </r>
  <r>
    <x v="396"/>
    <s v="Guest221@airbnb.com"/>
    <x v="5"/>
    <x v="204"/>
    <d v="2020-10-18T00:00:00"/>
    <d v="2020-09-08T00:00:00"/>
    <d v="1899-12-30T14:00:00"/>
    <d v="1899-12-30T11:00:00"/>
    <x v="1"/>
    <x v="0"/>
    <n v="4"/>
    <n v="0"/>
    <s v="GBP"/>
    <x v="143"/>
    <n v="4"/>
    <n v="8"/>
    <x v="8"/>
  </r>
  <r>
    <x v="397"/>
    <s v="Guest410@airbnb.com"/>
    <x v="2"/>
    <x v="205"/>
    <d v="2020-10-13T00:00:00"/>
    <d v="2020-10-02T00:00:00"/>
    <d v="1899-12-30T08:00:00"/>
    <d v="1899-12-31T00:00:00"/>
    <x v="1"/>
    <x v="0"/>
    <n v="1"/>
    <n v="0"/>
    <s v="GBP"/>
    <x v="134"/>
    <n v="1"/>
    <n v="2"/>
    <x v="8"/>
  </r>
  <r>
    <x v="398"/>
    <s v="Guest357@yahoo.com"/>
    <x v="7"/>
    <x v="205"/>
    <d v="2020-10-12T00:00:00"/>
    <d v="2020-10-11T00:00:00"/>
    <d v="1899-12-30T14:00:00"/>
    <d v="1899-12-30T12:00:00"/>
    <x v="0"/>
    <x v="0"/>
    <n v="4"/>
    <n v="0"/>
    <s v="GBP"/>
    <x v="144"/>
    <n v="4"/>
    <n v="1"/>
    <x v="8"/>
  </r>
  <r>
    <x v="393"/>
    <s v="Guest386@yahoo.com"/>
    <x v="7"/>
    <x v="206"/>
    <d v="2020-10-14T00:00:00"/>
    <d v="2020-10-02T00:00:00"/>
    <d v="1899-12-30T14:00:00"/>
    <d v="1899-12-30T12:00:00"/>
    <x v="0"/>
    <x v="0"/>
    <n v="6"/>
    <n v="0"/>
    <s v="GBP"/>
    <x v="145"/>
    <n v="6"/>
    <n v="2"/>
    <x v="8"/>
  </r>
  <r>
    <x v="399"/>
    <s v="Guest381@gmail.com"/>
    <x v="2"/>
    <x v="206"/>
    <d v="2020-10-15T00:00:00"/>
    <d v="2020-10-06T00:00:00"/>
    <d v="1899-12-30T08:00:00"/>
    <d v="1899-12-31T00:00:00"/>
    <x v="0"/>
    <x v="1"/>
    <n v="4"/>
    <n v="0"/>
    <s v="GBP"/>
    <x v="119"/>
    <n v="4"/>
    <n v="3"/>
    <x v="8"/>
  </r>
  <r>
    <x v="400"/>
    <s v="Guest238@gmail.com"/>
    <x v="1"/>
    <x v="207"/>
    <d v="2020-10-15T00:00:00"/>
    <d v="2020-10-01T00:00:00"/>
    <d v="1899-12-30T14:00:00"/>
    <d v="1899-12-30T11:00:00"/>
    <x v="0"/>
    <x v="1"/>
    <n v="6"/>
    <n v="0"/>
    <s v="GBP"/>
    <x v="116"/>
    <n v="6"/>
    <n v="2"/>
    <x v="8"/>
  </r>
  <r>
    <x v="67"/>
    <s v="Guest151@careerinsights.tv"/>
    <x v="4"/>
    <x v="207"/>
    <d v="2020-10-14T00:00:00"/>
    <d v="2020-10-10T00:00:00"/>
    <d v="1899-12-30T12:00:00"/>
    <d v="1899-12-30T14:00:00"/>
    <x v="0"/>
    <x v="0"/>
    <n v="1"/>
    <n v="0"/>
    <s v="GBP"/>
    <x v="4"/>
    <n v="1"/>
    <n v="1"/>
    <x v="8"/>
  </r>
  <r>
    <x v="252"/>
    <s v="Guest103@gmail%2Ecom"/>
    <x v="5"/>
    <x v="207"/>
    <d v="2020-10-14T00:00:00"/>
    <d v="2020-10-13T00:00:00"/>
    <d v="1899-12-30T14:00:00"/>
    <d v="1899-12-30T11:00:00"/>
    <x v="0"/>
    <x v="1"/>
    <n v="5"/>
    <n v="0"/>
    <s v="GBP"/>
    <x v="144"/>
    <n v="5"/>
    <n v="1"/>
    <x v="8"/>
  </r>
  <r>
    <x v="252"/>
    <s v="Guest103@gmail%2Ecom"/>
    <x v="5"/>
    <x v="207"/>
    <d v="2020-10-14T00:00:00"/>
    <d v="2020-10-13T00:00:00"/>
    <d v="1899-12-30T14:00:00"/>
    <d v="1899-12-30T11:00:00"/>
    <x v="0"/>
    <x v="1"/>
    <n v="6"/>
    <n v="0"/>
    <s v="GBP"/>
    <x v="146"/>
    <n v="6"/>
    <n v="1"/>
    <x v="8"/>
  </r>
  <r>
    <x v="401"/>
    <s v="Guest194@gmail.com"/>
    <x v="4"/>
    <x v="207"/>
    <d v="2020-10-18T00:00:00"/>
    <d v="2020-10-13T00:00:00"/>
    <d v="1899-12-30T12:00:00"/>
    <d v="1899-12-30T14:00:00"/>
    <x v="0"/>
    <x v="1"/>
    <n v="4"/>
    <n v="0"/>
    <s v="GBP"/>
    <x v="142"/>
    <n v="4"/>
    <n v="5"/>
    <x v="8"/>
  </r>
  <r>
    <x v="386"/>
    <s v="Guest547@gmail.com"/>
    <x v="3"/>
    <x v="208"/>
    <d v="2020-10-16T00:00:00"/>
    <d v="2020-10-07T00:00:00"/>
    <d v="1899-12-30T08:00:00"/>
    <d v="1899-12-31T00:00:00"/>
    <x v="0"/>
    <x v="0"/>
    <n v="3"/>
    <n v="0"/>
    <s v="GBP"/>
    <x v="116"/>
    <n v="3"/>
    <n v="2"/>
    <x v="8"/>
  </r>
  <r>
    <x v="402"/>
    <s v="Guest276@gmail.com"/>
    <x v="5"/>
    <x v="208"/>
    <d v="2020-10-15T00:00:00"/>
    <d v="2020-10-11T00:00:00"/>
    <d v="1899-12-30T14:00:00"/>
    <d v="1899-12-30T11:00:00"/>
    <x v="0"/>
    <x v="1"/>
    <n v="5"/>
    <n v="0"/>
    <s v="GBP"/>
    <x v="146"/>
    <n v="5"/>
    <n v="1"/>
    <x v="8"/>
  </r>
  <r>
    <x v="403"/>
    <s v="Guest222@gmail.com"/>
    <x v="3"/>
    <x v="208"/>
    <d v="2020-10-16T00:00:00"/>
    <d v="2020-10-14T00:00:00"/>
    <d v="1899-12-30T08:00:00"/>
    <d v="1899-12-31T00:00:00"/>
    <x v="0"/>
    <x v="1"/>
    <n v="4"/>
    <n v="0"/>
    <s v="GBP"/>
    <x v="116"/>
    <n v="4"/>
    <n v="2"/>
    <x v="8"/>
  </r>
  <r>
    <x v="404"/>
    <s v="Guest149@yahoo%2Ecom"/>
    <x v="4"/>
    <x v="209"/>
    <d v="2020-10-20T00:00:00"/>
    <d v="2020-10-14T00:00:00"/>
    <d v="1899-12-30T12:00:00"/>
    <d v="1899-12-30T14:00:00"/>
    <x v="0"/>
    <x v="0"/>
    <n v="5"/>
    <n v="0"/>
    <s v="GBP"/>
    <x v="147"/>
    <n v="5"/>
    <n v="5"/>
    <x v="8"/>
  </r>
  <r>
    <x v="405"/>
    <s v="Guest227@yahoo.com"/>
    <x v="7"/>
    <x v="209"/>
    <d v="2020-11-05T00:00:00"/>
    <d v="2020-09-28T00:00:00"/>
    <d v="1899-12-30T14:00:00"/>
    <d v="1899-12-30T12:00:00"/>
    <x v="0"/>
    <x v="1"/>
    <n v="4"/>
    <n v="0"/>
    <s v="GBP"/>
    <x v="148"/>
    <n v="4"/>
    <n v="21"/>
    <x v="8"/>
  </r>
  <r>
    <x v="406"/>
    <s v="Guest400@airbnb.com"/>
    <x v="1"/>
    <x v="210"/>
    <d v="2020-10-23T00:00:00"/>
    <d v="2020-09-11T00:00:00"/>
    <d v="1899-12-30T14:00:00"/>
    <d v="1899-12-30T11:00:00"/>
    <x v="1"/>
    <x v="0"/>
    <n v="1"/>
    <n v="0"/>
    <s v="GBP"/>
    <x v="149"/>
    <n v="1"/>
    <n v="7"/>
    <x v="8"/>
  </r>
  <r>
    <x v="407"/>
    <s v="Guest541@gmail.com"/>
    <x v="2"/>
    <x v="210"/>
    <d v="2020-10-17T00:00:00"/>
    <d v="2020-09-18T00:00:00"/>
    <d v="1899-12-30T08:00:00"/>
    <d v="1899-12-31T00:00:00"/>
    <x v="0"/>
    <x v="1"/>
    <n v="4"/>
    <n v="0"/>
    <s v="GBP"/>
    <x v="111"/>
    <n v="4"/>
    <n v="1"/>
    <x v="8"/>
  </r>
  <r>
    <x v="407"/>
    <s v="Guest541@gmail.com"/>
    <x v="2"/>
    <x v="210"/>
    <d v="2020-10-17T00:00:00"/>
    <d v="2020-09-18T00:00:00"/>
    <d v="1899-12-30T08:00:00"/>
    <d v="1899-12-31T00:00:00"/>
    <x v="0"/>
    <x v="0"/>
    <n v="1"/>
    <n v="0"/>
    <s v="GBP"/>
    <x v="111"/>
    <n v="1"/>
    <n v="1"/>
    <x v="8"/>
  </r>
  <r>
    <x v="305"/>
    <s v="Guest352@yahoo.com"/>
    <x v="1"/>
    <x v="210"/>
    <d v="2020-10-18T00:00:00"/>
    <d v="2020-09-21T00:00:00"/>
    <d v="1899-12-30T14:00:00"/>
    <d v="1899-12-30T11:00:00"/>
    <x v="0"/>
    <x v="0"/>
    <n v="3"/>
    <n v="0"/>
    <s v="GBP"/>
    <x v="116"/>
    <n v="3"/>
    <n v="2"/>
    <x v="8"/>
  </r>
  <r>
    <x v="408"/>
    <s v="Guest316@gmail.com"/>
    <x v="1"/>
    <x v="210"/>
    <d v="2020-10-18T00:00:00"/>
    <d v="2020-10-05T00:00:00"/>
    <d v="1899-12-30T14:00:00"/>
    <d v="1899-12-30T11:00:00"/>
    <x v="0"/>
    <x v="1"/>
    <n v="4"/>
    <n v="0"/>
    <s v="GBP"/>
    <x v="116"/>
    <n v="4"/>
    <n v="2"/>
    <x v="8"/>
  </r>
  <r>
    <x v="409"/>
    <s v="Guest354@yahoo.com"/>
    <x v="3"/>
    <x v="210"/>
    <d v="2020-10-19T00:00:00"/>
    <d v="2020-10-05T00:00:00"/>
    <d v="1899-12-30T08:00:00"/>
    <d v="1899-12-31T00:00:00"/>
    <x v="0"/>
    <x v="1"/>
    <n v="4"/>
    <n v="0"/>
    <s v="GBP"/>
    <x v="119"/>
    <n v="4"/>
    <n v="3"/>
    <x v="8"/>
  </r>
  <r>
    <x v="268"/>
    <s v="Guest408@yahoo.com"/>
    <x v="5"/>
    <x v="210"/>
    <d v="2020-10-19T00:00:00"/>
    <d v="2020-10-07T00:00:00"/>
    <d v="1899-12-30T14:00:00"/>
    <d v="1899-12-30T11:00:00"/>
    <x v="0"/>
    <x v="0"/>
    <n v="2"/>
    <n v="0"/>
    <s v="GBP"/>
    <x v="137"/>
    <n v="2"/>
    <n v="3"/>
    <x v="8"/>
  </r>
  <r>
    <x v="404"/>
    <s v="Guest149@yahoo%2Ecom"/>
    <x v="4"/>
    <x v="210"/>
    <d v="2020-10-22T00:00:00"/>
    <d v="2020-10-14T00:00:00"/>
    <d v="1899-12-30T12:00:00"/>
    <d v="1899-12-30T14:00:00"/>
    <x v="0"/>
    <x v="0"/>
    <n v="9"/>
    <n v="0"/>
    <s v="GBP"/>
    <x v="150"/>
    <n v="9"/>
    <n v="6"/>
    <x v="8"/>
  </r>
  <r>
    <x v="132"/>
    <s v="Guest452@gmail.com"/>
    <x v="4"/>
    <x v="210"/>
    <d v="2020-10-18T00:00:00"/>
    <d v="2020-09-05T00:00:00"/>
    <d v="1899-12-30T12:00:00"/>
    <d v="1899-12-31T00:00:00"/>
    <x v="0"/>
    <x v="0"/>
    <n v="5"/>
    <n v="0"/>
    <s v="GBP"/>
    <x v="116"/>
    <n v="5"/>
    <n v="2"/>
    <x v="8"/>
  </r>
  <r>
    <x v="410"/>
    <s v="Guest432@airbnb.com"/>
    <x v="1"/>
    <x v="210"/>
    <d v="2020-10-18T00:00:00"/>
    <d v="2020-10-04T00:00:00"/>
    <d v="1899-12-30T14:00:00"/>
    <d v="1899-12-30T11:00:00"/>
    <x v="1"/>
    <x v="0"/>
    <n v="6"/>
    <n v="0"/>
    <s v="GBP"/>
    <x v="134"/>
    <n v="6"/>
    <n v="2"/>
    <x v="8"/>
  </r>
  <r>
    <x v="404"/>
    <s v="Guest149@yahoo%2Ecom"/>
    <x v="5"/>
    <x v="210"/>
    <d v="2020-10-26T00:00:00"/>
    <d v="2020-10-14T00:00:00"/>
    <d v="1899-12-30T14:00:00"/>
    <d v="1899-12-30T11:00:00"/>
    <x v="0"/>
    <x v="1"/>
    <n v="4"/>
    <n v="0"/>
    <s v="GBP"/>
    <x v="151"/>
    <n v="4"/>
    <n v="10"/>
    <x v="8"/>
  </r>
  <r>
    <x v="411"/>
    <s v="Guest481@airbnb.com"/>
    <x v="4"/>
    <x v="211"/>
    <d v="2020-10-21T00:00:00"/>
    <d v="2020-06-14T00:00:00"/>
    <d v="1899-12-30T08:00:00"/>
    <d v="1899-12-31T00:00:00"/>
    <x v="1"/>
    <x v="0"/>
    <n v="3"/>
    <n v="0"/>
    <s v="GBP"/>
    <x v="115"/>
    <n v="3"/>
    <n v="4"/>
    <x v="8"/>
  </r>
  <r>
    <x v="353"/>
    <s v="Guest378@gmail.com"/>
    <x v="3"/>
    <x v="212"/>
    <d v="2020-10-20T00:00:00"/>
    <d v="2020-08-31T00:00:00"/>
    <d v="1899-12-30T08:00:00"/>
    <d v="1899-12-31T00:00:00"/>
    <x v="0"/>
    <x v="0"/>
    <n v="6"/>
    <n v="0"/>
    <s v="GBP"/>
    <x v="106"/>
    <n v="6"/>
    <n v="2"/>
    <x v="8"/>
  </r>
  <r>
    <x v="412"/>
    <s v="Guest251@airbnb.com"/>
    <x v="1"/>
    <x v="212"/>
    <d v="2020-10-23T00:00:00"/>
    <d v="2020-10-10T00:00:00"/>
    <d v="1899-12-30T14:00:00"/>
    <d v="1899-12-30T11:00:00"/>
    <x v="1"/>
    <x v="0"/>
    <n v="3"/>
    <n v="0"/>
    <s v="GBP"/>
    <x v="152"/>
    <n v="3"/>
    <n v="5"/>
    <x v="8"/>
  </r>
  <r>
    <x v="413"/>
    <s v="Guest365@gmail.com"/>
    <x v="1"/>
    <x v="212"/>
    <d v="2020-10-19T00:00:00"/>
    <d v="2020-10-15T00:00:00"/>
    <d v="1899-12-30T14:00:00"/>
    <d v="1899-12-30T11:00:00"/>
    <x v="0"/>
    <x v="1"/>
    <n v="2"/>
    <n v="0"/>
    <s v="GBP"/>
    <x v="111"/>
    <n v="2"/>
    <n v="1"/>
    <x v="8"/>
  </r>
  <r>
    <x v="414"/>
    <s v="Guest76@hotmail.com"/>
    <x v="2"/>
    <x v="213"/>
    <d v="2020-10-20T00:00:00"/>
    <d v="2020-10-16T00:00:00"/>
    <d v="1899-12-30T08:00:00"/>
    <d v="1899-12-31T00:00:00"/>
    <x v="0"/>
    <x v="0"/>
    <n v="5"/>
    <n v="0"/>
    <s v="GBP"/>
    <x v="111"/>
    <n v="5"/>
    <n v="1"/>
    <x v="8"/>
  </r>
  <r>
    <x v="415"/>
    <s v="Guest455@gmail.com"/>
    <x v="2"/>
    <x v="213"/>
    <d v="2020-10-20T00:00:00"/>
    <d v="2020-10-18T00:00:00"/>
    <d v="1899-12-30T08:00:00"/>
    <d v="1899-12-31T00:00:00"/>
    <x v="0"/>
    <x v="1"/>
    <n v="2"/>
    <n v="0"/>
    <s v="GBP"/>
    <x v="111"/>
    <n v="2"/>
    <n v="1"/>
    <x v="8"/>
  </r>
  <r>
    <x v="415"/>
    <s v="Guest455@gmail.com"/>
    <x v="3"/>
    <x v="213"/>
    <d v="2020-10-20T00:00:00"/>
    <d v="2020-10-18T00:00:00"/>
    <d v="1899-12-30T08:00:00"/>
    <d v="1899-12-31T00:00:00"/>
    <x v="0"/>
    <x v="0"/>
    <n v="2"/>
    <n v="0"/>
    <s v="GBP"/>
    <x v="111"/>
    <n v="2"/>
    <n v="1"/>
    <x v="8"/>
  </r>
  <r>
    <x v="416"/>
    <s v="Guest419@gmail%2Ecom"/>
    <x v="3"/>
    <x v="213"/>
    <d v="2020-10-20T00:00:00"/>
    <d v="2020-10-19T00:00:00"/>
    <d v="1899-12-30T08:00:00"/>
    <d v="1899-12-31T00:00:00"/>
    <x v="0"/>
    <x v="1"/>
    <n v="5"/>
    <n v="0"/>
    <s v="GBP"/>
    <x v="111"/>
    <n v="5"/>
    <n v="1"/>
    <x v="8"/>
  </r>
  <r>
    <x v="417"/>
    <s v="Guest564@gmail.com"/>
    <x v="1"/>
    <x v="213"/>
    <d v="2020-10-22T00:00:00"/>
    <d v="2020-10-13T00:00:00"/>
    <d v="1899-12-30T14:00:00"/>
    <d v="1899-12-30T11:00:00"/>
    <x v="0"/>
    <x v="1"/>
    <n v="4"/>
    <n v="0"/>
    <s v="GBP"/>
    <x v="119"/>
    <n v="4"/>
    <n v="3"/>
    <x v="8"/>
  </r>
  <r>
    <x v="43"/>
    <s v="Guest459@gmail.com"/>
    <x v="3"/>
    <x v="214"/>
    <d v="2020-10-24T00:00:00"/>
    <d v="2020-09-08T00:00:00"/>
    <d v="1899-12-30T08:00:00"/>
    <d v="1899-12-31T00:00:00"/>
    <x v="0"/>
    <x v="0"/>
    <n v="5"/>
    <n v="0"/>
    <s v="GBP"/>
    <x v="105"/>
    <n v="5"/>
    <n v="4"/>
    <x v="8"/>
  </r>
  <r>
    <x v="82"/>
    <s v="Guest439@gmail%2Ecom"/>
    <x v="1"/>
    <x v="214"/>
    <d v="2020-10-23T00:00:00"/>
    <d v="2020-09-12T00:00:00"/>
    <d v="1899-12-30T14:00:00"/>
    <d v="1899-12-30T11:00:00"/>
    <x v="0"/>
    <x v="0"/>
    <n v="5"/>
    <n v="0"/>
    <s v="GBP"/>
    <x v="114"/>
    <n v="5"/>
    <n v="3"/>
    <x v="8"/>
  </r>
  <r>
    <x v="418"/>
    <s v="Guest169@sdf.sdfsdf"/>
    <x v="4"/>
    <x v="214"/>
    <d v="2020-10-21T00:00:00"/>
    <d v="2020-10-12T00:00:00"/>
    <d v="1899-12-30T12:00:00"/>
    <d v="1899-12-30T14:00:00"/>
    <x v="0"/>
    <x v="0"/>
    <n v="1"/>
    <n v="0"/>
    <s v="GBP"/>
    <x v="4"/>
    <n v="1"/>
    <n v="1"/>
    <x v="8"/>
  </r>
  <r>
    <x v="251"/>
    <s v="Guest1@gmail%2Ecom"/>
    <x v="7"/>
    <x v="214"/>
    <d v="2020-10-21T00:00:00"/>
    <d v="2020-10-13T00:00:00"/>
    <d v="1899-12-30T14:00:00"/>
    <d v="1899-12-30T12:00:00"/>
    <x v="0"/>
    <x v="0"/>
    <n v="3"/>
    <n v="0"/>
    <s v="GBP"/>
    <x v="146"/>
    <n v="3"/>
    <n v="1"/>
    <x v="8"/>
  </r>
  <r>
    <x v="419"/>
    <s v="Guest525@gmail.com"/>
    <x v="2"/>
    <x v="214"/>
    <d v="2020-10-23T00:00:00"/>
    <d v="2020-08-31T00:00:00"/>
    <d v="1899-12-30T08:00:00"/>
    <d v="1899-12-31T00:00:00"/>
    <x v="0"/>
    <x v="1"/>
    <n v="6"/>
    <n v="0"/>
    <s v="GBP"/>
    <x v="119"/>
    <n v="6"/>
    <n v="3"/>
    <x v="8"/>
  </r>
  <r>
    <x v="66"/>
    <s v="Guest39@sdf.fsd"/>
    <x v="4"/>
    <x v="215"/>
    <d v="2020-10-22T00:00:00"/>
    <d v="2020-10-16T00:00:00"/>
    <d v="1899-12-30T12:00:00"/>
    <d v="1899-12-30T14:00:00"/>
    <x v="0"/>
    <x v="0"/>
    <n v="1"/>
    <n v="0"/>
    <s v="GBP"/>
    <x v="4"/>
    <n v="1"/>
    <n v="1"/>
    <x v="8"/>
  </r>
  <r>
    <x v="420"/>
    <s v="Guest109@check.com"/>
    <x v="4"/>
    <x v="215"/>
    <d v="2020-10-22T00:00:00"/>
    <d v="2020-10-16T00:00:00"/>
    <d v="1899-12-30T12:00:00"/>
    <d v="1899-12-30T14:00:00"/>
    <x v="0"/>
    <x v="0"/>
    <n v="1"/>
    <n v="0"/>
    <s v="GBP"/>
    <x v="4"/>
    <n v="1"/>
    <n v="1"/>
    <x v="8"/>
  </r>
  <r>
    <x v="421"/>
    <s v="Guest287@airbnb.com"/>
    <x v="1"/>
    <x v="215"/>
    <d v="2020-10-23T00:00:00"/>
    <d v="2020-10-21T00:00:00"/>
    <d v="1899-12-30T14:00:00"/>
    <d v="1899-12-30T11:00:00"/>
    <x v="1"/>
    <x v="0"/>
    <n v="5"/>
    <n v="0"/>
    <s v="GBP"/>
    <x v="153"/>
    <n v="5"/>
    <n v="2"/>
    <x v="8"/>
  </r>
  <r>
    <x v="205"/>
    <s v="Guest569@gmail.com"/>
    <x v="5"/>
    <x v="215"/>
    <d v="2020-10-22T00:00:00"/>
    <d v="2020-10-17T00:00:00"/>
    <d v="1899-12-30T14:00:00"/>
    <d v="1899-12-30T11:00:00"/>
    <x v="0"/>
    <x v="0"/>
    <n v="4"/>
    <n v="0"/>
    <s v="GBP"/>
    <x v="146"/>
    <n v="4"/>
    <n v="1"/>
    <x v="8"/>
  </r>
  <r>
    <x v="422"/>
    <s v="Guest327@airbnb.com"/>
    <x v="7"/>
    <x v="216"/>
    <d v="2020-10-28T00:00:00"/>
    <d v="2020-10-02T00:00:00"/>
    <d v="1899-12-30T14:00:00"/>
    <d v="1899-12-30T12:00:00"/>
    <x v="1"/>
    <x v="0"/>
    <n v="3"/>
    <n v="0"/>
    <s v="GBP"/>
    <x v="154"/>
    <n v="3"/>
    <n v="6"/>
    <x v="8"/>
  </r>
  <r>
    <x v="423"/>
    <s v="Guest361@yahoo%2Ecom"/>
    <x v="7"/>
    <x v="216"/>
    <d v="2020-10-25T00:00:00"/>
    <d v="2020-10-03T00:00:00"/>
    <d v="1899-12-30T14:00:00"/>
    <d v="1899-12-30T12:00:00"/>
    <x v="0"/>
    <x v="0"/>
    <n v="3"/>
    <n v="0"/>
    <s v="GBP"/>
    <x v="137"/>
    <n v="3"/>
    <n v="3"/>
    <x v="8"/>
  </r>
  <r>
    <x v="424"/>
    <s v="Guest43@gmail.com"/>
    <x v="5"/>
    <x v="216"/>
    <d v="2020-10-23T00:00:00"/>
    <d v="2020-10-16T00:00:00"/>
    <d v="1899-12-30T14:00:00"/>
    <d v="1899-12-30T11:00:00"/>
    <x v="0"/>
    <x v="0"/>
    <n v="4"/>
    <n v="0"/>
    <s v="GBP"/>
    <x v="146"/>
    <n v="4"/>
    <n v="1"/>
    <x v="8"/>
  </r>
  <r>
    <x v="414"/>
    <s v="Guest76@hotmail.com"/>
    <x v="2"/>
    <x v="216"/>
    <d v="2020-10-23T00:00:00"/>
    <d v="2020-10-16T00:00:00"/>
    <d v="1899-12-30T08:00:00"/>
    <d v="1899-12-31T00:00:00"/>
    <x v="0"/>
    <x v="0"/>
    <n v="6"/>
    <n v="0"/>
    <s v="GBP"/>
    <x v="111"/>
    <n v="6"/>
    <n v="1"/>
    <x v="8"/>
  </r>
  <r>
    <x v="425"/>
    <s v="Guest259@airbnb.com"/>
    <x v="1"/>
    <x v="217"/>
    <d v="2020-10-29T00:00:00"/>
    <d v="2020-08-24T00:00:00"/>
    <d v="1899-12-30T14:00:00"/>
    <d v="1899-12-30T11:00:00"/>
    <x v="1"/>
    <x v="0"/>
    <n v="1"/>
    <n v="0"/>
    <s v="GBP"/>
    <x v="155"/>
    <n v="1"/>
    <n v="6"/>
    <x v="8"/>
  </r>
  <r>
    <x v="426"/>
    <s v="Guest333@gmail%2Ecom"/>
    <x v="2"/>
    <x v="217"/>
    <d v="2020-10-26T00:00:00"/>
    <d v="2020-09-19T00:00:00"/>
    <d v="1899-12-30T08:00:00"/>
    <d v="1899-12-31T00:00:00"/>
    <x v="0"/>
    <x v="0"/>
    <n v="4"/>
    <n v="0"/>
    <s v="GBP"/>
    <x v="119"/>
    <n v="4"/>
    <n v="3"/>
    <x v="8"/>
  </r>
  <r>
    <x v="69"/>
    <s v="Guest460@gmail.com"/>
    <x v="3"/>
    <x v="218"/>
    <d v="2020-10-31T00:00:00"/>
    <d v="2020-09-05T00:00:00"/>
    <d v="1899-12-30T08:00:00"/>
    <d v="1899-12-31T00:00:00"/>
    <x v="0"/>
    <x v="0"/>
    <n v="4"/>
    <n v="0"/>
    <s v="GBP"/>
    <x v="156"/>
    <n v="4"/>
    <n v="7"/>
    <x v="8"/>
  </r>
  <r>
    <x v="427"/>
    <s v="Guest181@yahoo.com"/>
    <x v="2"/>
    <x v="218"/>
    <d v="2020-10-27T00:00:00"/>
    <d v="2020-10-24T00:00:00"/>
    <d v="1899-12-30T08:00:00"/>
    <d v="1899-12-31T00:00:00"/>
    <x v="0"/>
    <x v="1"/>
    <n v="5"/>
    <n v="0"/>
    <s v="GBP"/>
    <x v="119"/>
    <n v="5"/>
    <n v="3"/>
    <x v="8"/>
  </r>
  <r>
    <x v="428"/>
    <s v="Guest376@yahoo.com"/>
    <x v="5"/>
    <x v="219"/>
    <d v="2020-10-26T00:00:00"/>
    <d v="2020-10-16T00:00:00"/>
    <d v="1899-12-30T14:00:00"/>
    <d v="1899-12-30T11:00:00"/>
    <x v="0"/>
    <x v="0"/>
    <n v="4"/>
    <n v="0"/>
    <s v="GBP"/>
    <x v="146"/>
    <n v="4"/>
    <n v="1"/>
    <x v="8"/>
  </r>
  <r>
    <x v="197"/>
    <s v="Guest289@yahoo%2Ecom"/>
    <x v="4"/>
    <x v="220"/>
    <d v="2020-10-27T00:00:00"/>
    <d v="2020-10-10T00:00:00"/>
    <d v="1899-12-30T12:00:00"/>
    <d v="1899-12-30T14:00:00"/>
    <x v="0"/>
    <x v="0"/>
    <n v="1"/>
    <n v="0"/>
    <s v="GBP"/>
    <x v="17"/>
    <n v="1"/>
    <n v="1"/>
    <x v="8"/>
  </r>
  <r>
    <x v="429"/>
    <s v="Guest511@gmail.com"/>
    <x v="4"/>
    <x v="220"/>
    <d v="2020-10-29T00:00:00"/>
    <d v="2020-10-14T00:00:00"/>
    <d v="1899-12-30T12:00:00"/>
    <d v="1899-12-30T14:00:00"/>
    <x v="0"/>
    <x v="0"/>
    <n v="1"/>
    <n v="0"/>
    <s v="GBP"/>
    <x v="75"/>
    <n v="1"/>
    <n v="3"/>
    <x v="8"/>
  </r>
  <r>
    <x v="239"/>
    <s v="Guest295@gmail.com"/>
    <x v="5"/>
    <x v="220"/>
    <d v="2020-10-30T00:00:00"/>
    <d v="2020-10-16T00:00:00"/>
    <d v="1899-12-30T14:00:00"/>
    <d v="1899-12-30T11:00:00"/>
    <x v="0"/>
    <x v="0"/>
    <n v="5"/>
    <n v="0"/>
    <s v="GBP"/>
    <x v="132"/>
    <n v="5"/>
    <n v="4"/>
    <x v="8"/>
  </r>
  <r>
    <x v="430"/>
    <s v="Guest521@gmail.com"/>
    <x v="5"/>
    <x v="220"/>
    <d v="2020-10-28T00:00:00"/>
    <d v="2020-10-26T00:00:00"/>
    <d v="1899-12-30T14:00:00"/>
    <d v="1899-12-30T11:00:00"/>
    <x v="0"/>
    <x v="1"/>
    <n v="6"/>
    <n v="0"/>
    <s v="GBP"/>
    <x v="157"/>
    <n v="6"/>
    <n v="2"/>
    <x v="8"/>
  </r>
  <r>
    <x v="431"/>
    <s v="Guest474@airbnb.com"/>
    <x v="5"/>
    <x v="221"/>
    <d v="2020-11-14T00:00:00"/>
    <d v="2020-09-08T00:00:00"/>
    <d v="1899-12-30T14:00:00"/>
    <d v="1899-12-30T11:00:00"/>
    <x v="1"/>
    <x v="0"/>
    <n v="1"/>
    <n v="0"/>
    <s v="GBP"/>
    <x v="158"/>
    <n v="1"/>
    <n v="18"/>
    <x v="8"/>
  </r>
  <r>
    <x v="432"/>
    <s v="Guest74@sdf.dsfsdf"/>
    <x v="4"/>
    <x v="221"/>
    <d v="2020-10-28T00:00:00"/>
    <d v="2020-10-12T00:00:00"/>
    <d v="1899-12-30T12:00:00"/>
    <d v="1899-12-30T14:00:00"/>
    <x v="0"/>
    <x v="0"/>
    <n v="1"/>
    <n v="0"/>
    <s v="GBP"/>
    <x v="4"/>
    <n v="1"/>
    <n v="1"/>
    <x v="8"/>
  </r>
  <r>
    <x v="429"/>
    <s v="Guest511@gmail.com"/>
    <x v="4"/>
    <x v="221"/>
    <d v="2020-10-30T00:00:00"/>
    <d v="2020-10-14T00:00:00"/>
    <d v="1899-12-30T12:00:00"/>
    <d v="1899-12-30T14:00:00"/>
    <x v="0"/>
    <x v="0"/>
    <n v="1"/>
    <n v="0"/>
    <s v="GBP"/>
    <x v="75"/>
    <n v="1"/>
    <n v="3"/>
    <x v="8"/>
  </r>
  <r>
    <x v="132"/>
    <s v="Guest452@gmail.com"/>
    <x v="4"/>
    <x v="221"/>
    <d v="2020-10-30T00:00:00"/>
    <d v="2020-09-05T00:00:00"/>
    <d v="1899-12-30T08:00:00"/>
    <d v="1899-12-31T00:00:00"/>
    <x v="0"/>
    <x v="0"/>
    <n v="5"/>
    <n v="0"/>
    <s v="GBP"/>
    <x v="114"/>
    <n v="5"/>
    <n v="3"/>
    <x v="8"/>
  </r>
  <r>
    <x v="132"/>
    <s v="Guest452@gmail.com"/>
    <x v="4"/>
    <x v="221"/>
    <d v="2020-10-30T00:00:00"/>
    <d v="2020-10-18T00:00:00"/>
    <d v="1899-12-30T12:00:00"/>
    <d v="1899-12-30T14:00:00"/>
    <x v="0"/>
    <x v="0"/>
    <n v="4"/>
    <n v="0"/>
    <s v="GBP"/>
    <x v="119"/>
    <n v="4"/>
    <n v="3"/>
    <x v="8"/>
  </r>
  <r>
    <x v="288"/>
    <s v="Guest294@gmail.com"/>
    <x v="2"/>
    <x v="221"/>
    <d v="2020-11-02T00:00:00"/>
    <d v="2020-10-24T00:00:00"/>
    <d v="1899-12-30T08:00:00"/>
    <d v="1899-12-31T00:00:00"/>
    <x v="0"/>
    <x v="1"/>
    <n v="4"/>
    <n v="0"/>
    <s v="GBP"/>
    <x v="159"/>
    <n v="4"/>
    <n v="6"/>
    <x v="8"/>
  </r>
  <r>
    <x v="433"/>
    <s v="Guest165@airbnb.com"/>
    <x v="2"/>
    <x v="222"/>
    <d v="2020-10-31T00:00:00"/>
    <d v="2020-06-03T00:00:00"/>
    <d v="1899-12-30T08:00:00"/>
    <d v="1899-12-31T00:00:00"/>
    <x v="1"/>
    <x v="0"/>
    <n v="4"/>
    <n v="0"/>
    <s v="GBP"/>
    <x v="26"/>
    <n v="4"/>
    <n v="3"/>
    <x v="8"/>
  </r>
  <r>
    <x v="429"/>
    <s v="Guest511@gmail.com"/>
    <x v="4"/>
    <x v="222"/>
    <d v="2020-10-30T00:00:00"/>
    <d v="2020-10-14T00:00:00"/>
    <d v="1899-12-30T12:00:00"/>
    <d v="1899-12-30T14:00:00"/>
    <x v="0"/>
    <x v="0"/>
    <n v="1"/>
    <n v="0"/>
    <s v="GBP"/>
    <x v="38"/>
    <n v="1"/>
    <n v="2"/>
    <x v="8"/>
  </r>
  <r>
    <x v="377"/>
    <s v="Guest235@yahoo.com"/>
    <x v="5"/>
    <x v="222"/>
    <d v="2020-10-30T00:00:00"/>
    <d v="2020-10-26T00:00:00"/>
    <d v="1899-12-30T14:00:00"/>
    <d v="1899-12-30T11:00:00"/>
    <x v="0"/>
    <x v="0"/>
    <n v="6"/>
    <n v="0"/>
    <s v="GBP"/>
    <x v="157"/>
    <n v="6"/>
    <n v="2"/>
    <x v="8"/>
  </r>
  <r>
    <x v="434"/>
    <s v="Guest356@gmail.com"/>
    <x v="5"/>
    <x v="222"/>
    <d v="2020-10-30T00:00:00"/>
    <d v="2020-10-28T00:00:00"/>
    <d v="1899-12-30T14:00:00"/>
    <d v="1899-12-30T11:00:00"/>
    <x v="0"/>
    <x v="1"/>
    <n v="6"/>
    <n v="0"/>
    <s v="GBP"/>
    <x v="157"/>
    <n v="6"/>
    <n v="2"/>
    <x v="8"/>
  </r>
  <r>
    <x v="404"/>
    <s v="Guest149@yahoo%2Ecom"/>
    <x v="1"/>
    <x v="223"/>
    <d v="2020-11-02T00:00:00"/>
    <d v="2020-10-26T00:00:00"/>
    <d v="1899-12-30T14:00:00"/>
    <d v="1899-12-30T11:00:00"/>
    <x v="0"/>
    <x v="1"/>
    <n v="6"/>
    <n v="0"/>
    <s v="GBP"/>
    <x v="133"/>
    <n v="6"/>
    <n v="4"/>
    <x v="8"/>
  </r>
  <r>
    <x v="435"/>
    <s v="Guest350@gmail.com"/>
    <x v="6"/>
    <x v="223"/>
    <d v="2020-11-02T00:00:00"/>
    <d v="2020-10-30T00:00:00"/>
    <d v="1899-12-30T14:00:00"/>
    <d v="1899-12-30T11:00:00"/>
    <x v="0"/>
    <x v="1"/>
    <n v="5"/>
    <n v="0"/>
    <s v="GBP"/>
    <x v="133"/>
    <n v="5"/>
    <n v="4"/>
    <x v="8"/>
  </r>
  <r>
    <x v="436"/>
    <s v="Guest393@airbnb.com"/>
    <x v="7"/>
    <x v="224"/>
    <d v="2020-11-01T00:00:00"/>
    <d v="2020-10-03T00:00:00"/>
    <d v="1899-12-30T14:00:00"/>
    <d v="1899-12-30T12:00:00"/>
    <x v="1"/>
    <x v="0"/>
    <n v="5"/>
    <n v="0"/>
    <s v="GBP"/>
    <x v="160"/>
    <n v="5"/>
    <n v="2"/>
    <x v="8"/>
  </r>
  <r>
    <x v="436"/>
    <s v="Guest393@airbnb.com"/>
    <x v="5"/>
    <x v="224"/>
    <d v="2020-11-01T00:00:00"/>
    <d v="2020-10-05T00:00:00"/>
    <d v="1899-12-30T14:00:00"/>
    <d v="1899-12-30T11:00:00"/>
    <x v="1"/>
    <x v="0"/>
    <n v="5"/>
    <n v="0"/>
    <s v="GBP"/>
    <x v="160"/>
    <n v="5"/>
    <n v="2"/>
    <x v="8"/>
  </r>
  <r>
    <x v="66"/>
    <s v="Guest39@sdf.fsd"/>
    <x v="4"/>
    <x v="224"/>
    <d v="2020-10-31T00:00:00"/>
    <d v="2020-10-14T00:00:00"/>
    <d v="1899-12-30T12:00:00"/>
    <d v="1899-12-30T14:00:00"/>
    <x v="0"/>
    <x v="0"/>
    <n v="1"/>
    <n v="0"/>
    <s v="GBP"/>
    <x v="4"/>
    <n v="1"/>
    <n v="1"/>
    <x v="8"/>
  </r>
  <r>
    <x v="437"/>
    <s v="Guest359@gmail.com"/>
    <x v="5"/>
    <x v="224"/>
    <d v="2020-11-02T00:00:00"/>
    <d v="2020-10-15T00:00:00"/>
    <d v="1899-12-30T14:00:00"/>
    <d v="1899-12-30T11:00:00"/>
    <x v="0"/>
    <x v="1"/>
    <n v="6"/>
    <n v="0"/>
    <s v="GBP"/>
    <x v="161"/>
    <n v="6"/>
    <n v="3"/>
    <x v="8"/>
  </r>
  <r>
    <x v="438"/>
    <s v="Guest159@airbnb.com"/>
    <x v="2"/>
    <x v="225"/>
    <d v="2020-11-02T00:00:00"/>
    <d v="2020-10-05T00:00:00"/>
    <d v="1899-12-30T08:00:00"/>
    <d v="1899-12-31T00:00:00"/>
    <x v="1"/>
    <x v="0"/>
    <n v="6"/>
    <n v="0"/>
    <s v="GBP"/>
    <x v="162"/>
    <n v="6"/>
    <n v="2"/>
    <x v="8"/>
  </r>
  <r>
    <x v="436"/>
    <s v="Guest393@airbnb.com"/>
    <x v="2"/>
    <x v="225"/>
    <d v="2020-11-02T00:00:00"/>
    <d v="2020-10-06T00:00:00"/>
    <d v="1899-12-30T08:00:00"/>
    <d v="1899-12-31T00:00:00"/>
    <x v="1"/>
    <x v="0"/>
    <n v="1"/>
    <n v="0"/>
    <s v="GBP"/>
    <x v="163"/>
    <n v="1"/>
    <n v="2"/>
    <x v="8"/>
  </r>
  <r>
    <x v="88"/>
    <s v="Guest275@airbnb.com"/>
    <x v="1"/>
    <x v="225"/>
    <d v="2020-11-02T00:00:00"/>
    <d v="2020-10-24T00:00:00"/>
    <d v="1899-12-30T14:00:00"/>
    <d v="1899-12-30T11:00:00"/>
    <x v="0"/>
    <x v="0"/>
    <n v="6"/>
    <n v="0"/>
    <s v="GBP"/>
    <x v="116"/>
    <n v="6"/>
    <n v="2"/>
    <x v="8"/>
  </r>
  <r>
    <x v="439"/>
    <s v="Guest190@gmail%2Ecom"/>
    <x v="3"/>
    <x v="225"/>
    <d v="2020-11-01T00:00:00"/>
    <d v="2020-10-19T00:00:00"/>
    <d v="1899-12-30T08:00:00"/>
    <d v="1899-12-31T00:00:00"/>
    <x v="0"/>
    <x v="0"/>
    <n v="3"/>
    <n v="0"/>
    <s v="GBP"/>
    <x v="111"/>
    <n v="3"/>
    <n v="1"/>
    <x v="8"/>
  </r>
  <r>
    <x v="440"/>
    <s v="Guest329@gmail.com"/>
    <x v="4"/>
    <x v="226"/>
    <d v="2020-11-05T00:00:00"/>
    <d v="2020-10-18T00:00:00"/>
    <d v="1899-12-30T12:00:00"/>
    <d v="1899-12-30T14:00:00"/>
    <x v="0"/>
    <x v="0"/>
    <n v="1"/>
    <n v="0"/>
    <s v="GBP"/>
    <x v="75"/>
    <n v="1"/>
    <n v="3"/>
    <x v="8"/>
  </r>
  <r>
    <x v="414"/>
    <s v="Guest76@hotmail.com"/>
    <x v="2"/>
    <x v="226"/>
    <d v="2020-11-03T00:00:00"/>
    <d v="2020-10-24T00:00:00"/>
    <d v="1899-12-30T08:00:00"/>
    <d v="1899-12-31T00:00:00"/>
    <x v="0"/>
    <x v="1"/>
    <n v="5"/>
    <n v="0"/>
    <s v="GBP"/>
    <x v="111"/>
    <n v="5"/>
    <n v="1"/>
    <x v="8"/>
  </r>
  <r>
    <x v="311"/>
    <s v="Guest229@airbnb%2Ecom"/>
    <x v="4"/>
    <x v="226"/>
    <d v="2020-11-08T00:00:00"/>
    <d v="2020-09-15T00:00:00"/>
    <d v="1899-12-30T08:00:00"/>
    <d v="1899-12-30T14:00:00"/>
    <x v="0"/>
    <x v="1"/>
    <n v="4"/>
    <n v="0"/>
    <s v="GBP"/>
    <x v="159"/>
    <n v="4"/>
    <n v="6"/>
    <x v="8"/>
  </r>
  <r>
    <x v="441"/>
    <s v="Guest107@airbnb.com"/>
    <x v="1"/>
    <x v="226"/>
    <d v="2020-11-03T00:00:00"/>
    <d v="2020-10-30T00:00:00"/>
    <d v="1899-12-30T14:00:00"/>
    <d v="1899-12-30T11:00:00"/>
    <x v="1"/>
    <x v="0"/>
    <n v="1"/>
    <n v="0"/>
    <s v="GBP"/>
    <x v="164"/>
    <n v="1"/>
    <n v="1"/>
    <x v="8"/>
  </r>
  <r>
    <x v="288"/>
    <s v="Guest294@gmail.com"/>
    <x v="1"/>
    <x v="226"/>
    <d v="2020-11-05T00:00:00"/>
    <d v="2020-10-31T00:00:00"/>
    <d v="1899-12-30T14:00:00"/>
    <d v="1899-12-30T11:00:00"/>
    <x v="0"/>
    <x v="0"/>
    <n v="4"/>
    <n v="0"/>
    <s v="GBP"/>
    <x v="119"/>
    <n v="4"/>
    <n v="3"/>
    <x v="8"/>
  </r>
  <r>
    <x v="288"/>
    <s v="Guest294@gmail.com"/>
    <x v="1"/>
    <x v="226"/>
    <d v="2020-11-13T00:00:00"/>
    <d v="2020-10-31T00:00:00"/>
    <d v="1899-12-30T14:00:00"/>
    <d v="1899-12-30T11:00:00"/>
    <x v="0"/>
    <x v="1"/>
    <n v="6"/>
    <n v="0"/>
    <s v="GBP"/>
    <x v="141"/>
    <n v="6"/>
    <n v="11"/>
    <x v="8"/>
  </r>
  <r>
    <x v="442"/>
    <s v="Guest379@gmail%2Ecom"/>
    <x v="5"/>
    <x v="226"/>
    <d v="2020-11-03T00:00:00"/>
    <d v="2020-10-30T00:00:00"/>
    <d v="1899-12-30T14:00:00"/>
    <d v="1899-12-30T11:00:00"/>
    <x v="0"/>
    <x v="1"/>
    <n v="5"/>
    <n v="0"/>
    <s v="GBP"/>
    <x v="145"/>
    <n v="5"/>
    <n v="1"/>
    <x v="8"/>
  </r>
  <r>
    <x v="443"/>
    <s v="Guest38@airbnb.com"/>
    <x v="1"/>
    <x v="227"/>
    <d v="2020-11-04T00:00:00"/>
    <d v="2020-10-30T00:00:00"/>
    <d v="1899-12-30T14:00:00"/>
    <d v="1899-12-30T11:00:00"/>
    <x v="1"/>
    <x v="0"/>
    <n v="4"/>
    <n v="0"/>
    <s v="GBP"/>
    <x v="164"/>
    <n v="4"/>
    <n v="1"/>
    <x v="8"/>
  </r>
  <r>
    <x v="444"/>
    <s v="Guest164@airbnb.com"/>
    <x v="2"/>
    <x v="227"/>
    <d v="2020-11-05T00:00:00"/>
    <d v="2020-10-31T00:00:00"/>
    <d v="1899-12-30T08:00:00"/>
    <d v="1899-12-31T00:00:00"/>
    <x v="1"/>
    <x v="0"/>
    <n v="1"/>
    <n v="0"/>
    <s v="GBP"/>
    <x v="163"/>
    <n v="1"/>
    <n v="2"/>
    <x v="8"/>
  </r>
  <r>
    <x v="51"/>
    <s v="Guest334@yahoo.com"/>
    <x v="2"/>
    <x v="227"/>
    <d v="2020-11-04T00:00:00"/>
    <d v="2020-11-01T00:00:00"/>
    <d v="1899-12-30T08:00:00"/>
    <d v="1899-12-31T00:00:00"/>
    <x v="0"/>
    <x v="1"/>
    <n v="6"/>
    <n v="0"/>
    <s v="GBP"/>
    <x v="111"/>
    <n v="6"/>
    <n v="1"/>
    <x v="8"/>
  </r>
  <r>
    <x v="307"/>
    <s v="Guest46@encry.com"/>
    <x v="5"/>
    <x v="227"/>
    <d v="2020-11-05T00:00:00"/>
    <d v="2020-11-02T00:00:00"/>
    <d v="1899-12-30T14:00:00"/>
    <d v="1899-12-30T11:00:00"/>
    <x v="0"/>
    <x v="1"/>
    <n v="4"/>
    <n v="0"/>
    <s v="GBP"/>
    <x v="157"/>
    <n v="4"/>
    <n v="2"/>
    <x v="8"/>
  </r>
  <r>
    <x v="212"/>
    <s v="Guest489@gmail%2Ecom"/>
    <x v="2"/>
    <x v="228"/>
    <d v="2020-11-05T00:00:00"/>
    <d v="2020-11-01T00:00:00"/>
    <d v="1899-12-30T08:00:00"/>
    <d v="1899-12-31T00:00:00"/>
    <x v="0"/>
    <x v="1"/>
    <n v="6"/>
    <n v="0"/>
    <s v="GBP"/>
    <x v="111"/>
    <n v="6"/>
    <n v="1"/>
    <x v="8"/>
  </r>
  <r>
    <x v="251"/>
    <s v="Guest1@gmail%2Ecom"/>
    <x v="6"/>
    <x v="228"/>
    <d v="2020-11-06T00:00:00"/>
    <d v="2020-11-04T00:00:00"/>
    <d v="1899-12-30T14:00:00"/>
    <d v="1899-12-30T11:00:00"/>
    <x v="0"/>
    <x v="1"/>
    <n v="4"/>
    <n v="0"/>
    <s v="GBP"/>
    <x v="116"/>
    <n v="4"/>
    <n v="2"/>
    <x v="8"/>
  </r>
  <r>
    <x v="445"/>
    <s v="Guest544@gmail.com"/>
    <x v="2"/>
    <x v="229"/>
    <d v="2020-11-06T00:00:00"/>
    <d v="2020-10-09T00:00:00"/>
    <d v="1899-12-30T08:00:00"/>
    <d v="1899-12-31T00:00:00"/>
    <x v="0"/>
    <x v="1"/>
    <n v="4"/>
    <n v="0"/>
    <s v="GBP"/>
    <x v="111"/>
    <n v="4"/>
    <n v="1"/>
    <x v="8"/>
  </r>
  <r>
    <x v="445"/>
    <s v="Guest544@gmail.com"/>
    <x v="1"/>
    <x v="229"/>
    <d v="2020-11-06T00:00:00"/>
    <d v="2020-10-09T00:00:00"/>
    <d v="1899-12-30T14:00:00"/>
    <d v="1899-12-30T11:00:00"/>
    <x v="0"/>
    <x v="0"/>
    <n v="8"/>
    <n v="0"/>
    <s v="GBP"/>
    <x v="165"/>
    <n v="8"/>
    <n v="1"/>
    <x v="8"/>
  </r>
  <r>
    <x v="235"/>
    <s v="Guest560@gmail.com"/>
    <x v="5"/>
    <x v="229"/>
    <d v="2020-11-06T00:00:00"/>
    <d v="2020-11-03T00:00:00"/>
    <d v="1899-12-30T14:00:00"/>
    <d v="1899-12-30T11:00:00"/>
    <x v="0"/>
    <x v="1"/>
    <n v="6"/>
    <n v="0"/>
    <s v="GBP"/>
    <x v="145"/>
    <n v="6"/>
    <n v="1"/>
    <x v="8"/>
  </r>
  <r>
    <x v="442"/>
    <s v="Guest379@gmail%2Ecom"/>
    <x v="6"/>
    <x v="229"/>
    <d v="2020-11-06T00:00:00"/>
    <d v="2020-10-06T00:00:00"/>
    <d v="1899-12-30T14:00:00"/>
    <d v="1899-12-30T11:00:00"/>
    <x v="0"/>
    <x v="0"/>
    <n v="6"/>
    <n v="0"/>
    <s v="GBP"/>
    <x v="111"/>
    <n v="6"/>
    <n v="1"/>
    <x v="8"/>
  </r>
  <r>
    <x v="379"/>
    <s v="Guest203@gmail%2Ecom"/>
    <x v="7"/>
    <x v="229"/>
    <d v="2020-12-04T00:00:00"/>
    <d v="2020-10-12T00:00:00"/>
    <d v="1899-12-30T14:00:00"/>
    <d v="1899-12-30T12:00:00"/>
    <x v="0"/>
    <x v="1"/>
    <n v="4"/>
    <n v="0"/>
    <s v="GBP"/>
    <x v="166"/>
    <n v="4"/>
    <n v="29"/>
    <x v="8"/>
  </r>
  <r>
    <x v="324"/>
    <s v="Guest470@yahoo.co.uk"/>
    <x v="3"/>
    <x v="230"/>
    <d v="2020-11-08T00:00:00"/>
    <d v="2020-09-22T00:00:00"/>
    <d v="1899-12-30T08:00:00"/>
    <d v="1899-12-31T00:00:00"/>
    <x v="0"/>
    <x v="0"/>
    <n v="4"/>
    <n v="0"/>
    <s v="GBP"/>
    <x v="116"/>
    <n v="4"/>
    <n v="2"/>
    <x v="8"/>
  </r>
  <r>
    <x v="446"/>
    <s v="Guest280@guest.airbnb.com"/>
    <x v="5"/>
    <x v="230"/>
    <d v="2020-11-08T00:00:00"/>
    <d v="2020-10-22T00:00:00"/>
    <d v="1899-12-30T14:00:00"/>
    <d v="1899-12-30T11:00:00"/>
    <x v="1"/>
    <x v="1"/>
    <n v="7"/>
    <n v="0"/>
    <s v="GBP"/>
    <x v="167"/>
    <n v="7"/>
    <n v="2"/>
    <x v="8"/>
  </r>
  <r>
    <x v="324"/>
    <s v="Guest470@yahoo.co.uk"/>
    <x v="6"/>
    <x v="230"/>
    <d v="2020-11-08T00:00:00"/>
    <d v="2020-09-22T00:00:00"/>
    <d v="1899-12-30T14:00:00"/>
    <d v="1899-12-30T11:00:00"/>
    <x v="0"/>
    <x v="0"/>
    <n v="4"/>
    <n v="0"/>
    <s v="GBP"/>
    <x v="116"/>
    <n v="4"/>
    <n v="2"/>
    <x v="8"/>
  </r>
  <r>
    <x v="447"/>
    <s v="Guest73@gmail.com"/>
    <x v="6"/>
    <x v="230"/>
    <d v="2020-11-07T00:00:00"/>
    <d v="2020-10-31T00:00:00"/>
    <d v="1899-12-30T14:00:00"/>
    <d v="1899-12-30T11:00:00"/>
    <x v="0"/>
    <x v="0"/>
    <n v="6"/>
    <n v="0"/>
    <s v="GBP"/>
    <x v="111"/>
    <n v="6"/>
    <n v="1"/>
    <x v="8"/>
  </r>
  <r>
    <x v="295"/>
    <s v="Guest403@gmail.com"/>
    <x v="6"/>
    <x v="230"/>
    <d v="2020-11-08T00:00:00"/>
    <d v="2020-11-03T00:00:00"/>
    <d v="1899-12-30T14:00:00"/>
    <d v="1899-12-30T11:00:00"/>
    <x v="0"/>
    <x v="1"/>
    <n v="6"/>
    <n v="0"/>
    <s v="GBP"/>
    <x v="116"/>
    <n v="6"/>
    <n v="2"/>
    <x v="8"/>
  </r>
  <r>
    <x v="448"/>
    <s v="Guest360@yahoo.com"/>
    <x v="6"/>
    <x v="231"/>
    <d v="2020-11-08T00:00:00"/>
    <d v="2020-10-31T00:00:00"/>
    <d v="1899-12-30T14:00:00"/>
    <d v="1899-12-30T11:00:00"/>
    <x v="0"/>
    <x v="0"/>
    <n v="8"/>
    <n v="0"/>
    <s v="GBP"/>
    <x v="168"/>
    <n v="8"/>
    <n v="1"/>
    <x v="8"/>
  </r>
  <r>
    <x v="449"/>
    <s v="Guest464@airbnb.com"/>
    <x v="1"/>
    <x v="232"/>
    <d v="2020-11-09T00:00:00"/>
    <d v="2020-10-30T00:00:00"/>
    <d v="1899-12-30T14:00:00"/>
    <d v="1899-12-30T11:00:00"/>
    <x v="1"/>
    <x v="0"/>
    <n v="1"/>
    <n v="0"/>
    <s v="GBP"/>
    <x v="169"/>
    <n v="1"/>
    <n v="1"/>
    <x v="8"/>
  </r>
  <r>
    <x v="448"/>
    <s v="Guest360@yahoo.com"/>
    <x v="4"/>
    <x v="232"/>
    <d v="2020-11-11T00:00:00"/>
    <d v="2020-10-31T00:00:00"/>
    <d v="1899-12-30T12:00:00"/>
    <d v="1899-12-30T14:00:00"/>
    <x v="0"/>
    <x v="0"/>
    <n v="8"/>
    <n v="0"/>
    <s v="GBP"/>
    <x v="133"/>
    <n v="8"/>
    <n v="3"/>
    <x v="8"/>
  </r>
  <r>
    <x v="295"/>
    <s v="Guest403@gmail.com"/>
    <x v="4"/>
    <x v="232"/>
    <d v="2020-11-09T00:00:00"/>
    <d v="2020-11-03T00:00:00"/>
    <d v="1899-12-30T12:00:00"/>
    <d v="1899-12-30T14:00:00"/>
    <x v="0"/>
    <x v="1"/>
    <n v="5"/>
    <n v="0"/>
    <s v="GBP"/>
    <x v="111"/>
    <n v="5"/>
    <n v="1"/>
    <x v="8"/>
  </r>
  <r>
    <x v="450"/>
    <s v="Guest513@gmail.com"/>
    <x v="5"/>
    <x v="232"/>
    <d v="2020-11-09T00:00:00"/>
    <d v="2020-10-27T00:00:00"/>
    <d v="1899-12-30T14:00:00"/>
    <d v="1899-12-30T11:00:00"/>
    <x v="0"/>
    <x v="1"/>
    <n v="6"/>
    <n v="0"/>
    <s v="GBP"/>
    <x v="145"/>
    <n v="6"/>
    <n v="1"/>
    <x v="8"/>
  </r>
  <r>
    <x v="448"/>
    <s v="Guest360@yahoo.com"/>
    <x v="6"/>
    <x v="233"/>
    <d v="2020-11-11T00:00:00"/>
    <d v="2020-10-31T00:00:00"/>
    <d v="1899-12-30T14:00:00"/>
    <d v="1899-12-30T11:00:00"/>
    <x v="0"/>
    <x v="0"/>
    <n v="7"/>
    <n v="0"/>
    <s v="GBP"/>
    <x v="170"/>
    <n v="7"/>
    <n v="2"/>
    <x v="8"/>
  </r>
  <r>
    <x v="451"/>
    <s v="Guest197@gmail.com"/>
    <x v="6"/>
    <x v="233"/>
    <d v="2020-11-10T00:00:00"/>
    <d v="2020-11-06T00:00:00"/>
    <d v="1899-12-30T14:00:00"/>
    <d v="1899-12-30T11:00:00"/>
    <x v="0"/>
    <x v="1"/>
    <n v="4"/>
    <n v="0"/>
    <s v="GBP"/>
    <x v="111"/>
    <n v="4"/>
    <n v="1"/>
    <x v="8"/>
  </r>
  <r>
    <x v="442"/>
    <s v="Guest379@gmail%2Ecom"/>
    <x v="5"/>
    <x v="233"/>
    <d v="2020-11-11T00:00:00"/>
    <d v="2020-11-03T00:00:00"/>
    <d v="1899-12-30T14:00:00"/>
    <d v="1899-12-30T11:00:00"/>
    <x v="0"/>
    <x v="0"/>
    <n v="3"/>
    <n v="0"/>
    <s v="GBP"/>
    <x v="157"/>
    <n v="3"/>
    <n v="2"/>
    <x v="8"/>
  </r>
  <r>
    <x v="452"/>
    <s v="Guest80@yahoo%2Ecom"/>
    <x v="5"/>
    <x v="233"/>
    <d v="2020-11-14T00:00:00"/>
    <d v="2020-11-06T00:00:00"/>
    <d v="1899-12-30T14:00:00"/>
    <d v="1899-12-30T11:00:00"/>
    <x v="0"/>
    <x v="1"/>
    <n v="5"/>
    <n v="0"/>
    <s v="GBP"/>
    <x v="171"/>
    <n v="5"/>
    <n v="5"/>
    <x v="8"/>
  </r>
  <r>
    <x v="453"/>
    <s v="Guest268@gmail%2Ecom"/>
    <x v="4"/>
    <x v="233"/>
    <d v="2020-11-13T00:00:00"/>
    <d v="2020-11-09T00:00:00"/>
    <d v="1899-12-30T12:00:00"/>
    <d v="1899-12-30T14:00:00"/>
    <x v="0"/>
    <x v="1"/>
    <n v="6"/>
    <n v="0"/>
    <s v="GBP"/>
    <x v="133"/>
    <n v="6"/>
    <n v="4"/>
    <x v="8"/>
  </r>
  <r>
    <x v="299"/>
    <s v="Guest3@gmail.com"/>
    <x v="5"/>
    <x v="234"/>
    <d v="2020-11-11T00:00:00"/>
    <d v="2020-09-17T00:00:00"/>
    <d v="1899-12-30T14:00:00"/>
    <d v="1899-12-30T11:00:00"/>
    <x v="0"/>
    <x v="0"/>
    <n v="5"/>
    <n v="0"/>
    <s v="GBP"/>
    <x v="144"/>
    <n v="5"/>
    <n v="1"/>
    <x v="8"/>
  </r>
  <r>
    <x v="454"/>
    <s v="Guest372@theproperty.com"/>
    <x v="6"/>
    <x v="234"/>
    <d v="2020-11-13T00:00:00"/>
    <d v="2020-11-13T00:00:00"/>
    <d v="1899-12-30T14:00:00"/>
    <d v="1899-12-30T11:00:00"/>
    <x v="0"/>
    <x v="0"/>
    <n v="5"/>
    <n v="0"/>
    <s v="GBP"/>
    <x v="119"/>
    <n v="5"/>
    <n v="3"/>
    <x v="8"/>
  </r>
  <r>
    <x v="455"/>
    <s v="Guest514@airbnb.com"/>
    <x v="1"/>
    <x v="235"/>
    <d v="2020-11-18T00:00:00"/>
    <d v="2020-10-10T00:00:00"/>
    <d v="1899-12-30T14:00:00"/>
    <d v="1899-12-30T11:00:00"/>
    <x v="1"/>
    <x v="0"/>
    <n v="1"/>
    <n v="0"/>
    <s v="GBP"/>
    <x v="172"/>
    <n v="1"/>
    <n v="7"/>
    <x v="8"/>
  </r>
  <r>
    <x v="429"/>
    <s v="Guest511@gmail.com"/>
    <x v="4"/>
    <x v="235"/>
    <d v="2020-12-11T00:00:00"/>
    <d v="2020-10-28T00:00:00"/>
    <d v="1899-12-30T12:00:00"/>
    <d v="1899-12-30T14:00:00"/>
    <x v="0"/>
    <x v="0"/>
    <n v="1"/>
    <n v="0"/>
    <s v="GBP"/>
    <x v="4"/>
    <n v="1"/>
    <n v="30"/>
    <x v="8"/>
  </r>
  <r>
    <x v="456"/>
    <s v="Guest502@gmail%2Ecom"/>
    <x v="0"/>
    <x v="235"/>
    <d v="2020-11-13T00:00:00"/>
    <d v="2020-10-27T00:00:00"/>
    <d v="1899-12-30T11:00:00"/>
    <d v="1899-12-30T10:00:00"/>
    <x v="0"/>
    <x v="0"/>
    <n v="6"/>
    <n v="0"/>
    <s v="GBP"/>
    <x v="2"/>
    <n v="6"/>
    <n v="2"/>
    <x v="8"/>
  </r>
  <r>
    <x v="457"/>
    <s v="Guest482@sdf.sfd"/>
    <x v="4"/>
    <x v="235"/>
    <d v="2020-12-11T00:00:00"/>
    <d v="2020-11-04T00:00:00"/>
    <d v="1899-12-30T12:00:00"/>
    <d v="1899-12-30T14:00:00"/>
    <x v="0"/>
    <x v="0"/>
    <n v="1"/>
    <n v="0"/>
    <s v="GBP"/>
    <x v="4"/>
    <n v="1"/>
    <n v="30"/>
    <x v="8"/>
  </r>
  <r>
    <x v="458"/>
    <s v="Guest461@gmail.com"/>
    <x v="5"/>
    <x v="235"/>
    <d v="2020-11-12T00:00:00"/>
    <d v="2020-11-05T00:00:00"/>
    <d v="1899-12-30T14:00:00"/>
    <d v="1899-12-30T11:00:00"/>
    <x v="0"/>
    <x v="0"/>
    <n v="6"/>
    <n v="0"/>
    <s v="GBP"/>
    <x v="173"/>
    <n v="6"/>
    <n v="1"/>
    <x v="8"/>
  </r>
  <r>
    <x v="456"/>
    <s v="Guest502@gmail%2Ecom"/>
    <x v="4"/>
    <x v="235"/>
    <d v="2020-11-13T00:00:00"/>
    <d v="2020-10-30T00:00:00"/>
    <d v="1899-12-30T12:00:00"/>
    <d v="1899-12-30T14:00:00"/>
    <x v="0"/>
    <x v="0"/>
    <n v="7"/>
    <n v="0"/>
    <s v="GBP"/>
    <x v="174"/>
    <n v="7"/>
    <n v="2"/>
    <x v="8"/>
  </r>
  <r>
    <x v="456"/>
    <s v="Guest502@gmail%2Ecom"/>
    <x v="6"/>
    <x v="235"/>
    <d v="2020-11-13T00:00:00"/>
    <d v="2020-10-27T00:00:00"/>
    <d v="1899-12-30T14:00:00"/>
    <d v="1899-12-30T11:00:00"/>
    <x v="0"/>
    <x v="0"/>
    <n v="6"/>
    <n v="0"/>
    <s v="GBP"/>
    <x v="116"/>
    <n v="6"/>
    <n v="2"/>
    <x v="8"/>
  </r>
  <r>
    <x v="423"/>
    <s v="Guest361@yahoo%2Ecom"/>
    <x v="6"/>
    <x v="236"/>
    <d v="2020-11-16T00:00:00"/>
    <d v="2020-11-02T00:00:00"/>
    <d v="1899-12-30T14:00:00"/>
    <d v="1899-12-30T11:00:00"/>
    <x v="0"/>
    <x v="0"/>
    <n v="4"/>
    <n v="0"/>
    <s v="GBP"/>
    <x v="119"/>
    <n v="4"/>
    <n v="3"/>
    <x v="8"/>
  </r>
  <r>
    <x v="442"/>
    <s v="Guest379@gmail%2Ecom"/>
    <x v="6"/>
    <x v="236"/>
    <d v="2020-11-14T00:00:00"/>
    <d v="2020-11-04T00:00:00"/>
    <d v="1899-12-30T14:00:00"/>
    <d v="1899-12-30T11:00:00"/>
    <x v="0"/>
    <x v="0"/>
    <n v="2"/>
    <n v="0"/>
    <s v="GBP"/>
    <x v="111"/>
    <n v="2"/>
    <n v="1"/>
    <x v="8"/>
  </r>
  <r>
    <x v="453"/>
    <s v="Guest268@gmail%2Ecom"/>
    <x v="6"/>
    <x v="236"/>
    <d v="2020-11-14T00:00:00"/>
    <d v="2020-11-12T00:00:00"/>
    <d v="1899-12-30T14:00:00"/>
    <d v="1899-12-30T11:00:00"/>
    <x v="0"/>
    <x v="1"/>
    <n v="6"/>
    <n v="0"/>
    <s v="GBP"/>
    <x v="111"/>
    <n v="6"/>
    <n v="1"/>
    <x v="8"/>
  </r>
  <r>
    <x v="69"/>
    <s v="Guest460@gmail.com"/>
    <x v="1"/>
    <x v="236"/>
    <d v="2020-11-16T00:00:00"/>
    <d v="2020-10-13T00:00:00"/>
    <d v="1899-12-30T14:00:00"/>
    <d v="1899-12-30T11:00:00"/>
    <x v="0"/>
    <x v="0"/>
    <n v="5"/>
    <n v="0"/>
    <s v="GBP"/>
    <x v="119"/>
    <n v="5"/>
    <n v="3"/>
    <x v="8"/>
  </r>
  <r>
    <x v="459"/>
    <s v="Guest293@airbnb.com"/>
    <x v="1"/>
    <x v="237"/>
    <d v="2020-11-15T00:00:00"/>
    <d v="2020-10-12T00:00:00"/>
    <d v="1899-12-30T14:00:00"/>
    <d v="1899-12-30T11:00:00"/>
    <x v="1"/>
    <x v="0"/>
    <n v="1"/>
    <n v="0"/>
    <s v="GBP"/>
    <x v="175"/>
    <n v="1"/>
    <n v="1"/>
    <x v="8"/>
  </r>
  <r>
    <x v="260"/>
    <s v="Guest380@gmail.com"/>
    <x v="5"/>
    <x v="237"/>
    <d v="2020-11-16T00:00:00"/>
    <d v="2020-10-17T00:00:00"/>
    <d v="1899-12-30T14:00:00"/>
    <d v="1899-12-30T11:00:00"/>
    <x v="0"/>
    <x v="1"/>
    <n v="6"/>
    <n v="0"/>
    <s v="GBP"/>
    <x v="130"/>
    <n v="6"/>
    <n v="2"/>
    <x v="8"/>
  </r>
  <r>
    <x v="460"/>
    <s v="Guest83@encry.com"/>
    <x v="6"/>
    <x v="237"/>
    <d v="2020-11-16T00:00:00"/>
    <d v="2020-11-10T00:00:00"/>
    <d v="1899-12-30T14:00:00"/>
    <d v="1899-12-30T11:00:00"/>
    <x v="0"/>
    <x v="1"/>
    <n v="5"/>
    <n v="0"/>
    <s v="GBP"/>
    <x v="116"/>
    <n v="5"/>
    <n v="2"/>
    <x v="8"/>
  </r>
  <r>
    <x v="442"/>
    <s v="Guest379@gmail%2Ecom"/>
    <x v="0"/>
    <x v="238"/>
    <d v="2020-11-18T00:00:00"/>
    <d v="2020-11-07T00:00:00"/>
    <d v="1899-12-30T11:00:00"/>
    <d v="1899-12-30T10:00:00"/>
    <x v="0"/>
    <x v="0"/>
    <n v="6"/>
    <n v="0"/>
    <s v="GBP"/>
    <x v="176"/>
    <n v="6"/>
    <n v="2"/>
    <x v="8"/>
  </r>
  <r>
    <x v="460"/>
    <s v="Guest83@encry.com"/>
    <x v="5"/>
    <x v="238"/>
    <d v="2020-11-17T00:00:00"/>
    <d v="2020-11-10T00:00:00"/>
    <d v="1899-12-30T14:00:00"/>
    <d v="1899-12-30T11:00:00"/>
    <x v="0"/>
    <x v="1"/>
    <n v="5"/>
    <n v="0"/>
    <s v="GBP"/>
    <x v="145"/>
    <n v="5"/>
    <n v="1"/>
    <x v="8"/>
  </r>
  <r>
    <x v="461"/>
    <s v="Guest22@gmail.com"/>
    <x v="1"/>
    <x v="238"/>
    <d v="2020-11-17T00:00:00"/>
    <d v="2020-11-13T00:00:00"/>
    <d v="1899-12-30T14:00:00"/>
    <d v="1899-12-30T11:00:00"/>
    <x v="0"/>
    <x v="1"/>
    <n v="4"/>
    <n v="0"/>
    <s v="GBP"/>
    <x v="111"/>
    <n v="4"/>
    <n v="1"/>
    <x v="8"/>
  </r>
  <r>
    <x v="442"/>
    <s v="Guest379@gmail%2Ecom"/>
    <x v="0"/>
    <x v="238"/>
    <d v="2020-11-19T00:00:00"/>
    <d v="2020-11-08T00:00:00"/>
    <d v="1899-12-30T11:00:00"/>
    <d v="1899-12-30T10:00:00"/>
    <x v="0"/>
    <x v="1"/>
    <n v="5"/>
    <n v="0"/>
    <s v="GBP"/>
    <x v="119"/>
    <n v="5"/>
    <n v="3"/>
    <x v="8"/>
  </r>
  <r>
    <x v="88"/>
    <s v="Guest275@airbnb.com"/>
    <x v="5"/>
    <x v="239"/>
    <d v="2020-11-20T00:00:00"/>
    <d v="2020-10-24T00:00:00"/>
    <d v="1899-12-30T14:00:00"/>
    <d v="1899-12-30T11:00:00"/>
    <x v="0"/>
    <x v="1"/>
    <n v="4"/>
    <n v="0"/>
    <s v="GBP"/>
    <x v="161"/>
    <n v="4"/>
    <n v="3"/>
    <x v="8"/>
  </r>
  <r>
    <x v="239"/>
    <s v="Guest295@gmail.com"/>
    <x v="1"/>
    <x v="239"/>
    <d v="2020-11-18T00:00:00"/>
    <d v="2020-11-24T00:00:00"/>
    <d v="1899-12-30T14:00:00"/>
    <d v="1899-12-30T11:00:00"/>
    <x v="0"/>
    <x v="1"/>
    <n v="4"/>
    <n v="0"/>
    <s v="GBP"/>
    <x v="111"/>
    <n v="4"/>
    <n v="1"/>
    <x v="8"/>
  </r>
  <r>
    <x v="462"/>
    <s v="Guest40@airbnb.com"/>
    <x v="1"/>
    <x v="240"/>
    <d v="2020-11-22T00:00:00"/>
    <d v="2020-07-19T00:00:00"/>
    <d v="1899-12-30T14:00:00"/>
    <d v="1899-12-30T11:00:00"/>
    <x v="1"/>
    <x v="0"/>
    <n v="1"/>
    <n v="0"/>
    <s v="GBP"/>
    <x v="177"/>
    <n v="1"/>
    <n v="4"/>
    <x v="8"/>
  </r>
  <r>
    <x v="442"/>
    <s v="Guest379@gmail%2Ecom"/>
    <x v="4"/>
    <x v="240"/>
    <d v="2020-11-19T00:00:00"/>
    <d v="2020-11-18T00:00:00"/>
    <d v="1899-12-30T12:00:00"/>
    <d v="1899-12-30T14:00:00"/>
    <x v="0"/>
    <x v="1"/>
    <n v="4"/>
    <n v="0"/>
    <s v="GBP"/>
    <x v="111"/>
    <n v="4"/>
    <n v="1"/>
    <x v="8"/>
  </r>
  <r>
    <x v="197"/>
    <s v="Guest289@yahoo%2Ecom"/>
    <x v="6"/>
    <x v="240"/>
    <d v="2020-11-19T00:00:00"/>
    <d v="2020-11-07T00:00:00"/>
    <d v="1899-12-30T14:00:00"/>
    <d v="1899-12-30T11:00:00"/>
    <x v="0"/>
    <x v="0"/>
    <n v="5"/>
    <n v="0"/>
    <s v="GBP"/>
    <x v="111"/>
    <n v="5"/>
    <n v="1"/>
    <x v="8"/>
  </r>
  <r>
    <x v="442"/>
    <s v="Guest379@gmail%2Ecom"/>
    <x v="0"/>
    <x v="240"/>
    <d v="2020-11-19T00:00:00"/>
    <d v="2020-11-13T00:00:00"/>
    <d v="1899-12-30T11:00:00"/>
    <d v="1899-12-30T10:00:00"/>
    <x v="0"/>
    <x v="0"/>
    <n v="5"/>
    <n v="0"/>
    <s v="GBP"/>
    <x v="169"/>
    <n v="5"/>
    <n v="1"/>
    <x v="8"/>
  </r>
  <r>
    <x v="395"/>
    <s v="Guest302@gmail.com"/>
    <x v="0"/>
    <x v="241"/>
    <d v="2020-11-24T00:00:00"/>
    <d v="2020-11-07T00:00:00"/>
    <d v="1899-12-30T11:00:00"/>
    <d v="1899-12-30T10:00:00"/>
    <x v="0"/>
    <x v="0"/>
    <n v="5"/>
    <n v="0"/>
    <s v="GBP"/>
    <x v="178"/>
    <n v="5"/>
    <n v="5"/>
    <x v="8"/>
  </r>
  <r>
    <x v="395"/>
    <s v="Guest302@gmail.com"/>
    <x v="0"/>
    <x v="241"/>
    <d v="2020-11-24T00:00:00"/>
    <d v="2020-11-08T00:00:00"/>
    <d v="1899-12-30T11:00:00"/>
    <d v="1899-12-30T10:00:00"/>
    <x v="0"/>
    <x v="1"/>
    <n v="6"/>
    <n v="0"/>
    <s v="GBP"/>
    <x v="178"/>
    <n v="6"/>
    <n v="5"/>
    <x v="8"/>
  </r>
  <r>
    <x v="251"/>
    <s v="Guest1@gmail%2Ecom"/>
    <x v="6"/>
    <x v="241"/>
    <d v="2020-11-20T00:00:00"/>
    <d v="2020-11-16T00:00:00"/>
    <d v="1899-12-30T14:00:00"/>
    <d v="1899-12-30T11:00:00"/>
    <x v="0"/>
    <x v="0"/>
    <n v="2"/>
    <n v="0"/>
    <s v="GBP"/>
    <x v="111"/>
    <n v="2"/>
    <n v="1"/>
    <x v="8"/>
  </r>
  <r>
    <x v="463"/>
    <s v="Guest12@gmail.com"/>
    <x v="6"/>
    <x v="241"/>
    <d v="2020-11-20T00:00:00"/>
    <d v="2020-11-16T00:00:00"/>
    <d v="1899-12-30T14:00:00"/>
    <d v="1899-12-30T11:00:00"/>
    <x v="0"/>
    <x v="1"/>
    <n v="2"/>
    <n v="0"/>
    <s v="GBP"/>
    <x v="111"/>
    <n v="2"/>
    <n v="1"/>
    <x v="8"/>
  </r>
  <r>
    <x v="442"/>
    <s v="Guest379@gmail%2Ecom"/>
    <x v="1"/>
    <x v="241"/>
    <d v="2020-11-20T00:00:00"/>
    <d v="2020-11-19T00:00:00"/>
    <d v="1899-12-30T14:00:00"/>
    <d v="1899-12-30T11:00:00"/>
    <x v="0"/>
    <x v="1"/>
    <n v="3"/>
    <n v="0"/>
    <s v="GBP"/>
    <x v="111"/>
    <n v="3"/>
    <n v="1"/>
    <x v="8"/>
  </r>
  <r>
    <x v="157"/>
    <s v="Guest406@airbnb.com"/>
    <x v="1"/>
    <x v="242"/>
    <d v="2020-11-21T00:00:00"/>
    <d v="2020-10-25T00:00:00"/>
    <d v="1899-12-30T14:00:00"/>
    <d v="1899-12-30T11:00:00"/>
    <x v="0"/>
    <x v="1"/>
    <n v="4"/>
    <n v="0"/>
    <s v="GBP"/>
    <x v="111"/>
    <n v="4"/>
    <n v="1"/>
    <x v="8"/>
  </r>
  <r>
    <x v="428"/>
    <s v="Guest376@yahoo.com"/>
    <x v="5"/>
    <x v="242"/>
    <d v="2020-11-21T00:00:00"/>
    <d v="2020-10-24T00:00:00"/>
    <d v="1899-12-30T14:00:00"/>
    <d v="1899-12-30T11:00:00"/>
    <x v="0"/>
    <x v="0"/>
    <n v="6"/>
    <n v="0"/>
    <s v="GBP"/>
    <x v="145"/>
    <n v="6"/>
    <n v="1"/>
    <x v="8"/>
  </r>
  <r>
    <x v="250"/>
    <s v="Guest29@gmail.com"/>
    <x v="6"/>
    <x v="242"/>
    <d v="2020-11-21T00:00:00"/>
    <d v="2020-11-18T00:00:00"/>
    <d v="1899-12-30T14:00:00"/>
    <d v="1899-12-30T11:00:00"/>
    <x v="0"/>
    <x v="0"/>
    <n v="5"/>
    <n v="0"/>
    <s v="GBP"/>
    <x v="111"/>
    <n v="5"/>
    <n v="1"/>
    <x v="8"/>
  </r>
  <r>
    <x v="452"/>
    <s v="Guest80@yahoo%2Ecom"/>
    <x v="5"/>
    <x v="242"/>
    <d v="2020-11-22T00:00:00"/>
    <d v="2020-11-15T00:00:00"/>
    <d v="1899-12-30T14:00:00"/>
    <d v="1899-12-30T11:00:00"/>
    <x v="0"/>
    <x v="1"/>
    <n v="3"/>
    <n v="0"/>
    <s v="GBP"/>
    <x v="157"/>
    <n v="3"/>
    <n v="2"/>
    <x v="8"/>
  </r>
  <r>
    <x v="464"/>
    <s v="Guest556@airbnb.com"/>
    <x v="1"/>
    <x v="243"/>
    <d v="2020-11-23T00:00:00"/>
    <d v="2020-10-05T00:00:00"/>
    <d v="1899-12-30T14:00:00"/>
    <d v="1899-12-30T11:00:00"/>
    <x v="1"/>
    <x v="0"/>
    <n v="2"/>
    <n v="0"/>
    <s v="GBP"/>
    <x v="179"/>
    <n v="2"/>
    <n v="2"/>
    <x v="8"/>
  </r>
  <r>
    <x v="465"/>
    <s v="Guest363@airbnb.com"/>
    <x v="1"/>
    <x v="243"/>
    <d v="2020-11-22T00:00:00"/>
    <d v="2020-10-13T00:00:00"/>
    <d v="1899-12-30T14:00:00"/>
    <d v="1899-12-30T11:00:00"/>
    <x v="1"/>
    <x v="0"/>
    <n v="6"/>
    <n v="0"/>
    <s v="GBP"/>
    <x v="175"/>
    <n v="6"/>
    <n v="1"/>
    <x v="8"/>
  </r>
  <r>
    <x v="466"/>
    <s v="Guest503@gmail.com"/>
    <x v="4"/>
    <x v="244"/>
    <d v="2020-11-23T00:00:00"/>
    <d v="2020-10-16T00:00:00"/>
    <d v="1899-12-30T12:00:00"/>
    <d v="1899-12-30T14:00:00"/>
    <x v="0"/>
    <x v="0"/>
    <n v="10"/>
    <n v="0"/>
    <s v="GBP"/>
    <x v="17"/>
    <n v="10"/>
    <n v="1"/>
    <x v="8"/>
  </r>
  <r>
    <x v="467"/>
    <s v="Guest370@gmail.com"/>
    <x v="4"/>
    <x v="244"/>
    <d v="2020-11-25T00:00:00"/>
    <d v="2020-10-17T00:00:00"/>
    <d v="1899-12-30T12:00:00"/>
    <d v="1899-12-30T14:00:00"/>
    <x v="0"/>
    <x v="0"/>
    <n v="1"/>
    <n v="0"/>
    <s v="GBP"/>
    <x v="75"/>
    <n v="1"/>
    <n v="3"/>
    <x v="8"/>
  </r>
  <r>
    <x v="468"/>
    <s v="Guest6@careerinsights.tv"/>
    <x v="4"/>
    <x v="244"/>
    <d v="2020-11-23T00:00:00"/>
    <d v="2020-11-06T00:00:00"/>
    <d v="1899-12-30T12:00:00"/>
    <d v="1899-12-30T14:00:00"/>
    <x v="0"/>
    <x v="0"/>
    <n v="1"/>
    <n v="0"/>
    <s v="GBP"/>
    <x v="4"/>
    <n v="1"/>
    <n v="1"/>
    <x v="8"/>
  </r>
  <r>
    <x v="205"/>
    <s v="Guest569@gmail.com"/>
    <x v="5"/>
    <x v="244"/>
    <d v="2020-11-23T00:00:00"/>
    <d v="2020-10-24T00:00:00"/>
    <d v="1899-12-30T14:00:00"/>
    <d v="1899-12-30T11:00:00"/>
    <x v="0"/>
    <x v="0"/>
    <n v="4"/>
    <n v="0"/>
    <s v="GBP"/>
    <x v="145"/>
    <n v="4"/>
    <n v="1"/>
    <x v="8"/>
  </r>
  <r>
    <x v="205"/>
    <s v="Guest569@gmail.com"/>
    <x v="1"/>
    <x v="244"/>
    <d v="2020-11-23T00:00:00"/>
    <d v="2020-11-15T00:00:00"/>
    <d v="1899-12-30T14:00:00"/>
    <d v="1899-12-30T11:00:00"/>
    <x v="0"/>
    <x v="0"/>
    <n v="3"/>
    <n v="0"/>
    <s v="GBP"/>
    <x v="111"/>
    <n v="3"/>
    <n v="1"/>
    <x v="8"/>
  </r>
  <r>
    <x v="469"/>
    <s v="Guest546@gmail.com"/>
    <x v="1"/>
    <x v="244"/>
    <d v="2020-11-24T00:00:00"/>
    <d v="2020-11-16T00:00:00"/>
    <d v="1899-12-30T14:00:00"/>
    <d v="1899-12-30T11:00:00"/>
    <x v="0"/>
    <x v="1"/>
    <n v="5"/>
    <n v="0"/>
    <s v="GBP"/>
    <x v="116"/>
    <n v="5"/>
    <n v="2"/>
    <x v="8"/>
  </r>
  <r>
    <x v="470"/>
    <s v="Guest2@gmail.com"/>
    <x v="5"/>
    <x v="244"/>
    <d v="2020-11-25T00:00:00"/>
    <d v="2020-11-23T00:00:00"/>
    <d v="1899-12-30T14:00:00"/>
    <d v="1899-12-30T11:00:00"/>
    <x v="0"/>
    <x v="1"/>
    <n v="4"/>
    <n v="0"/>
    <s v="GBP"/>
    <x v="180"/>
    <n v="4"/>
    <n v="3"/>
    <x v="8"/>
  </r>
  <r>
    <x v="469"/>
    <s v="Guest546@gmail.com"/>
    <x v="4"/>
    <x v="245"/>
    <d v="2020-11-25T00:00:00"/>
    <d v="2020-11-16T00:00:00"/>
    <d v="1899-12-30T12:00:00"/>
    <d v="1899-12-30T14:00:00"/>
    <x v="0"/>
    <x v="0"/>
    <n v="3"/>
    <n v="0"/>
    <s v="GBP"/>
    <x v="181"/>
    <n v="3"/>
    <n v="2"/>
    <x v="8"/>
  </r>
  <r>
    <x v="469"/>
    <s v="Guest546@gmail.com"/>
    <x v="4"/>
    <x v="245"/>
    <d v="2020-11-25T00:00:00"/>
    <d v="2020-11-16T00:00:00"/>
    <d v="1899-12-30T12:00:00"/>
    <d v="1899-12-30T14:00:00"/>
    <x v="0"/>
    <x v="0"/>
    <n v="3"/>
    <n v="0"/>
    <s v="GBP"/>
    <x v="181"/>
    <n v="3"/>
    <n v="2"/>
    <x v="8"/>
  </r>
  <r>
    <x v="471"/>
    <s v="Guest446@gmail.com"/>
    <x v="4"/>
    <x v="246"/>
    <d v="2020-11-27T00:00:00"/>
    <d v="2020-11-14T00:00:00"/>
    <d v="1899-12-30T12:00:00"/>
    <d v="1899-12-30T14:00:00"/>
    <x v="0"/>
    <x v="0"/>
    <n v="2"/>
    <n v="0"/>
    <s v="GBP"/>
    <x v="182"/>
    <n v="2"/>
    <n v="3"/>
    <x v="8"/>
  </r>
  <r>
    <x v="251"/>
    <s v="Guest1@gmail%2Ecom"/>
    <x v="1"/>
    <x v="246"/>
    <d v="2020-11-26T00:00:00"/>
    <d v="2020-11-22T00:00:00"/>
    <d v="1899-12-30T14:00:00"/>
    <d v="1899-12-30T11:00:00"/>
    <x v="0"/>
    <x v="0"/>
    <n v="5"/>
    <n v="0"/>
    <s v="GBP"/>
    <x v="116"/>
    <n v="5"/>
    <n v="2"/>
    <x v="8"/>
  </r>
  <r>
    <x v="67"/>
    <s v="Guest151@careerinsights.tv"/>
    <x v="4"/>
    <x v="246"/>
    <d v="2020-11-25T00:00:00"/>
    <d v="2020-11-23T00:00:00"/>
    <d v="1899-12-30T12:00:00"/>
    <d v="1899-12-30T14:00:00"/>
    <x v="0"/>
    <x v="0"/>
    <n v="1"/>
    <n v="0"/>
    <s v="GBP"/>
    <x v="17"/>
    <n v="1"/>
    <n v="1"/>
    <x v="8"/>
  </r>
  <r>
    <x v="472"/>
    <s v="Guest395@gmail.com"/>
    <x v="1"/>
    <x v="246"/>
    <d v="2020-11-26T00:00:00"/>
    <d v="2020-11-24T00:00:00"/>
    <d v="1899-12-30T14:00:00"/>
    <d v="1899-12-30T11:00:00"/>
    <x v="0"/>
    <x v="1"/>
    <n v="6"/>
    <n v="0"/>
    <s v="GBP"/>
    <x v="116"/>
    <n v="6"/>
    <n v="2"/>
    <x v="8"/>
  </r>
  <r>
    <x v="197"/>
    <s v="Guest289@yahoo%2Ecom"/>
    <x v="4"/>
    <x v="247"/>
    <d v="2020-11-26T00:00:00"/>
    <d v="2020-11-09T00:00:00"/>
    <d v="1899-12-30T12:00:00"/>
    <d v="1899-12-30T14:00:00"/>
    <x v="0"/>
    <x v="0"/>
    <n v="1"/>
    <n v="0"/>
    <s v="GBP"/>
    <x v="4"/>
    <n v="1"/>
    <n v="1"/>
    <x v="8"/>
  </r>
  <r>
    <x v="473"/>
    <s v="Guest409@gmail.com"/>
    <x v="4"/>
    <x v="247"/>
    <d v="2020-11-27T00:00:00"/>
    <d v="2020-11-17T00:00:00"/>
    <d v="1899-12-30T12:00:00"/>
    <d v="1899-12-30T14:00:00"/>
    <x v="0"/>
    <x v="0"/>
    <n v="3"/>
    <n v="0"/>
    <s v="GBP"/>
    <x v="181"/>
    <n v="3"/>
    <n v="2"/>
    <x v="8"/>
  </r>
  <r>
    <x v="473"/>
    <s v="Guest409@gmail.com"/>
    <x v="4"/>
    <x v="247"/>
    <d v="2020-11-27T00:00:00"/>
    <d v="2020-11-20T00:00:00"/>
    <d v="1899-12-30T12:00:00"/>
    <d v="1899-12-30T14:00:00"/>
    <x v="0"/>
    <x v="0"/>
    <n v="3"/>
    <n v="0"/>
    <s v="GBP"/>
    <x v="181"/>
    <n v="3"/>
    <n v="2"/>
    <x v="8"/>
  </r>
  <r>
    <x v="474"/>
    <s v="Guest185@airbnb.com"/>
    <x v="1"/>
    <x v="247"/>
    <d v="2020-11-26T00:00:00"/>
    <d v="2020-11-22T00:00:00"/>
    <d v="1899-12-30T14:00:00"/>
    <d v="1899-12-30T11:00:00"/>
    <x v="1"/>
    <x v="0"/>
    <n v="2"/>
    <n v="0"/>
    <s v="GBP"/>
    <x v="164"/>
    <n v="2"/>
    <n v="1"/>
    <x v="8"/>
  </r>
  <r>
    <x v="475"/>
    <s v="Guest319@gmal.com"/>
    <x v="5"/>
    <x v="247"/>
    <d v="2020-11-27T00:00:00"/>
    <d v="2020-11-23T00:00:00"/>
    <d v="1899-12-30T14:00:00"/>
    <d v="1899-12-30T11:00:00"/>
    <x v="0"/>
    <x v="1"/>
    <n v="5"/>
    <n v="0"/>
    <s v="GBP"/>
    <x v="157"/>
    <n v="5"/>
    <n v="2"/>
    <x v="8"/>
  </r>
  <r>
    <x v="197"/>
    <s v="Guest289@yahoo%2Ecom"/>
    <x v="5"/>
    <x v="248"/>
    <d v="2020-11-30T00:00:00"/>
    <d v="2020-09-14T00:00:00"/>
    <d v="1899-12-30T14:00:00"/>
    <d v="1899-12-30T11:00:00"/>
    <x v="0"/>
    <x v="0"/>
    <n v="2"/>
    <n v="0"/>
    <s v="GBP"/>
    <x v="132"/>
    <n v="2"/>
    <n v="4"/>
    <x v="8"/>
  </r>
  <r>
    <x v="476"/>
    <s v="Guest288@airbnb.com"/>
    <x v="1"/>
    <x v="248"/>
    <d v="2020-11-28T00:00:00"/>
    <d v="2020-11-09T00:00:00"/>
    <d v="1899-12-30T14:00:00"/>
    <d v="1899-12-30T11:00:00"/>
    <x v="1"/>
    <x v="0"/>
    <n v="1"/>
    <n v="0"/>
    <s v="GBP"/>
    <x v="183"/>
    <n v="1"/>
    <n v="2"/>
    <x v="8"/>
  </r>
  <r>
    <x v="477"/>
    <s v="Guest239@gmail.com"/>
    <x v="1"/>
    <x v="248"/>
    <d v="2020-11-28T00:00:00"/>
    <d v="2020-11-17T00:00:00"/>
    <d v="1899-12-30T14:00:00"/>
    <d v="1899-12-30T11:00:00"/>
    <x v="0"/>
    <x v="1"/>
    <n v="6"/>
    <n v="0"/>
    <s v="GBP"/>
    <x v="116"/>
    <n v="6"/>
    <n v="2"/>
    <x v="8"/>
  </r>
  <r>
    <x v="478"/>
    <s v="Guest526@airbnb.com"/>
    <x v="1"/>
    <x v="249"/>
    <d v="2020-11-28T00:00:00"/>
    <d v="2020-11-09T00:00:00"/>
    <d v="1899-12-30T14:00:00"/>
    <d v="1899-12-30T11:00:00"/>
    <x v="1"/>
    <x v="0"/>
    <n v="6"/>
    <n v="0"/>
    <s v="GBP"/>
    <x v="169"/>
    <n v="6"/>
    <n v="1"/>
    <x v="8"/>
  </r>
  <r>
    <x v="452"/>
    <s v="Guest80@yahoo%2Ecom"/>
    <x v="5"/>
    <x v="249"/>
    <d v="2020-11-28T00:00:00"/>
    <d v="2020-11-03T00:00:00"/>
    <d v="1899-12-30T14:00:00"/>
    <d v="1899-12-30T11:00:00"/>
    <x v="0"/>
    <x v="1"/>
    <n v="4"/>
    <n v="0"/>
    <s v="GBP"/>
    <x v="145"/>
    <n v="4"/>
    <n v="1"/>
    <x v="8"/>
  </r>
  <r>
    <x v="479"/>
    <s v="Guest59@airbnb.com"/>
    <x v="4"/>
    <x v="250"/>
    <d v="2020-11-30T00:00:00"/>
    <d v="2020-05-29T00:00:00"/>
    <d v="1899-12-30T08:00:00"/>
    <d v="1899-12-31T00:00:00"/>
    <x v="1"/>
    <x v="0"/>
    <n v="5"/>
    <n v="0"/>
    <s v="GBP"/>
    <x v="51"/>
    <n v="5"/>
    <n v="2"/>
    <x v="8"/>
  </r>
  <r>
    <x v="480"/>
    <s v="Guest348@yahoo.com"/>
    <x v="4"/>
    <x v="250"/>
    <d v="2020-11-29T00:00:00"/>
    <d v="2020-11-04T00:00:00"/>
    <d v="1899-12-30T12:00:00"/>
    <d v="1899-12-30T14:00:00"/>
    <x v="0"/>
    <x v="0"/>
    <n v="8"/>
    <n v="0"/>
    <s v="GBP"/>
    <x v="4"/>
    <n v="8"/>
    <n v="1"/>
    <x v="8"/>
  </r>
  <r>
    <x v="481"/>
    <s v="Guest347@gmail.com"/>
    <x v="4"/>
    <x v="250"/>
    <d v="2020-11-30T00:00:00"/>
    <d v="2020-11-07T00:00:00"/>
    <d v="1899-12-30T12:00:00"/>
    <d v="1899-12-30T14:00:00"/>
    <x v="0"/>
    <x v="0"/>
    <n v="8"/>
    <n v="0"/>
    <s v="GBP"/>
    <x v="38"/>
    <n v="8"/>
    <n v="2"/>
    <x v="8"/>
  </r>
  <r>
    <x v="481"/>
    <s v="Guest347@gmail.com"/>
    <x v="4"/>
    <x v="250"/>
    <d v="2020-11-30T00:00:00"/>
    <d v="2020-11-07T00:00:00"/>
    <d v="1899-12-30T12:00:00"/>
    <d v="1899-12-30T14:00:00"/>
    <x v="0"/>
    <x v="0"/>
    <n v="8"/>
    <n v="0"/>
    <s v="GBP"/>
    <x v="38"/>
    <n v="8"/>
    <n v="2"/>
    <x v="8"/>
  </r>
  <r>
    <x v="481"/>
    <s v="Guest347@gmail.com"/>
    <x v="5"/>
    <x v="250"/>
    <d v="2020-11-30T00:00:00"/>
    <d v="2020-11-07T00:00:00"/>
    <d v="1899-12-30T14:00:00"/>
    <d v="1899-12-30T11:00:00"/>
    <x v="0"/>
    <x v="1"/>
    <n v="8"/>
    <n v="0"/>
    <s v="GBP"/>
    <x v="184"/>
    <n v="8"/>
    <n v="2"/>
    <x v="8"/>
  </r>
  <r>
    <x v="482"/>
    <s v="Guest390@airbnb.com"/>
    <x v="1"/>
    <x v="251"/>
    <d v="2020-11-30T00:00:00"/>
    <d v="2020-11-03T00:00:00"/>
    <d v="1899-12-30T14:00:00"/>
    <d v="1899-12-30T11:00:00"/>
    <x v="1"/>
    <x v="0"/>
    <n v="1"/>
    <n v="0"/>
    <s v="GBP"/>
    <x v="169"/>
    <n v="1"/>
    <n v="1"/>
    <x v="8"/>
  </r>
  <r>
    <x v="483"/>
    <s v="Guest484@gmail.com"/>
    <x v="4"/>
    <x v="251"/>
    <d v="2020-11-30T00:00:00"/>
    <d v="2020-11-05T00:00:00"/>
    <d v="1899-12-30T12:00:00"/>
    <d v="1899-12-30T14:00:00"/>
    <x v="0"/>
    <x v="0"/>
    <n v="10"/>
    <n v="0"/>
    <s v="GBP"/>
    <x v="74"/>
    <n v="10"/>
    <n v="1"/>
    <x v="8"/>
  </r>
  <r>
    <x v="483"/>
    <s v="Guest484@gmail.com"/>
    <x v="4"/>
    <x v="251"/>
    <d v="2020-11-30T00:00:00"/>
    <d v="2020-11-05T00:00:00"/>
    <d v="1899-12-30T12:00:00"/>
    <d v="1899-12-30T14:00:00"/>
    <x v="0"/>
    <x v="0"/>
    <n v="10"/>
    <n v="0"/>
    <s v="GBP"/>
    <x v="74"/>
    <n v="10"/>
    <n v="1"/>
    <x v="8"/>
  </r>
  <r>
    <x v="484"/>
    <s v="Guest95@airbnb.com"/>
    <x v="1"/>
    <x v="252"/>
    <d v="2020-12-02T00:00:00"/>
    <d v="2020-11-09T00:00:00"/>
    <d v="1899-12-30T14:00:00"/>
    <d v="1899-12-30T11:00:00"/>
    <x v="1"/>
    <x v="0"/>
    <n v="4"/>
    <n v="0"/>
    <s v="GBP"/>
    <x v="183"/>
    <n v="4"/>
    <n v="2"/>
    <x v="8"/>
  </r>
  <r>
    <x v="485"/>
    <s v="Guest23@gmail.com"/>
    <x v="4"/>
    <x v="252"/>
    <d v="2020-12-01T00:00:00"/>
    <d v="2020-11-23T00:00:00"/>
    <d v="1899-12-30T12:00:00"/>
    <d v="1899-12-30T14:00:00"/>
    <x v="0"/>
    <x v="0"/>
    <n v="4"/>
    <n v="0"/>
    <s v="GBP"/>
    <x v="4"/>
    <n v="4"/>
    <n v="1"/>
    <x v="8"/>
  </r>
  <r>
    <x v="486"/>
    <s v="Guest31@airbnb.com"/>
    <x v="2"/>
    <x v="252"/>
    <d v="2020-12-01T00:00:00"/>
    <d v="2020-11-30T00:00:00"/>
    <d v="1899-12-30T08:00:00"/>
    <d v="1899-12-31T00:00:00"/>
    <x v="0"/>
    <x v="1"/>
    <n v="3"/>
    <n v="0"/>
    <s v="GBP"/>
    <x v="111"/>
    <n v="3"/>
    <n v="1"/>
    <x v="8"/>
  </r>
  <r>
    <x v="487"/>
    <s v="Guest324@gmail.com"/>
    <x v="5"/>
    <x v="252"/>
    <d v="2020-12-04T00:00:00"/>
    <d v="2020-11-30T00:00:00"/>
    <d v="1899-12-30T14:00:00"/>
    <d v="1899-12-30T11:00:00"/>
    <x v="0"/>
    <x v="1"/>
    <n v="4"/>
    <n v="0"/>
    <s v="GBP"/>
    <x v="185"/>
    <n v="4"/>
    <n v="4"/>
    <x v="8"/>
  </r>
  <r>
    <x v="488"/>
    <s v="Guest543@airbnb.com"/>
    <x v="2"/>
    <x v="253"/>
    <d v="2020-12-03T00:00:00"/>
    <d v="2020-11-16T00:00:00"/>
    <d v="1899-12-30T08:00:00"/>
    <d v="1899-12-31T00:00:00"/>
    <x v="1"/>
    <x v="0"/>
    <n v="1"/>
    <n v="0"/>
    <s v="GBP"/>
    <x v="183"/>
    <n v="1"/>
    <n v="2"/>
    <x v="8"/>
  </r>
  <r>
    <x v="489"/>
    <s v="Guest252@yahoo.com"/>
    <x v="4"/>
    <x v="253"/>
    <d v="2020-12-02T00:00:00"/>
    <d v="2020-11-18T00:00:00"/>
    <d v="1899-12-30T12:00:00"/>
    <d v="1899-12-30T14:00:00"/>
    <x v="0"/>
    <x v="0"/>
    <n v="8"/>
    <n v="0"/>
    <s v="GBP"/>
    <x v="4"/>
    <n v="8"/>
    <n v="1"/>
    <x v="8"/>
  </r>
  <r>
    <x v="485"/>
    <s v="Guest23@gmail.com"/>
    <x v="4"/>
    <x v="253"/>
    <d v="2020-12-02T00:00:00"/>
    <d v="2020-11-23T00:00:00"/>
    <d v="1899-12-30T12:00:00"/>
    <d v="1899-12-30T14:00:00"/>
    <x v="0"/>
    <x v="0"/>
    <n v="2"/>
    <n v="0"/>
    <s v="GBP"/>
    <x v="74"/>
    <n v="2"/>
    <n v="1"/>
    <x v="8"/>
  </r>
  <r>
    <x v="490"/>
    <s v="Guest144@gmail%2Ecom"/>
    <x v="2"/>
    <x v="253"/>
    <d v="2020-12-03T00:00:00"/>
    <d v="2020-11-25T00:00:00"/>
    <d v="1899-12-30T08:00:00"/>
    <d v="1899-12-31T00:00:00"/>
    <x v="0"/>
    <x v="0"/>
    <n v="5"/>
    <n v="0"/>
    <s v="GBP"/>
    <x v="116"/>
    <n v="5"/>
    <n v="2"/>
    <x v="8"/>
  </r>
  <r>
    <x v="491"/>
    <s v="Guest115@icloud.com"/>
    <x v="4"/>
    <x v="254"/>
    <d v="2020-12-05T00:00:00"/>
    <d v="2020-10-17T00:00:00"/>
    <d v="1899-12-30T12:00:00"/>
    <d v="1899-12-30T14:00:00"/>
    <x v="0"/>
    <x v="0"/>
    <n v="1"/>
    <n v="0"/>
    <s v="GBP"/>
    <x v="182"/>
    <n v="1"/>
    <n v="3"/>
    <x v="8"/>
  </r>
  <r>
    <x v="492"/>
    <s v="Guest314@airbnb.com"/>
    <x v="2"/>
    <x v="254"/>
    <d v="2020-12-10T00:00:00"/>
    <d v="2020-10-20T00:00:00"/>
    <d v="1899-12-30T08:00:00"/>
    <d v="1899-12-31T00:00:00"/>
    <x v="1"/>
    <x v="0"/>
    <n v="6"/>
    <n v="0"/>
    <s v="GBP"/>
    <x v="186"/>
    <n v="6"/>
    <n v="8"/>
    <x v="8"/>
  </r>
  <r>
    <x v="493"/>
    <s v="Guest150@gmail.com"/>
    <x v="4"/>
    <x v="255"/>
    <d v="2020-12-07T00:00:00"/>
    <d v="2020-11-30T00:00:00"/>
    <d v="1899-12-30T12:00:00"/>
    <d v="1899-12-30T14:00:00"/>
    <x v="0"/>
    <x v="0"/>
    <n v="2"/>
    <n v="0"/>
    <s v="GBP"/>
    <x v="2"/>
    <n v="2"/>
    <n v="4"/>
    <x v="8"/>
  </r>
  <r>
    <x v="494"/>
    <s v="Guest263@yahoo%2Ecom"/>
    <x v="2"/>
    <x v="255"/>
    <d v="2020-12-04T00:00:00"/>
    <d v="2020-12-03T00:00:00"/>
    <d v="1899-12-30T08:00:00"/>
    <d v="1899-12-31T00:00:00"/>
    <x v="0"/>
    <x v="0"/>
    <n v="2"/>
    <n v="0"/>
    <s v="GBP"/>
    <x v="111"/>
    <n v="2"/>
    <n v="1"/>
    <x v="8"/>
  </r>
  <r>
    <x v="494"/>
    <s v="Guest263@yahoo%2Ecom"/>
    <x v="2"/>
    <x v="255"/>
    <d v="2020-12-04T00:00:00"/>
    <d v="2020-12-03T00:00:00"/>
    <d v="1899-12-30T08:00:00"/>
    <d v="1899-12-31T00:00:00"/>
    <x v="0"/>
    <x v="1"/>
    <n v="3"/>
    <n v="0"/>
    <s v="GBP"/>
    <x v="111"/>
    <n v="3"/>
    <n v="1"/>
    <x v="8"/>
  </r>
  <r>
    <x v="129"/>
    <s v="Guest308@guest.booking.com"/>
    <x v="6"/>
    <x v="256"/>
    <d v="2020-12-11T00:00:00"/>
    <d v="2020-07-02T00:00:00"/>
    <d v="1899-12-30T14:00:00"/>
    <d v="1899-12-30T11:00:00"/>
    <x v="2"/>
    <x v="0"/>
    <n v="2"/>
    <n v="0"/>
    <s v="GBP"/>
    <x v="120"/>
    <n v="2"/>
    <n v="7"/>
    <x v="8"/>
  </r>
  <r>
    <x v="420"/>
    <s v="Guest109@check.com"/>
    <x v="4"/>
    <x v="256"/>
    <d v="2020-12-05T00:00:00"/>
    <d v="2020-10-16T00:00:00"/>
    <d v="1899-12-30T12:00:00"/>
    <d v="1899-12-30T14:00:00"/>
    <x v="0"/>
    <x v="0"/>
    <n v="1"/>
    <n v="0"/>
    <s v="GBP"/>
    <x v="4"/>
    <n v="1"/>
    <n v="1"/>
    <x v="8"/>
  </r>
  <r>
    <x v="495"/>
    <s v="Guest265@sfsdfsfsd.com"/>
    <x v="4"/>
    <x v="256"/>
    <d v="2020-12-05T00:00:00"/>
    <d v="2020-10-20T00:00:00"/>
    <d v="1899-12-30T12:00:00"/>
    <d v="1899-12-30T14:00:00"/>
    <x v="0"/>
    <x v="0"/>
    <n v="1"/>
    <n v="0"/>
    <s v="GBP"/>
    <x v="4"/>
    <n v="1"/>
    <n v="1"/>
    <x v="8"/>
  </r>
  <r>
    <x v="426"/>
    <s v="Guest333@gmail%2Ecom"/>
    <x v="2"/>
    <x v="256"/>
    <d v="2020-12-06T00:00:00"/>
    <d v="2020-10-21T00:00:00"/>
    <d v="1899-12-30T08:00:00"/>
    <d v="1899-12-31T00:00:00"/>
    <x v="0"/>
    <x v="1"/>
    <n v="6"/>
    <n v="0"/>
    <s v="GBP"/>
    <x v="116"/>
    <n v="6"/>
    <n v="2"/>
    <x v="8"/>
  </r>
  <r>
    <x v="496"/>
    <s v="Guest297@encry.com"/>
    <x v="3"/>
    <x v="256"/>
    <d v="2020-12-06T00:00:00"/>
    <d v="2020-10-24T00:00:00"/>
    <d v="1899-12-30T08:00:00"/>
    <d v="1899-12-31T00:00:00"/>
    <x v="0"/>
    <x v="1"/>
    <n v="6"/>
    <n v="0"/>
    <s v="GBP"/>
    <x v="116"/>
    <n v="6"/>
    <n v="2"/>
    <x v="8"/>
  </r>
  <r>
    <x v="496"/>
    <s v="Guest297@encry.com"/>
    <x v="6"/>
    <x v="256"/>
    <d v="2020-12-06T00:00:00"/>
    <d v="2020-10-24T00:00:00"/>
    <d v="1899-12-30T14:00:00"/>
    <d v="1899-12-30T11:00:00"/>
    <x v="0"/>
    <x v="1"/>
    <n v="6"/>
    <n v="0"/>
    <s v="GBP"/>
    <x v="116"/>
    <n v="6"/>
    <n v="2"/>
    <x v="8"/>
  </r>
  <r>
    <x v="497"/>
    <s v="Guest85@airbnb.com"/>
    <x v="7"/>
    <x v="256"/>
    <d v="2020-12-06T00:00:00"/>
    <d v="2020-11-03T00:00:00"/>
    <d v="1899-12-30T14:00:00"/>
    <d v="1899-12-30T12:00:00"/>
    <x v="1"/>
    <x v="0"/>
    <n v="1"/>
    <n v="0"/>
    <s v="GBP"/>
    <x v="187"/>
    <n v="1"/>
    <n v="2"/>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57"/>
    <s v="Guest482@sdf.sfd"/>
    <x v="4"/>
    <x v="256"/>
    <d v="2020-12-05T00:00:00"/>
    <d v="2020-11-05T00:00:00"/>
    <d v="1899-12-30T12:00:00"/>
    <d v="1899-12-30T14:00:00"/>
    <x v="0"/>
    <x v="0"/>
    <n v="1"/>
    <n v="0"/>
    <s v="GBP"/>
    <x v="4"/>
    <n v="1"/>
    <n v="1"/>
    <x v="8"/>
  </r>
  <r>
    <x v="498"/>
    <s v="Guest86@airbnb.com"/>
    <x v="7"/>
    <x v="256"/>
    <d v="2020-12-06T00:00:00"/>
    <d v="2020-11-05T00:00:00"/>
    <d v="1899-12-30T14:00:00"/>
    <d v="1899-12-30T12:00:00"/>
    <x v="0"/>
    <x v="1"/>
    <n v="6"/>
    <n v="0"/>
    <s v="GBP"/>
    <x v="157"/>
    <n v="6"/>
    <n v="2"/>
    <x v="8"/>
  </r>
  <r>
    <x v="197"/>
    <s v="Guest289@yahoo%2Ecom"/>
    <x v="5"/>
    <x v="256"/>
    <d v="2020-12-08T00:00:00"/>
    <d v="2020-09-15T00:00:00"/>
    <d v="1899-12-30T14:00:00"/>
    <d v="1899-12-30T11:00:00"/>
    <x v="0"/>
    <x v="0"/>
    <n v="4"/>
    <n v="0"/>
    <s v="GBP"/>
    <x v="188"/>
    <n v="4"/>
    <n v="4"/>
    <x v="8"/>
  </r>
  <r>
    <x v="379"/>
    <s v="Guest203@gmail%2Ecom"/>
    <x v="5"/>
    <x v="256"/>
    <d v="2020-12-16T00:00:00"/>
    <d v="2020-11-15T00:00:00"/>
    <d v="1899-12-30T14:00:00"/>
    <d v="1899-12-30T11:00:00"/>
    <x v="0"/>
    <x v="1"/>
    <n v="3"/>
    <n v="0"/>
    <s v="GBP"/>
    <x v="189"/>
    <n v="3"/>
    <n v="12"/>
    <x v="8"/>
  </r>
  <r>
    <x v="379"/>
    <s v="Guest203@gmail%2Ecom"/>
    <x v="7"/>
    <x v="257"/>
    <d v="2020-12-18T00:00:00"/>
    <d v="2020-11-09T00:00:00"/>
    <d v="1899-12-30T14:00:00"/>
    <d v="1899-12-30T12:00:00"/>
    <x v="0"/>
    <x v="0"/>
    <n v="3"/>
    <n v="0"/>
    <s v="GBP"/>
    <x v="189"/>
    <n v="3"/>
    <n v="12"/>
    <x v="8"/>
  </r>
  <r>
    <x v="499"/>
    <s v="Guest431@airbnb.com"/>
    <x v="2"/>
    <x v="257"/>
    <d v="2020-12-08T00:00:00"/>
    <d v="2020-11-10T00:00:00"/>
    <d v="1899-12-30T08:00:00"/>
    <d v="1899-12-31T00:00:00"/>
    <x v="1"/>
    <x v="0"/>
    <n v="1"/>
    <n v="0"/>
    <s v="GBP"/>
    <x v="183"/>
    <n v="1"/>
    <n v="2"/>
    <x v="8"/>
  </r>
  <r>
    <x v="489"/>
    <s v="Guest252@yahoo.com"/>
    <x v="6"/>
    <x v="257"/>
    <d v="2020-12-08T00:00:00"/>
    <d v="2020-11-18T00:00:00"/>
    <d v="1899-12-30T12:00:00"/>
    <d v="1899-12-30T14:00:00"/>
    <x v="0"/>
    <x v="1"/>
    <n v="1"/>
    <n v="0"/>
    <s v="GBP"/>
    <x v="116"/>
    <n v="1"/>
    <n v="2"/>
    <x v="8"/>
  </r>
  <r>
    <x v="500"/>
    <s v="Guest111@airbnb.com"/>
    <x v="2"/>
    <x v="257"/>
    <d v="2020-12-08T00:00:00"/>
    <d v="2020-12-01T00:00:00"/>
    <d v="1899-12-30T08:00:00"/>
    <d v="1899-12-31T00:00:00"/>
    <x v="1"/>
    <x v="0"/>
    <n v="1"/>
    <n v="0"/>
    <s v="GBP"/>
    <x v="183"/>
    <n v="1"/>
    <n v="2"/>
    <x v="8"/>
  </r>
  <r>
    <x v="501"/>
    <s v="Guest90@gmail.com"/>
    <x v="4"/>
    <x v="257"/>
    <d v="2020-12-09T00:00:00"/>
    <d v="2020-12-02T00:00:00"/>
    <d v="1899-12-30T12:00:00"/>
    <d v="1899-12-30T14:00:00"/>
    <x v="0"/>
    <x v="0"/>
    <n v="8"/>
    <n v="0"/>
    <s v="GBP"/>
    <x v="75"/>
    <n v="8"/>
    <n v="3"/>
    <x v="8"/>
  </r>
  <r>
    <x v="251"/>
    <s v="Guest1@gmail%2Ecom"/>
    <x v="7"/>
    <x v="257"/>
    <d v="2020-12-08T00:00:00"/>
    <d v="2020-12-02T00:00:00"/>
    <d v="1899-12-30T14:00:00"/>
    <d v="1899-12-30T12:00:00"/>
    <x v="0"/>
    <x v="0"/>
    <n v="4"/>
    <n v="0"/>
    <s v="GBP"/>
    <x v="157"/>
    <n v="4"/>
    <n v="2"/>
    <x v="8"/>
  </r>
  <r>
    <x v="501"/>
    <s v="Guest90@gmail.com"/>
    <x v="7"/>
    <x v="257"/>
    <d v="2020-12-08T00:00:00"/>
    <d v="2020-12-02T00:00:00"/>
    <d v="1899-12-30T14:00:00"/>
    <d v="1899-12-30T12:00:00"/>
    <x v="0"/>
    <x v="1"/>
    <n v="4"/>
    <n v="0"/>
    <s v="GBP"/>
    <x v="157"/>
    <n v="4"/>
    <n v="2"/>
    <x v="8"/>
  </r>
  <r>
    <x v="487"/>
    <s v="Guest324@gmail.com"/>
    <x v="2"/>
    <x v="257"/>
    <d v="2020-12-08T00:00:00"/>
    <d v="2020-12-04T00:00:00"/>
    <d v="1899-12-30T08:00:00"/>
    <d v="1899-12-31T00:00:00"/>
    <x v="0"/>
    <x v="1"/>
    <n v="2"/>
    <n v="0"/>
    <s v="GBP"/>
    <x v="190"/>
    <n v="2"/>
    <n v="2"/>
    <x v="8"/>
  </r>
  <r>
    <x v="197"/>
    <s v="Guest289@yahoo%2Ecom"/>
    <x v="4"/>
    <x v="258"/>
    <d v="2020-12-08T00:00:00"/>
    <d v="2020-11-09T00:00:00"/>
    <d v="1899-12-30T12:00:00"/>
    <d v="1899-12-30T14:00:00"/>
    <x v="0"/>
    <x v="0"/>
    <n v="1"/>
    <n v="0"/>
    <s v="GBP"/>
    <x v="74"/>
    <n v="1"/>
    <n v="1"/>
    <x v="8"/>
  </r>
  <r>
    <x v="502"/>
    <s v="Guest309@yahoo.com"/>
    <x v="4"/>
    <x v="258"/>
    <d v="2020-12-08T00:00:00"/>
    <d v="2020-11-13T00:00:00"/>
    <d v="1899-12-30T12:00:00"/>
    <d v="1899-12-30T14:00:00"/>
    <x v="0"/>
    <x v="0"/>
    <n v="1"/>
    <n v="0"/>
    <s v="GBP"/>
    <x v="74"/>
    <n v="1"/>
    <n v="1"/>
    <x v="8"/>
  </r>
  <r>
    <x v="197"/>
    <s v="Guest289@yahoo%2Ecom"/>
    <x v="4"/>
    <x v="258"/>
    <d v="2020-12-11T00:00:00"/>
    <d v="2020-11-13T00:00:00"/>
    <d v="1899-12-30T12:00:00"/>
    <d v="1899-12-30T14:00:00"/>
    <x v="0"/>
    <x v="0"/>
    <n v="4"/>
    <n v="0"/>
    <s v="GBP"/>
    <x v="133"/>
    <n v="4"/>
    <n v="4"/>
    <x v="8"/>
  </r>
  <r>
    <x v="503"/>
    <s v="Guest136@gmail.com"/>
    <x v="4"/>
    <x v="258"/>
    <d v="2020-12-10T00:00:00"/>
    <d v="2020-12-01T00:00:00"/>
    <d v="1899-12-30T12:00:00"/>
    <d v="1899-12-30T14:00:00"/>
    <x v="0"/>
    <x v="0"/>
    <n v="3"/>
    <n v="0"/>
    <s v="GBP"/>
    <x v="191"/>
    <n v="3"/>
    <n v="3"/>
    <x v="8"/>
  </r>
  <r>
    <x v="504"/>
    <s v="Guest253@gmail.com"/>
    <x v="4"/>
    <x v="259"/>
    <d v="2020-12-09T00:00:00"/>
    <d v="2020-11-25T00:00:00"/>
    <d v="1899-12-30T12:00:00"/>
    <d v="1899-12-30T14:00:00"/>
    <x v="0"/>
    <x v="0"/>
    <n v="1"/>
    <n v="0"/>
    <s v="GBP"/>
    <x v="4"/>
    <n v="1"/>
    <n v="1"/>
    <x v="8"/>
  </r>
  <r>
    <x v="505"/>
    <s v="Guest266@sfsdfsfsd.com"/>
    <x v="4"/>
    <x v="260"/>
    <d v="2020-12-16T00:00:00"/>
    <d v="2020-10-20T00:00:00"/>
    <d v="1899-12-30T12:00:00"/>
    <d v="1899-12-30T14:00:00"/>
    <x v="0"/>
    <x v="0"/>
    <n v="3"/>
    <n v="0"/>
    <s v="GBP"/>
    <x v="192"/>
    <n v="3"/>
    <n v="7"/>
    <x v="8"/>
  </r>
  <r>
    <x v="506"/>
    <s v="Guest552@airbnb.com"/>
    <x v="2"/>
    <x v="260"/>
    <d v="2020-12-11T00:00:00"/>
    <d v="2020-10-31T00:00:00"/>
    <d v="1899-12-30T08:00:00"/>
    <d v="1899-12-31T00:00:00"/>
    <x v="1"/>
    <x v="0"/>
    <n v="3"/>
    <n v="0"/>
    <s v="GBP"/>
    <x v="193"/>
    <n v="3"/>
    <n v="2"/>
    <x v="8"/>
  </r>
  <r>
    <x v="507"/>
    <s v="Guest477@encry.com"/>
    <x v="4"/>
    <x v="261"/>
    <d v="2020-12-14T00:00:00"/>
    <d v="2020-10-22T00:00:00"/>
    <d v="1899-12-30T12:00:00"/>
    <d v="1899-12-30T14:00:00"/>
    <x v="0"/>
    <x v="0"/>
    <n v="1"/>
    <n v="0"/>
    <s v="GBP"/>
    <x v="194"/>
    <n v="1"/>
    <n v="4"/>
    <x v="8"/>
  </r>
  <r>
    <x v="508"/>
    <s v="Guest176@guest.airbnb.com"/>
    <x v="6"/>
    <x v="262"/>
    <d v="2020-12-23T00:00:00"/>
    <d v="2020-09-07T00:00:00"/>
    <d v="1899-12-30T14:00:00"/>
    <d v="1899-12-30T11:00:00"/>
    <x v="0"/>
    <x v="0"/>
    <n v="5"/>
    <n v="0"/>
    <s v="GBP"/>
    <x v="141"/>
    <n v="5"/>
    <n v="12"/>
    <x v="8"/>
  </r>
  <r>
    <x v="509"/>
    <s v="Guest152@yahoo.com"/>
    <x v="4"/>
    <x v="262"/>
    <d v="2020-12-14T00:00:00"/>
    <d v="2020-11-12T00:00:00"/>
    <d v="1899-12-30T12:00:00"/>
    <d v="1899-12-30T14:00:00"/>
    <x v="0"/>
    <x v="0"/>
    <n v="1"/>
    <n v="0"/>
    <s v="GBP"/>
    <x v="75"/>
    <n v="1"/>
    <n v="3"/>
    <x v="8"/>
  </r>
  <r>
    <x v="456"/>
    <s v="Guest502@gmail%2Ecom"/>
    <x v="6"/>
    <x v="262"/>
    <d v="2020-12-13T00:00:00"/>
    <d v="2020-11-24T00:00:00"/>
    <d v="1899-12-30T14:00:00"/>
    <d v="1899-12-30T11:00:00"/>
    <x v="0"/>
    <x v="1"/>
    <n v="6"/>
    <n v="0"/>
    <s v="GBP"/>
    <x v="116"/>
    <n v="6"/>
    <n v="2"/>
    <x v="8"/>
  </r>
  <r>
    <x v="510"/>
    <s v="Guest416@airbnb.com"/>
    <x v="6"/>
    <x v="262"/>
    <d v="2020-12-13T00:00:00"/>
    <d v="2020-11-24T00:00:00"/>
    <d v="1899-12-30T14:00:00"/>
    <d v="1899-12-30T11:00:00"/>
    <x v="1"/>
    <x v="0"/>
    <n v="1"/>
    <n v="0"/>
    <s v="GBP"/>
    <x v="183"/>
    <n v="1"/>
    <n v="2"/>
    <x v="8"/>
  </r>
  <r>
    <x v="456"/>
    <s v="Guest502@gmail%2Ecom"/>
    <x v="3"/>
    <x v="262"/>
    <d v="2020-12-13T00:00:00"/>
    <d v="2020-11-12T00:00:00"/>
    <d v="1899-12-30T08:00:00"/>
    <d v="1899-12-31T00:00:00"/>
    <x v="0"/>
    <x v="0"/>
    <n v="6"/>
    <n v="0"/>
    <s v="GBP"/>
    <x v="116"/>
    <n v="6"/>
    <n v="2"/>
    <x v="8"/>
  </r>
  <r>
    <x v="511"/>
    <s v="Guest56@gmail.com"/>
    <x v="4"/>
    <x v="262"/>
    <d v="2020-12-13T00:00:00"/>
    <d v="2020-11-27T00:00:00"/>
    <d v="1899-12-30T12:00:00"/>
    <d v="1899-12-30T14:00:00"/>
    <x v="0"/>
    <x v="0"/>
    <n v="10"/>
    <n v="0"/>
    <s v="GBP"/>
    <x v="2"/>
    <n v="10"/>
    <n v="2"/>
    <x v="8"/>
  </r>
  <r>
    <x v="511"/>
    <s v="Guest56@gmail.com"/>
    <x v="4"/>
    <x v="262"/>
    <d v="2020-12-13T00:00:00"/>
    <d v="2020-11-27T00:00:00"/>
    <d v="1899-12-30T12:00:00"/>
    <d v="1899-12-30T14:00:00"/>
    <x v="0"/>
    <x v="0"/>
    <n v="10"/>
    <n v="0"/>
    <s v="GBP"/>
    <x v="2"/>
    <n v="10"/>
    <n v="2"/>
    <x v="8"/>
  </r>
  <r>
    <x v="512"/>
    <s v="Guest67@gmail.com"/>
    <x v="2"/>
    <x v="263"/>
    <d v="2020-12-14T00:00:00"/>
    <d v="2020-09-28T00:00:00"/>
    <d v="1899-12-30T08:00:00"/>
    <d v="1899-12-31T00:00:00"/>
    <x v="0"/>
    <x v="0"/>
    <n v="6"/>
    <n v="0"/>
    <s v="GBP"/>
    <x v="116"/>
    <n v="6"/>
    <n v="2"/>
    <x v="8"/>
  </r>
  <r>
    <x v="512"/>
    <s v="Guest67@gmail.com"/>
    <x v="3"/>
    <x v="263"/>
    <d v="2020-12-14T00:00:00"/>
    <d v="2020-11-26T00:00:00"/>
    <d v="1899-12-30T08:00:00"/>
    <d v="1899-12-31T00:00:00"/>
    <x v="0"/>
    <x v="0"/>
    <n v="5"/>
    <n v="0"/>
    <s v="GBP"/>
    <x v="116"/>
    <n v="5"/>
    <n v="2"/>
    <x v="8"/>
  </r>
  <r>
    <x v="513"/>
    <s v="Guest296@yahoo.com"/>
    <x v="4"/>
    <x v="264"/>
    <d v="2020-12-15T00:00:00"/>
    <d v="2020-11-19T00:00:00"/>
    <d v="1899-12-30T12:00:00"/>
    <d v="1899-12-30T14:00:00"/>
    <x v="0"/>
    <x v="0"/>
    <n v="2"/>
    <n v="0"/>
    <s v="GBP"/>
    <x v="195"/>
    <n v="2"/>
    <n v="2"/>
    <x v="8"/>
  </r>
  <r>
    <x v="383"/>
    <s v="Guest565@gmail.com"/>
    <x v="4"/>
    <x v="265"/>
    <d v="2020-12-18T00:00:00"/>
    <d v="2020-10-17T00:00:00"/>
    <d v="1899-12-30T12:00:00"/>
    <d v="1899-12-30T14:00:00"/>
    <x v="0"/>
    <x v="0"/>
    <n v="4"/>
    <n v="0"/>
    <s v="GBP"/>
    <x v="133"/>
    <n v="4"/>
    <n v="4"/>
    <x v="8"/>
  </r>
  <r>
    <x v="514"/>
    <s v="Guest127@airbnb.com"/>
    <x v="4"/>
    <x v="266"/>
    <d v="2020-12-16T00:00:00"/>
    <d v="2020-10-03T00:00:00"/>
    <d v="1899-12-30T12:00:00"/>
    <d v="1899-12-30T14:00:00"/>
    <x v="1"/>
    <x v="0"/>
    <n v="1"/>
    <n v="0"/>
    <s v="GBP"/>
    <x v="196"/>
    <n v="1"/>
    <n v="1"/>
    <x v="8"/>
  </r>
  <r>
    <x v="515"/>
    <s v="Guest82@airbnb.com"/>
    <x v="6"/>
    <x v="267"/>
    <d v="2020-12-19T00:00:00"/>
    <d v="2020-11-28T00:00:00"/>
    <d v="1899-12-30T14:00:00"/>
    <d v="1899-12-30T11:00:00"/>
    <x v="1"/>
    <x v="0"/>
    <n v="1"/>
    <n v="0"/>
    <s v="GBP"/>
    <x v="197"/>
    <n v="1"/>
    <n v="3"/>
    <x v="8"/>
  </r>
  <r>
    <x v="28"/>
    <s v="Guest139@airbnb.com"/>
    <x v="6"/>
    <x v="267"/>
    <d v="2020-12-19T00:00:00"/>
    <d v="2020-12-02T00:00:00"/>
    <d v="1899-12-30T14:00:00"/>
    <d v="1899-12-30T11:00:00"/>
    <x v="1"/>
    <x v="0"/>
    <n v="1"/>
    <n v="0"/>
    <s v="GBP"/>
    <x v="197"/>
    <n v="1"/>
    <n v="3"/>
    <x v="8"/>
  </r>
  <r>
    <x v="516"/>
    <s v="Guest208@gmail.com"/>
    <x v="4"/>
    <x v="267"/>
    <d v="2020-12-17T00:00:00"/>
    <d v="2020-12-02T00:00:00"/>
    <d v="1899-12-30T12:00:00"/>
    <d v="1899-12-30T14:00:00"/>
    <x v="0"/>
    <x v="0"/>
    <n v="5"/>
    <n v="0"/>
    <s v="GBP"/>
    <x v="74"/>
    <n v="5"/>
    <n v="1"/>
    <x v="8"/>
  </r>
  <r>
    <x v="516"/>
    <s v="Guest208@gmail.com"/>
    <x v="4"/>
    <x v="267"/>
    <d v="2020-12-18T00:00:00"/>
    <d v="2020-12-02T00:00:00"/>
    <d v="1899-12-30T12:00:00"/>
    <d v="1899-12-30T14:00:00"/>
    <x v="0"/>
    <x v="0"/>
    <n v="6"/>
    <n v="0"/>
    <s v="GBP"/>
    <x v="195"/>
    <n v="6"/>
    <n v="2"/>
    <x v="8"/>
  </r>
  <r>
    <x v="517"/>
    <s v="Guest278@airbnb.com"/>
    <x v="4"/>
    <x v="268"/>
    <d v="2020-12-18T00:00:00"/>
    <d v="2020-11-27T00:00:00"/>
    <d v="1899-12-30T12:00:00"/>
    <d v="1899-12-30T14:00:00"/>
    <x v="1"/>
    <x v="0"/>
    <n v="1"/>
    <n v="0"/>
    <s v="GBP"/>
    <x v="169"/>
    <n v="1"/>
    <n v="1"/>
    <x v="8"/>
  </r>
  <r>
    <x v="197"/>
    <s v="Guest289@yahoo%2Ecom"/>
    <x v="0"/>
    <x v="269"/>
    <d v="2020-12-28T00:00:00"/>
    <d v="2020-11-02T00:00:00"/>
    <d v="1899-12-30T11:00:00"/>
    <d v="1899-12-30T10:00:00"/>
    <x v="0"/>
    <x v="0"/>
    <n v="2"/>
    <n v="0"/>
    <s v="GBP"/>
    <x v="2"/>
    <n v="2"/>
    <n v="10"/>
    <x v="8"/>
  </r>
  <r>
    <x v="224"/>
    <s v="Guest99@gmail%2Ecom"/>
    <x v="7"/>
    <x v="269"/>
    <d v="2020-12-21T00:00:00"/>
    <d v="2020-08-07T00:00:00"/>
    <d v="1899-12-30T11:00:00"/>
    <d v="1899-12-30T12:00:00"/>
    <x v="0"/>
    <x v="1"/>
    <n v="8"/>
    <n v="0"/>
    <s v="GBP"/>
    <x v="198"/>
    <n v="8"/>
    <n v="3"/>
    <x v="8"/>
  </r>
  <r>
    <x v="224"/>
    <s v="Guest99@gmail%2Ecom"/>
    <x v="5"/>
    <x v="269"/>
    <d v="2020-12-20T00:00:00"/>
    <d v="2020-08-03T00:00:00"/>
    <d v="1899-12-30T14:00:00"/>
    <d v="1899-12-30T11:00:00"/>
    <x v="0"/>
    <x v="0"/>
    <n v="5"/>
    <n v="0"/>
    <s v="GBP"/>
    <x v="157"/>
    <n v="5"/>
    <n v="2"/>
    <x v="8"/>
  </r>
  <r>
    <x v="476"/>
    <s v="Guest288@airbnb.com"/>
    <x v="6"/>
    <x v="269"/>
    <d v="2020-12-21T00:00:00"/>
    <d v="2020-12-01T00:00:00"/>
    <d v="1899-12-30T14:00:00"/>
    <d v="1899-12-30T11:00:00"/>
    <x v="1"/>
    <x v="0"/>
    <n v="2"/>
    <n v="0"/>
    <s v="GBP"/>
    <x v="197"/>
    <n v="2"/>
    <n v="3"/>
    <x v="8"/>
  </r>
  <r>
    <x v="518"/>
    <s v="Guest223@gmail.com"/>
    <x v="4"/>
    <x v="269"/>
    <d v="2020-12-20T00:00:00"/>
    <d v="2020-12-02T00:00:00"/>
    <d v="1899-12-30T12:00:00"/>
    <d v="1899-12-30T14:00:00"/>
    <x v="0"/>
    <x v="0"/>
    <n v="10"/>
    <n v="0"/>
    <s v="GBP"/>
    <x v="2"/>
    <n v="10"/>
    <n v="2"/>
    <x v="8"/>
  </r>
  <r>
    <x v="519"/>
    <s v="Guest47@yahoo%2Eco%2Euk"/>
    <x v="4"/>
    <x v="270"/>
    <d v="2020-12-21T00:00:00"/>
    <d v="2020-11-10T00:00:00"/>
    <d v="1899-12-30T12:00:00"/>
    <d v="1899-12-30T14:00:00"/>
    <x v="0"/>
    <x v="0"/>
    <n v="4"/>
    <n v="0"/>
    <s v="GBP"/>
    <x v="195"/>
    <n v="4"/>
    <n v="2"/>
    <x v="8"/>
  </r>
  <r>
    <x v="520"/>
    <s v="Guest242@airbnb.com"/>
    <x v="4"/>
    <x v="270"/>
    <d v="2020-12-21T00:00:00"/>
    <d v="2020-11-11T00:00:00"/>
    <d v="1899-12-30T12:00:00"/>
    <d v="1899-12-30T14:00:00"/>
    <x v="1"/>
    <x v="0"/>
    <n v="6"/>
    <n v="0"/>
    <s v="GBP"/>
    <x v="199"/>
    <n v="6"/>
    <n v="2"/>
    <x v="8"/>
  </r>
  <r>
    <x v="519"/>
    <s v="Guest47@yahoo%2Eco%2Euk"/>
    <x v="4"/>
    <x v="270"/>
    <d v="2020-12-21T00:00:00"/>
    <d v="2020-11-15T00:00:00"/>
    <d v="1899-12-30T12:00:00"/>
    <d v="1899-12-30T14:00:00"/>
    <x v="0"/>
    <x v="1"/>
    <n v="6"/>
    <n v="0"/>
    <s v="GBP"/>
    <x v="116"/>
    <n v="6"/>
    <n v="2"/>
    <x v="8"/>
  </r>
  <r>
    <x v="521"/>
    <s v="Guest260@gmail.com"/>
    <x v="4"/>
    <x v="271"/>
    <d v="2020-12-23T00:00:00"/>
    <d v="2020-12-01T00:00:00"/>
    <d v="1899-12-30T12:00:00"/>
    <d v="1899-12-30T14:00:00"/>
    <x v="0"/>
    <x v="0"/>
    <n v="4"/>
    <n v="0"/>
    <s v="GBP"/>
    <x v="191"/>
    <n v="4"/>
    <n v="3"/>
    <x v="8"/>
  </r>
  <r>
    <x v="521"/>
    <s v="Guest260@gmail.com"/>
    <x v="4"/>
    <x v="271"/>
    <d v="2020-12-23T00:00:00"/>
    <d v="2020-12-01T00:00:00"/>
    <d v="1899-12-30T12:00:00"/>
    <d v="1899-12-30T14:00:00"/>
    <x v="0"/>
    <x v="0"/>
    <n v="4"/>
    <n v="0"/>
    <s v="GBP"/>
    <x v="191"/>
    <n v="4"/>
    <n v="3"/>
    <x v="8"/>
  </r>
  <r>
    <x v="521"/>
    <s v="Guest260@gmail.com"/>
    <x v="4"/>
    <x v="271"/>
    <d v="2020-12-23T00:00:00"/>
    <d v="2020-12-01T00:00:00"/>
    <d v="1899-12-30T12:00:00"/>
    <d v="1899-12-30T14:00:00"/>
    <x v="0"/>
    <x v="0"/>
    <n v="4"/>
    <n v="0"/>
    <s v="GBP"/>
    <x v="191"/>
    <n v="4"/>
    <n v="3"/>
    <x v="8"/>
  </r>
  <r>
    <x v="521"/>
    <s v="Guest260@gmail.com"/>
    <x v="4"/>
    <x v="271"/>
    <d v="2020-12-23T00:00:00"/>
    <d v="2020-12-01T00:00:00"/>
    <d v="1899-12-30T12:00:00"/>
    <d v="1899-12-30T14:00:00"/>
    <x v="0"/>
    <x v="0"/>
    <n v="4"/>
    <n v="0"/>
    <s v="GBP"/>
    <x v="191"/>
    <n v="4"/>
    <n v="3"/>
    <x v="8"/>
  </r>
  <r>
    <x v="522"/>
    <s v="Guest33@airbnb.com"/>
    <x v="6"/>
    <x v="272"/>
    <d v="2020-12-22T00:00:00"/>
    <d v="2020-08-13T00:00:00"/>
    <d v="1899-12-30T14:00:00"/>
    <d v="1899-12-30T11:00:00"/>
    <x v="1"/>
    <x v="0"/>
    <n v="4"/>
    <n v="0"/>
    <s v="GBP"/>
    <x v="200"/>
    <n v="4"/>
    <n v="1"/>
    <x v="8"/>
  </r>
  <r>
    <x v="175"/>
    <s v="Guest21@encry.com"/>
    <x v="7"/>
    <x v="272"/>
    <d v="2020-12-29T00:00:00"/>
    <d v="2020-09-05T00:00:00"/>
    <d v="1899-12-30T11:00:00"/>
    <d v="1899-12-30T10:00:00"/>
    <x v="0"/>
    <x v="0"/>
    <n v="6"/>
    <n v="0"/>
    <s v="GBP"/>
    <x v="201"/>
    <n v="6"/>
    <n v="8"/>
    <x v="8"/>
  </r>
  <r>
    <x v="523"/>
    <s v="Guest92@gmail.com"/>
    <x v="7"/>
    <x v="272"/>
    <d v="2020-12-29T00:00:00"/>
    <d v="2020-09-05T00:00:00"/>
    <d v="1899-12-30T14:00:00"/>
    <d v="1899-12-30T12:00:00"/>
    <x v="0"/>
    <x v="1"/>
    <n v="6"/>
    <n v="0"/>
    <s v="GBP"/>
    <x v="202"/>
    <n v="6"/>
    <n v="8"/>
    <x v="8"/>
  </r>
  <r>
    <x v="508"/>
    <s v="Guest176@guest.airbnb.com"/>
    <x v="5"/>
    <x v="273"/>
    <d v="2020-12-29T00:00:00"/>
    <d v="2020-09-07T00:00:00"/>
    <d v="1899-12-30T14:00:00"/>
    <d v="1899-12-30T11:00:00"/>
    <x v="0"/>
    <x v="0"/>
    <n v="5"/>
    <n v="0"/>
    <s v="GBP"/>
    <x v="203"/>
    <n v="5"/>
    <n v="6"/>
    <x v="8"/>
  </r>
  <r>
    <x v="524"/>
    <s v="Guest486@gmail.com"/>
    <x v="6"/>
    <x v="273"/>
    <d v="2020-12-26T00:00:00"/>
    <d v="2020-08-24T00:00:00"/>
    <d v="1899-12-30T14:00:00"/>
    <d v="1899-12-30T11:00:00"/>
    <x v="0"/>
    <x v="0"/>
    <n v="6"/>
    <n v="0"/>
    <s v="GBP"/>
    <x v="114"/>
    <n v="6"/>
    <n v="3"/>
    <x v="8"/>
  </r>
  <r>
    <x v="423"/>
    <s v="Guest361@yahoo%2Ecom"/>
    <x v="6"/>
    <x v="274"/>
    <d v="2020-12-29T00:00:00"/>
    <d v="2020-11-19T00:00:00"/>
    <d v="1899-12-30T14:00:00"/>
    <d v="1899-12-30T11:00:00"/>
    <x v="0"/>
    <x v="0"/>
    <n v="2"/>
    <n v="0"/>
    <s v="GBP"/>
    <x v="142"/>
    <n v="2"/>
    <n v="5"/>
    <x v="8"/>
  </r>
  <r>
    <x v="525"/>
    <s v="Guest506@airbnb.com"/>
    <x v="6"/>
    <x v="275"/>
    <d v="2020-12-27T00:00:00"/>
    <d v="2020-08-24T00:00:00"/>
    <d v="1899-12-30T14:00:00"/>
    <d v="1899-12-30T11:00:00"/>
    <x v="1"/>
    <x v="0"/>
    <n v="6"/>
    <n v="0"/>
    <s v="GBP"/>
    <x v="204"/>
    <n v="6"/>
    <n v="2"/>
    <x v="8"/>
  </r>
  <r>
    <x v="526"/>
    <s v="Guest573@airbnb.com"/>
    <x v="4"/>
    <x v="276"/>
    <d v="2021-01-01T00:00:00"/>
    <d v="2020-08-25T00:00:00"/>
    <d v="1899-12-30T08:00:00"/>
    <d v="1899-12-31T00:00:00"/>
    <x v="1"/>
    <x v="0"/>
    <n v="1"/>
    <n v="0"/>
    <s v="GBP"/>
    <x v="205"/>
    <n v="1"/>
    <n v="6"/>
    <x v="8"/>
  </r>
  <r>
    <x v="527"/>
    <s v="Guest97@airbnb.com"/>
    <x v="4"/>
    <x v="276"/>
    <d v="2021-01-09T00:00:00"/>
    <d v="2020-09-17T00:00:00"/>
    <d v="1899-12-30T08:00:00"/>
    <d v="1899-12-31T00:00:00"/>
    <x v="1"/>
    <x v="0"/>
    <n v="1"/>
    <n v="0"/>
    <s v="GBP"/>
    <x v="206"/>
    <n v="1"/>
    <n v="14"/>
    <x v="8"/>
  </r>
  <r>
    <x v="528"/>
    <s v="Guest269@gmail.com"/>
    <x v="4"/>
    <x v="276"/>
    <d v="2021-01-05T00:00:00"/>
    <d v="2020-11-18T00:00:00"/>
    <d v="1899-12-30T12:00:00"/>
    <d v="1899-12-30T14:00:00"/>
    <x v="0"/>
    <x v="0"/>
    <n v="2"/>
    <n v="0"/>
    <s v="GBP"/>
    <x v="207"/>
    <n v="2"/>
    <n v="10"/>
    <x v="8"/>
  </r>
  <r>
    <x v="528"/>
    <s v="Guest269@gmail.com"/>
    <x v="4"/>
    <x v="276"/>
    <d v="2021-01-02T00:00:00"/>
    <d v="2020-11-18T00:00:00"/>
    <d v="1899-12-30T12:00:00"/>
    <d v="1899-12-30T14:00:00"/>
    <x v="0"/>
    <x v="0"/>
    <n v="2"/>
    <n v="0"/>
    <s v="GBP"/>
    <x v="208"/>
    <n v="2"/>
    <n v="7"/>
    <x v="8"/>
  </r>
  <r>
    <x v="529"/>
    <s v="Guest140@gmail.com"/>
    <x v="4"/>
    <x v="276"/>
    <d v="2020-12-29T00:00:00"/>
    <d v="2020-11-29T00:00:00"/>
    <d v="1899-12-30T12:00:00"/>
    <d v="1899-12-30T14:00:00"/>
    <x v="0"/>
    <x v="0"/>
    <n v="2"/>
    <n v="0"/>
    <s v="GBP"/>
    <x v="2"/>
    <n v="2"/>
    <n v="3"/>
    <x v="8"/>
  </r>
  <r>
    <x v="530"/>
    <s v="Guest550@airbnb.com"/>
    <x v="2"/>
    <x v="277"/>
    <d v="2021-01-05T00:00:00"/>
    <d v="2020-02-12T00:00:00"/>
    <d v="1899-12-30T08:00:00"/>
    <d v="1899-12-31T00:00:00"/>
    <x v="1"/>
    <x v="0"/>
    <n v="6"/>
    <n v="0"/>
    <s v="GBP"/>
    <x v="209"/>
    <n v="6"/>
    <n v="9"/>
    <x v="8"/>
  </r>
  <r>
    <x v="531"/>
    <s v="Guest137@airbnb.com"/>
    <x v="6"/>
    <x v="277"/>
    <d v="2021-01-04T00:00:00"/>
    <d v="2020-06-08T00:00:00"/>
    <d v="1899-12-30T14:00:00"/>
    <d v="1899-12-30T11:00:00"/>
    <x v="1"/>
    <x v="0"/>
    <n v="6"/>
    <n v="0"/>
    <s v="GBP"/>
    <x v="210"/>
    <n v="6"/>
    <n v="8"/>
    <x v="8"/>
  </r>
  <r>
    <x v="532"/>
    <s v="Guest515@airbnb.com"/>
    <x v="4"/>
    <x v="277"/>
    <d v="2021-01-01T00:00:00"/>
    <d v="2020-09-10T00:00:00"/>
    <d v="1899-12-30T08:00:00"/>
    <d v="1899-12-31T00:00:00"/>
    <x v="1"/>
    <x v="0"/>
    <n v="4"/>
    <n v="0"/>
    <s v="GBP"/>
    <x v="211"/>
    <n v="4"/>
    <n v="5"/>
    <x v="8"/>
  </r>
  <r>
    <x v="533"/>
    <s v="Guest413@gmail.com"/>
    <x v="4"/>
    <x v="277"/>
    <d v="2020-12-28T00:00:00"/>
    <d v="2020-11-09T00:00:00"/>
    <d v="1899-12-30T12:00:00"/>
    <d v="1899-12-30T14:00:00"/>
    <x v="0"/>
    <x v="0"/>
    <n v="10"/>
    <n v="0"/>
    <s v="GBP"/>
    <x v="74"/>
    <n v="10"/>
    <n v="1"/>
    <x v="8"/>
  </r>
  <r>
    <x v="534"/>
    <s v="Guest10@gmail.com"/>
    <x v="4"/>
    <x v="277"/>
    <d v="2021-01-04T00:00:00"/>
    <d v="2020-11-17T00:00:00"/>
    <d v="1899-12-30T12:00:00"/>
    <d v="1899-12-30T14:00:00"/>
    <x v="0"/>
    <x v="0"/>
    <n v="6"/>
    <n v="0"/>
    <s v="GBP"/>
    <x v="212"/>
    <n v="6"/>
    <n v="8"/>
    <x v="8"/>
  </r>
  <r>
    <x v="534"/>
    <s v="Guest10@gmail.com"/>
    <x v="4"/>
    <x v="277"/>
    <d v="2021-01-04T00:00:00"/>
    <d v="2020-11-17T00:00:00"/>
    <d v="1899-12-30T12:00:00"/>
    <d v="1899-12-30T14:00:00"/>
    <x v="0"/>
    <x v="0"/>
    <n v="6"/>
    <n v="0"/>
    <s v="GBP"/>
    <x v="212"/>
    <n v="6"/>
    <n v="8"/>
    <x v="8"/>
  </r>
  <r>
    <x v="535"/>
    <s v="Guest28@gmail.com"/>
    <x v="4"/>
    <x v="277"/>
    <d v="2020-12-30T00:00:00"/>
    <d v="2020-12-05T00:00:00"/>
    <d v="1899-12-30T12:00:00"/>
    <d v="1899-12-30T14:00:00"/>
    <x v="0"/>
    <x v="0"/>
    <n v="6"/>
    <n v="0"/>
    <s v="GBP"/>
    <x v="191"/>
    <n v="6"/>
    <n v="3"/>
    <x v="8"/>
  </r>
  <r>
    <x v="536"/>
    <s v="Guest321@hotnail.com"/>
    <x v="4"/>
    <x v="277"/>
    <d v="2020-12-30T00:00:00"/>
    <d v="2020-12-05T00:00:00"/>
    <d v="1899-12-30T12:00:00"/>
    <d v="1899-12-30T14:00:00"/>
    <x v="0"/>
    <x v="0"/>
    <n v="6"/>
    <n v="0"/>
    <s v="GBP"/>
    <x v="191"/>
    <n v="6"/>
    <n v="3"/>
    <x v="8"/>
  </r>
  <r>
    <x v="536"/>
    <s v="Guest321@hotnail.com"/>
    <x v="4"/>
    <x v="277"/>
    <d v="2020-12-30T00:00:00"/>
    <d v="2020-12-05T00:00:00"/>
    <d v="1899-12-30T12:00:00"/>
    <d v="1899-12-30T14:00:00"/>
    <x v="0"/>
    <x v="0"/>
    <n v="6"/>
    <n v="0"/>
    <s v="GBP"/>
    <x v="191"/>
    <n v="6"/>
    <n v="3"/>
    <x v="8"/>
  </r>
  <r>
    <x v="197"/>
    <s v="Guest289@yahoo%2Ecom"/>
    <x v="5"/>
    <x v="278"/>
    <d v="2021-01-05T00:00:00"/>
    <d v="2020-09-15T00:00:00"/>
    <d v="1899-12-30T14:00:00"/>
    <d v="1899-12-30T11:00:00"/>
    <x v="0"/>
    <x v="0"/>
    <n v="4"/>
    <n v="0"/>
    <s v="GBP"/>
    <x v="202"/>
    <n v="4"/>
    <n v="8"/>
    <x v="8"/>
  </r>
  <r>
    <x v="537"/>
    <s v="Guest522@gmail.com"/>
    <x v="4"/>
    <x v="278"/>
    <d v="2021-01-02T00:00:00"/>
    <d v="2020-11-18T00:00:00"/>
    <d v="1899-12-30T12:00:00"/>
    <d v="1899-12-30T14:00:00"/>
    <x v="0"/>
    <x v="0"/>
    <n v="2"/>
    <n v="0"/>
    <s v="GBP"/>
    <x v="213"/>
    <n v="2"/>
    <n v="5"/>
    <x v="8"/>
  </r>
  <r>
    <x v="538"/>
    <s v="Guest466@gmail.com"/>
    <x v="4"/>
    <x v="278"/>
    <d v="2021-01-02T00:00:00"/>
    <d v="2020-11-19T00:00:00"/>
    <d v="1899-12-30T12:00:00"/>
    <d v="1899-12-30T14:00:00"/>
    <x v="0"/>
    <x v="0"/>
    <n v="4"/>
    <n v="0"/>
    <s v="GBP"/>
    <x v="213"/>
    <n v="4"/>
    <n v="5"/>
    <x v="8"/>
  </r>
  <r>
    <x v="539"/>
    <s v="Guest292@airbnb.com"/>
    <x v="2"/>
    <x v="279"/>
    <d v="2021-01-02T00:00:00"/>
    <d v="2020-03-07T00:00:00"/>
    <d v="1899-12-30T08:00:00"/>
    <d v="1899-12-31T00:00:00"/>
    <x v="1"/>
    <x v="0"/>
    <n v="1"/>
    <n v="0"/>
    <s v="GBP"/>
    <x v="9"/>
    <n v="1"/>
    <n v="2"/>
    <x v="8"/>
  </r>
  <r>
    <x v="540"/>
    <s v="Guest563@airbnb.com"/>
    <x v="2"/>
    <x v="279"/>
    <d v="2021-01-14T00:00:00"/>
    <d v="2020-10-12T00:00:00"/>
    <d v="1899-12-30T08:00:00"/>
    <d v="1899-12-31T00:00:00"/>
    <x v="1"/>
    <x v="0"/>
    <n v="1"/>
    <n v="0"/>
    <s v="GBP"/>
    <x v="214"/>
    <n v="1"/>
    <n v="14"/>
    <x v="8"/>
  </r>
  <r>
    <x v="197"/>
    <s v="Guest289@yahoo%2Ecom"/>
    <x v="7"/>
    <x v="279"/>
    <d v="2021-01-02T00:00:00"/>
    <d v="2020-11-04T00:00:00"/>
    <d v="1899-12-30T14:00:00"/>
    <d v="1899-12-30T12:00:00"/>
    <x v="0"/>
    <x v="0"/>
    <n v="2"/>
    <n v="0"/>
    <s v="GBP"/>
    <x v="157"/>
    <n v="2"/>
    <n v="2"/>
    <x v="8"/>
  </r>
  <r>
    <x v="541"/>
    <s v="Guest163@gmail.com"/>
    <x v="7"/>
    <x v="279"/>
    <d v="2021-01-02T00:00:00"/>
    <d v="2020-11-05T00:00:00"/>
    <d v="1899-12-30T14:00:00"/>
    <d v="1899-12-30T12:00:00"/>
    <x v="0"/>
    <x v="1"/>
    <n v="4"/>
    <n v="0"/>
    <s v="GBP"/>
    <x v="157"/>
    <n v="4"/>
    <n v="2"/>
    <x v="8"/>
  </r>
  <r>
    <x v="542"/>
    <s v="Guest30@airbnb.com"/>
    <x v="2"/>
    <x v="279"/>
    <d v="2021-01-07T00:00:00"/>
    <d v="2020-11-24T00:00:00"/>
    <d v="1899-12-30T08:00:00"/>
    <d v="1899-12-31T00:00:00"/>
    <x v="1"/>
    <x v="0"/>
    <n v="3"/>
    <n v="0"/>
    <s v="GBP"/>
    <x v="215"/>
    <n v="3"/>
    <n v="7"/>
    <x v="8"/>
  </r>
  <r>
    <x v="543"/>
    <s v="Guest206@airbnb.com"/>
    <x v="2"/>
    <x v="279"/>
    <d v="2021-01-10T00:00:00"/>
    <d v="2020-11-26T00:00:00"/>
    <d v="1899-12-30T08:00:00"/>
    <d v="1899-12-31T00:00:00"/>
    <x v="1"/>
    <x v="0"/>
    <n v="1"/>
    <n v="0"/>
    <s v="GBP"/>
    <x v="216"/>
    <n v="1"/>
    <n v="10"/>
    <x v="8"/>
  </r>
  <r>
    <x v="544"/>
    <s v="Guest512@sms.com"/>
    <x v="4"/>
    <x v="279"/>
    <d v="2021-01-01T00:00:00"/>
    <d v="2020-11-30T00:00:00"/>
    <d v="1899-12-30T12:00:00"/>
    <d v="1899-12-30T14:00:00"/>
    <x v="0"/>
    <x v="0"/>
    <n v="1"/>
    <n v="0"/>
    <s v="GBP"/>
    <x v="17"/>
    <n v="1"/>
    <n v="1"/>
    <x v="8"/>
  </r>
  <r>
    <x v="237"/>
    <s v="Guest68@airbnb.com"/>
    <x v="2"/>
    <x v="279"/>
    <d v="2021-01-02T00:00:00"/>
    <d v="2020-12-05T00:00:00"/>
    <d v="1899-12-30T08:00:00"/>
    <d v="1899-12-31T00:00:00"/>
    <x v="1"/>
    <x v="0"/>
    <n v="1"/>
    <n v="0"/>
    <s v="GBP"/>
    <x v="183"/>
    <n v="1"/>
    <n v="2"/>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Guest 325"/>
    <s v="Guest325@slh.com"/>
    <x v="0"/>
    <d v="2020-01-01T00:00:00"/>
    <d v="2020-10-29T00:00:00"/>
    <d v="2020-11-11T00:00:00"/>
    <d v="1899-12-30T11:00:00"/>
    <d v="1899-12-30T10:00:00"/>
    <s v="tokeet"/>
    <x v="0"/>
    <n v="2"/>
    <n v="0"/>
    <s v="GBP"/>
    <n v="36240"/>
    <n v="2"/>
    <n v="302"/>
  </r>
  <r>
    <s v="Guest 205"/>
    <s v="Guest205@gmail.com"/>
    <x v="1"/>
    <d v="2020-01-20T00:00:00"/>
    <d v="2020-01-26T00:00:00"/>
    <d v="2020-04-26T00:00:00"/>
    <d v="1899-12-30T08:00:00"/>
    <d v="1899-12-31T00:00:00"/>
    <s v="tokeet"/>
    <x v="1"/>
    <n v="1"/>
    <n v="0"/>
    <s v="GBP"/>
    <n v="94.33"/>
    <n v="1"/>
    <n v="6"/>
  </r>
  <r>
    <s v="Guest 551"/>
    <s v="Guest551@encry.com"/>
    <x v="2"/>
    <d v="2020-01-21T00:00:00"/>
    <d v="2020-01-22T00:00:00"/>
    <d v="2020-04-26T00:00:00"/>
    <d v="1899-12-30T08:00:00"/>
    <d v="1899-12-31T00:00:00"/>
    <s v="tokeet"/>
    <x v="1"/>
    <n v="2"/>
    <n v="0"/>
    <s v="GBP"/>
    <n v="0"/>
    <n v="2"/>
    <n v="1"/>
  </r>
  <r>
    <s v="Guest 535"/>
    <s v="Guest535@encry.com"/>
    <x v="1"/>
    <d v="2020-02-11T00:00:00"/>
    <d v="2020-02-13T00:00:00"/>
    <d v="2020-02-11T00:00:00"/>
    <d v="1899-12-30T08:00:00"/>
    <d v="1899-12-31T00:00:00"/>
    <s v="tokeet"/>
    <x v="1"/>
    <n v="1"/>
    <n v="1"/>
    <s v="GBP"/>
    <n v="110"/>
    <n v="2"/>
    <n v="2"/>
  </r>
  <r>
    <s v="Guest 369"/>
    <s v="Guest369@guest.airbnb.com"/>
    <x v="3"/>
    <d v="2020-02-11T00:00:00"/>
    <d v="2020-02-12T00:00:00"/>
    <d v="2020-04-09T00:00:00"/>
    <d v="1899-12-30T08:00:00"/>
    <d v="1899-12-31T00:00:00"/>
    <s v="tokeet"/>
    <x v="1"/>
    <n v="1"/>
    <n v="0"/>
    <s v="GBP"/>
    <n v="110"/>
    <n v="1"/>
    <n v="1"/>
  </r>
  <r>
    <s v="Guest 520"/>
    <s v="Guest520@yahoo.com"/>
    <x v="4"/>
    <d v="2020-02-11T00:00:00"/>
    <d v="2020-03-11T00:00:00"/>
    <d v="2020-10-23T00:00:00"/>
    <d v="1899-12-30T12:00:00"/>
    <d v="1899-12-30T14:00:00"/>
    <s v="tokeet"/>
    <x v="0"/>
    <n v="1"/>
    <n v="0"/>
    <s v="GBP"/>
    <n v="130000"/>
    <n v="1"/>
    <n v="29"/>
  </r>
  <r>
    <s v="Guest 520"/>
    <s v="Guest520@yahoo.com"/>
    <x v="4"/>
    <d v="2020-02-11T00:00:00"/>
    <d v="2020-03-11T00:00:00"/>
    <d v="2020-10-23T00:00:00"/>
    <d v="1899-12-30T12:00:00"/>
    <d v="1899-12-30T14:00:00"/>
    <s v="tokeet"/>
    <x v="0"/>
    <n v="1"/>
    <n v="0"/>
    <s v="GBP"/>
    <n v="130000"/>
    <n v="1"/>
    <n v="29"/>
  </r>
  <r>
    <s v="Guest 520"/>
    <s v="Guest520@yahoo.com"/>
    <x v="4"/>
    <d v="2020-02-11T00:00:00"/>
    <d v="2020-03-11T00:00:00"/>
    <d v="2020-10-23T00:00:00"/>
    <d v="1899-12-30T12:00:00"/>
    <d v="1899-12-30T14:00:00"/>
    <s v="tokeet"/>
    <x v="0"/>
    <n v="1"/>
    <n v="0"/>
    <s v="GBP"/>
    <n v="130000"/>
    <n v="1"/>
    <n v="29"/>
  </r>
  <r>
    <s v="Guest 205"/>
    <s v="Guest205@gmail.com"/>
    <x v="4"/>
    <d v="2020-02-12T00:00:00"/>
    <d v="2020-02-13T00:00:00"/>
    <d v="2020-02-12T00:00:00"/>
    <d v="1899-12-30T08:00:00"/>
    <d v="1899-12-31T00:00:00"/>
    <s v="tokeet"/>
    <x v="0"/>
    <n v="2"/>
    <n v="1"/>
    <s v="GBP"/>
    <n v="110"/>
    <n v="3"/>
    <n v="1"/>
  </r>
  <r>
    <s v="Guest 535"/>
    <s v="Guest535@encry.com"/>
    <x v="4"/>
    <d v="2020-02-13T00:00:00"/>
    <d v="2020-02-14T00:00:00"/>
    <d v="2020-02-12T00:00:00"/>
    <d v="1899-12-30T08:00:00"/>
    <d v="1899-12-31T00:00:00"/>
    <s v="tokeet"/>
    <x v="1"/>
    <n v="2"/>
    <n v="1"/>
    <s v="GBP"/>
    <n v="110"/>
    <n v="3"/>
    <n v="1"/>
  </r>
  <r>
    <s v="Guest 205"/>
    <s v="Guest205@gmail.com"/>
    <x v="1"/>
    <d v="2020-02-13T00:00:00"/>
    <d v="2020-02-18T00:00:00"/>
    <d v="2020-02-11T00:00:00"/>
    <d v="1899-12-30T08:00:00"/>
    <d v="1899-12-31T00:00:00"/>
    <s v="tokeet"/>
    <x v="1"/>
    <n v="2"/>
    <n v="1"/>
    <s v="GBP"/>
    <n v="550"/>
    <n v="3"/>
    <n v="5"/>
  </r>
  <r>
    <s v="Guest 535"/>
    <s v="Guest535@encry.com"/>
    <x v="3"/>
    <d v="2020-02-14T00:00:00"/>
    <d v="2020-02-15T00:00:00"/>
    <d v="2020-02-12T00:00:00"/>
    <d v="1899-12-30T08:00:00"/>
    <d v="1899-12-31T00:00:00"/>
    <s v="tokeet"/>
    <x v="0"/>
    <n v="2"/>
    <n v="1"/>
    <s v="GBP"/>
    <n v="1"/>
    <n v="3"/>
    <n v="1"/>
  </r>
  <r>
    <s v="Guest 480"/>
    <s v="Guest480@airbnb.com"/>
    <x v="4"/>
    <d v="2020-02-15T00:00:00"/>
    <d v="2020-02-16T00:00:00"/>
    <d v="2020-02-13T00:00:00"/>
    <d v="1899-12-30T08:00:00"/>
    <d v="1899-12-31T00:00:00"/>
    <s v="airbnb"/>
    <x v="0"/>
    <n v="2"/>
    <n v="0"/>
    <s v="GBP"/>
    <n v="96"/>
    <n v="2"/>
    <n v="1"/>
  </r>
  <r>
    <s v="Guest 311"/>
    <s v="Guest311@airbnb.com"/>
    <x v="1"/>
    <d v="2020-02-16T00:00:00"/>
    <d v="2020-02-22T00:00:00"/>
    <d v="2020-02-13T00:00:00"/>
    <d v="1899-12-30T08:00:00"/>
    <d v="1899-12-31T00:00:00"/>
    <s v="airbnb"/>
    <x v="0"/>
    <n v="1"/>
    <n v="0"/>
    <s v="GBP"/>
    <n v="637"/>
    <n v="1"/>
    <n v="6"/>
  </r>
  <r>
    <s v="Guest 575"/>
    <s v="Guest575@airbnb.com"/>
    <x v="1"/>
    <d v="2020-02-18T00:00:00"/>
    <d v="2020-02-20T00:00:00"/>
    <d v="2020-02-15T00:00:00"/>
    <d v="1899-12-30T08:00:00"/>
    <d v="1899-12-31T00:00:00"/>
    <s v="airbnb"/>
    <x v="0"/>
    <n v="1"/>
    <n v="0"/>
    <s v="GBP"/>
    <n v="212"/>
    <n v="1"/>
    <n v="2"/>
  </r>
  <r>
    <s v="Guest 205"/>
    <s v="Guest205@gmail.com"/>
    <x v="1"/>
    <d v="2020-02-18T00:00:00"/>
    <d v="2020-02-19T00:00:00"/>
    <d v="2020-02-18T00:00:00"/>
    <d v="1899-12-30T08:00:00"/>
    <d v="1899-12-31T00:00:00"/>
    <s v="tokeet"/>
    <x v="1"/>
    <n v="2"/>
    <n v="1"/>
    <s v="GBP"/>
    <n v="110"/>
    <n v="3"/>
    <n v="1"/>
  </r>
  <r>
    <s v="Guest 193"/>
    <s v="Guest193@airbnb.com"/>
    <x v="5"/>
    <d v="2020-02-18T00:00:00"/>
    <d v="2020-02-19T00:00:00"/>
    <d v="2020-02-18T00:00:00"/>
    <d v="1899-12-30T14:00:00"/>
    <d v="1899-12-30T11:00:00"/>
    <s v="airbnb"/>
    <x v="0"/>
    <n v="4"/>
    <n v="0"/>
    <s v="GBP"/>
    <n v="85"/>
    <n v="4"/>
    <n v="1"/>
  </r>
  <r>
    <s v="Guest 204"/>
    <s v="Guest204@gmail.com"/>
    <x v="2"/>
    <d v="2020-02-19T00:00:00"/>
    <d v="2020-02-20T00:00:00"/>
    <d v="2020-02-18T00:00:00"/>
    <d v="1899-12-30T08:00:00"/>
    <d v="1899-12-31T00:00:00"/>
    <s v="tokeet"/>
    <x v="1"/>
    <n v="2"/>
    <n v="1"/>
    <s v="GBP"/>
    <n v="110"/>
    <n v="3"/>
    <n v="1"/>
  </r>
  <r>
    <s v="Guest 575"/>
    <s v="Guest575@airbnb.com"/>
    <x v="2"/>
    <d v="2020-02-20T00:00:00"/>
    <d v="2020-02-22T00:00:00"/>
    <d v="2020-02-19T00:00:00"/>
    <d v="1899-12-30T08:00:00"/>
    <d v="1899-12-31T00:00:00"/>
    <s v="airbnb"/>
    <x v="0"/>
    <n v="1"/>
    <n v="0"/>
    <s v="GBP"/>
    <n v="212"/>
    <n v="1"/>
    <n v="2"/>
  </r>
  <r>
    <s v="Guest 205"/>
    <s v="Guest205@gmail.com"/>
    <x v="2"/>
    <d v="2020-02-20T00:00:00"/>
    <d v="2020-02-22T00:00:00"/>
    <d v="2020-02-19T00:00:00"/>
    <d v="1899-12-30T08:00:00"/>
    <d v="1899-12-31T00:00:00"/>
    <s v="tokeet"/>
    <x v="1"/>
    <n v="2"/>
    <n v="0"/>
    <s v="GBP"/>
    <n v="110"/>
    <n v="2"/>
    <n v="2"/>
  </r>
  <r>
    <s v="Guest 548"/>
    <s v="Guest548@airbnb.com"/>
    <x v="1"/>
    <d v="2020-02-23T00:00:00"/>
    <d v="2020-02-25T00:00:00"/>
    <d v="2020-02-22T00:00:00"/>
    <d v="1899-12-30T08:00:00"/>
    <d v="1899-12-31T00:00:00"/>
    <s v="airbnb"/>
    <x v="0"/>
    <n v="1"/>
    <n v="0"/>
    <s v="GBP"/>
    <n v="212"/>
    <n v="1"/>
    <n v="2"/>
  </r>
  <r>
    <s v="Guest 330"/>
    <s v="Guest330@yahoo.com"/>
    <x v="1"/>
    <d v="2020-02-23T00:00:00"/>
    <d v="2020-02-25T00:00:00"/>
    <d v="2020-02-22T00:00:00"/>
    <d v="1899-12-30T08:00:00"/>
    <d v="1899-12-31T00:00:00"/>
    <s v="tokeet"/>
    <x v="1"/>
    <n v="3"/>
    <n v="0"/>
    <s v="GBP"/>
    <n v="220"/>
    <n v="3"/>
    <n v="2"/>
  </r>
  <r>
    <s v="Guest 65"/>
    <s v="Guest65@airbnb.com"/>
    <x v="1"/>
    <d v="2020-02-24T00:00:00"/>
    <d v="2020-02-26T00:00:00"/>
    <d v="2020-02-21T00:00:00"/>
    <d v="1899-12-30T08:00:00"/>
    <d v="1899-12-31T00:00:00"/>
    <s v="airbnb"/>
    <x v="0"/>
    <n v="4"/>
    <n v="0"/>
    <s v="GBP"/>
    <n v="212"/>
    <n v="4"/>
    <n v="2"/>
  </r>
  <r>
    <s v="Guest 307"/>
    <s v="Guest307@yahoo.com"/>
    <x v="1"/>
    <d v="2020-02-25T00:00:00"/>
    <d v="2020-02-26T00:00:00"/>
    <d v="2020-02-24T00:00:00"/>
    <d v="1899-12-30T08:00:00"/>
    <d v="1899-12-31T00:00:00"/>
    <s v="tokeet"/>
    <x v="1"/>
    <n v="3"/>
    <n v="0"/>
    <s v="GBP"/>
    <n v="110"/>
    <n v="3"/>
    <n v="1"/>
  </r>
  <r>
    <s v="Guest 428"/>
    <s v="Guest428@airbnb.com"/>
    <x v="4"/>
    <d v="2020-02-27T00:00:00"/>
    <d v="2020-02-28T00:00:00"/>
    <d v="2020-02-14T00:00:00"/>
    <d v="1899-12-30T08:00:00"/>
    <d v="1899-12-31T00:00:00"/>
    <s v="airbnb"/>
    <x v="0"/>
    <n v="1"/>
    <n v="0"/>
    <s v="GBP"/>
    <n v="106"/>
    <n v="1"/>
    <n v="1"/>
  </r>
  <r>
    <s v="Guest 307"/>
    <s v="Guest307@yahoo.com"/>
    <x v="1"/>
    <d v="2020-02-27T00:00:00"/>
    <d v="2020-02-28T00:00:00"/>
    <d v="2020-02-18T00:00:00"/>
    <d v="1899-12-30T08:00:00"/>
    <d v="1899-12-31T00:00:00"/>
    <s v="tokeet"/>
    <x v="0"/>
    <n v="3"/>
    <n v="0"/>
    <s v="GBP"/>
    <n v="110"/>
    <n v="3"/>
    <n v="1"/>
  </r>
  <r>
    <s v="Guest 479"/>
    <s v="Guest479@airbnb.com"/>
    <x v="4"/>
    <d v="2020-02-27T00:00:00"/>
    <d v="2020-02-28T00:00:00"/>
    <d v="2020-02-19T00:00:00"/>
    <d v="1899-12-30T08:00:00"/>
    <d v="1899-12-31T00:00:00"/>
    <s v="airbnb"/>
    <x v="0"/>
    <n v="1"/>
    <n v="0"/>
    <s v="GBP"/>
    <n v="106"/>
    <n v="1"/>
    <n v="1"/>
  </r>
  <r>
    <s v="Guest 307"/>
    <s v="Guest307@yahoo.com"/>
    <x v="1"/>
    <d v="2020-02-28T00:00:00"/>
    <d v="2020-02-29T00:00:00"/>
    <d v="2020-02-18T00:00:00"/>
    <d v="1899-12-30T08:00:00"/>
    <d v="1899-12-31T00:00:00"/>
    <s v="tokeet"/>
    <x v="1"/>
    <n v="2"/>
    <n v="0"/>
    <s v="GBP"/>
    <n v="110"/>
    <n v="2"/>
    <n v="1"/>
  </r>
  <r>
    <s v="Guest 272"/>
    <s v="Guest272@yahoo.co.uk"/>
    <x v="4"/>
    <d v="2020-02-28T00:00:00"/>
    <d v="2020-02-29T00:00:00"/>
    <d v="2020-02-23T00:00:00"/>
    <d v="1899-12-30T08:00:00"/>
    <d v="1899-12-31T00:00:00"/>
    <s v="tokeet"/>
    <x v="1"/>
    <n v="3"/>
    <n v="0"/>
    <s v="GBP"/>
    <n v="110"/>
    <n v="3"/>
    <n v="1"/>
  </r>
  <r>
    <s v="Guest 58"/>
    <s v="Guest58@guest.airbnb.com"/>
    <x v="3"/>
    <d v="2020-02-29T00:00:00"/>
    <d v="2020-03-04T00:00:00"/>
    <d v="2020-02-19T00:00:00"/>
    <d v="1899-12-30T08:00:00"/>
    <d v="1899-12-31T00:00:00"/>
    <s v="tokeet"/>
    <x v="0"/>
    <n v="4"/>
    <n v="0"/>
    <s v="GBP"/>
    <n v="220"/>
    <n v="4"/>
    <n v="4"/>
  </r>
  <r>
    <s v="Guest 272"/>
    <s v="Guest272@yahoo.co.uk"/>
    <x v="4"/>
    <d v="2020-02-29T00:00:00"/>
    <d v="2020-03-01T00:00:00"/>
    <d v="2020-02-23T00:00:00"/>
    <d v="1899-12-30T08:00:00"/>
    <d v="1899-12-31T00:00:00"/>
    <s v="tokeet"/>
    <x v="1"/>
    <n v="3"/>
    <n v="0"/>
    <s v="GBP"/>
    <n v="110"/>
    <n v="3"/>
    <n v="1"/>
  </r>
  <r>
    <s v="Guest 529"/>
    <s v="Guest529@airbnb.com"/>
    <x v="1"/>
    <d v="2020-02-29T00:00:00"/>
    <d v="2020-03-01T00:00:00"/>
    <d v="2020-02-24T00:00:00"/>
    <d v="1899-12-30T08:00:00"/>
    <d v="1899-12-31T00:00:00"/>
    <s v="airbnb"/>
    <x v="0"/>
    <n v="1"/>
    <n v="0"/>
    <s v="GBP"/>
    <n v="106"/>
    <n v="1"/>
    <n v="1"/>
  </r>
  <r>
    <s v="Guest 112"/>
    <s v="Guest112@airbnb.com"/>
    <x v="1"/>
    <d v="2020-02-29T00:00:00"/>
    <d v="2020-03-01T00:00:00"/>
    <d v="2020-02-28T00:00:00"/>
    <d v="1899-12-30T08:00:00"/>
    <d v="1899-12-31T00:00:00"/>
    <s v="airbnb"/>
    <x v="0"/>
    <n v="4"/>
    <n v="0"/>
    <s v="GBP"/>
    <n v="106"/>
    <n v="4"/>
    <n v="1"/>
  </r>
  <r>
    <s v="Guest 58"/>
    <s v="Guest58@guest.airbnb.com"/>
    <x v="3"/>
    <d v="2020-02-29T00:00:00"/>
    <d v="2020-03-04T00:00:00"/>
    <d v="2020-02-28T00:00:00"/>
    <d v="1899-12-30T08:00:00"/>
    <d v="1899-12-31T00:00:00"/>
    <s v="tokeet"/>
    <x v="1"/>
    <n v="3"/>
    <n v="0"/>
    <s v="GBP"/>
    <n v="96"/>
    <n v="3"/>
    <n v="4"/>
  </r>
  <r>
    <s v="Guest 534"/>
    <s v="Guest534@icloud.com"/>
    <x v="1"/>
    <d v="2020-02-29T00:00:00"/>
    <d v="2020-03-02T00:00:00"/>
    <d v="2020-02-29T00:00:00"/>
    <d v="1899-12-30T08:00:00"/>
    <d v="1899-12-31T00:00:00"/>
    <s v="tokeet"/>
    <x v="1"/>
    <n v="2"/>
    <n v="0"/>
    <s v="GBP"/>
    <n v="220"/>
    <n v="2"/>
    <n v="2"/>
  </r>
  <r>
    <s v="Guest 345"/>
    <s v="Guest345@airbnb.com"/>
    <x v="1"/>
    <d v="2020-02-29T00:00:00"/>
    <d v="2020-03-02T00:00:00"/>
    <d v="2020-02-29T00:00:00"/>
    <d v="1899-12-30T08:00:00"/>
    <d v="1899-12-31T00:00:00"/>
    <s v="airbnb"/>
    <x v="0"/>
    <n v="3"/>
    <n v="0"/>
    <s v="GBP"/>
    <n v="212"/>
    <n v="3"/>
    <n v="2"/>
  </r>
  <r>
    <s v="Guest 105"/>
    <s v="Guest105@airbnb.com"/>
    <x v="3"/>
    <d v="2020-03-01T00:00:00"/>
    <d v="2020-03-07T00:00:00"/>
    <d v="2020-02-24T00:00:00"/>
    <d v="1899-12-30T08:00:00"/>
    <d v="1899-12-31T00:00:00"/>
    <s v="airbnb"/>
    <x v="0"/>
    <n v="1"/>
    <n v="0"/>
    <s v="GBP"/>
    <n v="656"/>
    <n v="1"/>
    <n v="6"/>
  </r>
  <r>
    <s v="Guest 346"/>
    <s v="Guest346@yahoo.com"/>
    <x v="1"/>
    <d v="2020-03-02T00:00:00"/>
    <d v="2020-03-03T00:00:00"/>
    <d v="2020-03-02T00:00:00"/>
    <d v="1899-12-30T08:00:00"/>
    <d v="1899-12-31T00:00:00"/>
    <s v="tokeet"/>
    <x v="1"/>
    <n v="2"/>
    <n v="0"/>
    <s v="GBP"/>
    <n v="110"/>
    <n v="2"/>
    <n v="1"/>
  </r>
  <r>
    <s v="Guest 108"/>
    <s v="Guest108@gmail.com"/>
    <x v="3"/>
    <d v="2020-03-05T00:00:00"/>
    <d v="2020-03-07T00:00:00"/>
    <d v="2020-03-05T00:00:00"/>
    <d v="1899-12-30T08:00:00"/>
    <d v="1899-12-31T00:00:00"/>
    <s v="tokeet"/>
    <x v="1"/>
    <n v="2"/>
    <n v="0"/>
    <s v="GBP"/>
    <n v="220"/>
    <n v="2"/>
    <n v="2"/>
  </r>
  <r>
    <s v="Guest 362"/>
    <s v="Guest362@airbnb.com"/>
    <x v="1"/>
    <d v="2020-03-07T00:00:00"/>
    <d v="2020-03-15T00:00:00"/>
    <d v="2020-02-21T00:00:00"/>
    <d v="1899-12-30T08:00:00"/>
    <d v="1899-12-31T00:00:00"/>
    <s v="airbnb"/>
    <x v="0"/>
    <n v="1"/>
    <n v="0"/>
    <s v="GBP"/>
    <n v="849"/>
    <n v="1"/>
    <n v="8"/>
  </r>
  <r>
    <s v="Guest 500"/>
    <s v="Guest500@airbnb.com"/>
    <x v="3"/>
    <d v="2020-03-07T00:00:00"/>
    <d v="2020-03-08T00:00:00"/>
    <d v="2020-03-04T00:00:00"/>
    <d v="1899-12-30T08:00:00"/>
    <d v="1899-12-31T00:00:00"/>
    <s v="tokeet"/>
    <x v="1"/>
    <n v="1"/>
    <n v="0"/>
    <s v="GBP"/>
    <n v="110"/>
    <n v="1"/>
    <n v="1"/>
  </r>
  <r>
    <s v="Guest 139"/>
    <s v="Guest139@airbnb.com"/>
    <x v="4"/>
    <d v="2020-03-09T00:00:00"/>
    <d v="2020-03-10T00:00:00"/>
    <d v="2020-02-22T00:00:00"/>
    <d v="1899-12-30T08:00:00"/>
    <d v="1899-12-31T00:00:00"/>
    <s v="airbnb"/>
    <x v="0"/>
    <n v="1"/>
    <n v="0"/>
    <s v="GBP"/>
    <n v="106"/>
    <n v="1"/>
    <n v="1"/>
  </r>
  <r>
    <s v="Guest 453"/>
    <s v="Guest453@airbnb.com"/>
    <x v="1"/>
    <d v="2020-03-10T00:00:00"/>
    <d v="2020-03-15T00:00:00"/>
    <d v="2020-02-18T00:00:00"/>
    <d v="1899-12-30T08:00:00"/>
    <d v="1899-12-31T00:00:00"/>
    <s v="airbnb"/>
    <x v="0"/>
    <n v="1"/>
    <n v="0"/>
    <s v="GBP"/>
    <n v="531"/>
    <n v="1"/>
    <n v="5"/>
  </r>
  <r>
    <s v="Guest 267"/>
    <s v="Guest267@booking.com"/>
    <x v="4"/>
    <d v="2020-03-10T00:00:00"/>
    <d v="2020-03-19T00:00:00"/>
    <d v="2020-01-21T00:00:00"/>
    <d v="1899-12-30T08:00:00"/>
    <d v="1899-12-31T00:00:00"/>
    <s v="Booking.com"/>
    <x v="0"/>
    <n v="3"/>
    <n v="0"/>
    <s v="GBP"/>
    <n v="1197"/>
    <n v="3"/>
    <n v="9"/>
  </r>
  <r>
    <s v="Guest 226"/>
    <s v="Guest226@yahoo.com"/>
    <x v="3"/>
    <d v="2020-03-10T00:00:00"/>
    <d v="2020-03-11T00:00:00"/>
    <d v="2020-03-10T00:00:00"/>
    <d v="1899-12-30T08:00:00"/>
    <d v="1899-12-31T00:00:00"/>
    <s v="tokeet"/>
    <x v="1"/>
    <n v="5"/>
    <n v="0"/>
    <s v="GBP"/>
    <n v="110"/>
    <n v="5"/>
    <n v="1"/>
  </r>
  <r>
    <s v="Guest 517"/>
    <s v="Guest517@gmail%2Ecom"/>
    <x v="4"/>
    <d v="2020-03-10T00:00:00"/>
    <d v="2020-03-12T00:00:00"/>
    <d v="2020-03-07T00:00:00"/>
    <d v="1899-12-30T08:00:00"/>
    <d v="1899-12-31T00:00:00"/>
    <s v="tokeet"/>
    <x v="0"/>
    <n v="3"/>
    <n v="0"/>
    <s v="GBP"/>
    <n v="220"/>
    <n v="3"/>
    <n v="2"/>
  </r>
  <r>
    <s v="Guest 384"/>
    <s v="Guest384@yahoo%2Ecom"/>
    <x v="4"/>
    <d v="2020-03-11T00:00:00"/>
    <d v="2020-04-11T00:00:00"/>
    <d v="2020-10-30T00:00:00"/>
    <d v="1899-12-30T12:00:00"/>
    <d v="1899-12-30T14:00:00"/>
    <s v="tokeet"/>
    <x v="0"/>
    <n v="2"/>
    <n v="0"/>
    <s v="GBP"/>
    <n v="85000"/>
    <n v="2"/>
    <n v="31"/>
  </r>
  <r>
    <s v="Guest 384"/>
    <s v="Guest384@yahoo%2Ecom"/>
    <x v="4"/>
    <d v="2020-03-11T00:00:00"/>
    <d v="2020-04-11T00:00:00"/>
    <d v="2020-10-30T00:00:00"/>
    <d v="1899-12-30T12:00:00"/>
    <d v="1899-12-30T14:00:00"/>
    <s v="tokeet"/>
    <x v="0"/>
    <n v="2"/>
    <n v="0"/>
    <s v="GBP"/>
    <n v="85000"/>
    <n v="2"/>
    <n v="31"/>
  </r>
  <r>
    <s v="Guest 384"/>
    <s v="Guest384@yahoo%2Ecom"/>
    <x v="4"/>
    <d v="2020-03-11T00:00:00"/>
    <d v="2020-04-11T00:00:00"/>
    <d v="2020-10-30T00:00:00"/>
    <d v="1899-12-30T12:00:00"/>
    <d v="1899-12-30T14:00:00"/>
    <s v="tokeet"/>
    <x v="0"/>
    <n v="2"/>
    <n v="0"/>
    <s v="GBP"/>
    <n v="85000"/>
    <n v="2"/>
    <n v="31"/>
  </r>
  <r>
    <s v="Guest 531"/>
    <s v="Guest531@yahoo.com"/>
    <x v="4"/>
    <d v="2020-03-11T00:00:00"/>
    <d v="2020-04-11T00:00:00"/>
    <d v="2020-10-30T00:00:00"/>
    <d v="1899-12-30T12:00:00"/>
    <d v="1899-12-30T14:00:00"/>
    <s v="tokeet"/>
    <x v="0"/>
    <n v="1"/>
    <n v="0"/>
    <s v="GBP"/>
    <n v="85000"/>
    <n v="1"/>
    <n v="31"/>
  </r>
  <r>
    <s v="Guest 135"/>
    <s v="Guest135@guest.booking.com"/>
    <x v="4"/>
    <d v="2020-03-12T00:00:00"/>
    <d v="2020-03-13T00:00:00"/>
    <d v="2020-03-12T00:00:00"/>
    <d v="1899-12-30T08:00:00"/>
    <d v="1899-12-31T00:00:00"/>
    <s v="Booking.com"/>
    <x v="0"/>
    <n v="2"/>
    <n v="0"/>
    <s v="GBP"/>
    <n v="121.41"/>
    <n v="2"/>
    <n v="1"/>
  </r>
  <r>
    <s v="Guest 299"/>
    <s v="Guest299@gmail.com"/>
    <x v="4"/>
    <d v="2020-03-13T00:00:00"/>
    <d v="2020-03-15T00:00:00"/>
    <d v="2020-03-11T00:00:00"/>
    <d v="1899-12-30T08:00:00"/>
    <d v="1899-12-31T00:00:00"/>
    <s v="tokeet"/>
    <x v="1"/>
    <n v="3"/>
    <n v="0"/>
    <s v="GBP"/>
    <n v="220"/>
    <n v="3"/>
    <n v="2"/>
  </r>
  <r>
    <s v="Guest 454"/>
    <s v="Guest454@guest.booking.com"/>
    <x v="3"/>
    <d v="2020-03-17T00:00:00"/>
    <d v="2020-03-19T00:00:00"/>
    <d v="2020-03-08T00:00:00"/>
    <d v="1899-12-30T08:00:00"/>
    <d v="1899-12-31T00:00:00"/>
    <s v="Booking.com"/>
    <x v="0"/>
    <n v="6"/>
    <n v="0"/>
    <s v="GBP"/>
    <n v="255.6"/>
    <n v="6"/>
    <n v="2"/>
  </r>
  <r>
    <s v="Guest 440"/>
    <s v="Guest440@gmail.com"/>
    <x v="3"/>
    <d v="2020-03-17T00:00:00"/>
    <d v="2020-03-18T00:00:00"/>
    <d v="2020-03-12T00:00:00"/>
    <d v="1899-12-30T08:00:00"/>
    <d v="1899-12-31T00:00:00"/>
    <s v="tokeet"/>
    <x v="0"/>
    <n v="3"/>
    <n v="0"/>
    <s v="GBP"/>
    <n v="110"/>
    <n v="3"/>
    <n v="1"/>
  </r>
  <r>
    <s v="Guest 440"/>
    <s v="Guest440@gmail.com"/>
    <x v="3"/>
    <d v="2020-03-17T00:00:00"/>
    <d v="2020-03-18T00:00:00"/>
    <d v="2020-03-13T00:00:00"/>
    <d v="1899-12-30T08:00:00"/>
    <d v="1899-12-31T00:00:00"/>
    <s v="tokeet"/>
    <x v="0"/>
    <n v="2"/>
    <n v="0"/>
    <s v="GBP"/>
    <n v="110"/>
    <n v="2"/>
    <n v="1"/>
  </r>
  <r>
    <s v="Guest 454"/>
    <s v="Guest454@guest.booking.com"/>
    <x v="3"/>
    <d v="2020-03-18T00:00:00"/>
    <d v="2020-03-20T00:00:00"/>
    <d v="2020-03-12T00:00:00"/>
    <d v="1899-12-30T08:00:00"/>
    <d v="1899-12-31T00:00:00"/>
    <s v="tokeet"/>
    <x v="0"/>
    <n v="3"/>
    <n v="0"/>
    <s v="GBP"/>
    <n v="220"/>
    <n v="3"/>
    <n v="2"/>
  </r>
  <r>
    <s v="Guest 100"/>
    <s v="Guest100@encry.com"/>
    <x v="1"/>
    <d v="2020-03-18T00:00:00"/>
    <d v="2020-03-19T00:00:00"/>
    <d v="2020-03-05T00:00:00"/>
    <d v="1899-12-30T08:00:00"/>
    <d v="1899-12-31T00:00:00"/>
    <s v="tokeet"/>
    <x v="0"/>
    <n v="2"/>
    <n v="0"/>
    <s v="GBP"/>
    <n v="110"/>
    <n v="2"/>
    <n v="1"/>
  </r>
  <r>
    <s v="Guest 440"/>
    <s v="Guest440@gmail.com"/>
    <x v="3"/>
    <d v="2020-03-18T00:00:00"/>
    <d v="2020-03-21T00:00:00"/>
    <d v="2020-03-13T00:00:00"/>
    <d v="1899-12-30T08:00:00"/>
    <d v="1899-12-31T00:00:00"/>
    <s v="tokeet"/>
    <x v="1"/>
    <n v="2"/>
    <n v="0"/>
    <s v="GBP"/>
    <n v="454.65"/>
    <n v="2"/>
    <n v="3"/>
  </r>
  <r>
    <s v="Guest 100"/>
    <s v="Guest100@encry.com"/>
    <x v="2"/>
    <d v="2020-03-19T00:00:00"/>
    <d v="2020-03-24T00:00:00"/>
    <d v="2020-02-18T00:00:00"/>
    <d v="1899-12-30T08:00:00"/>
    <d v="1899-12-31T00:00:00"/>
    <s v="airbnb"/>
    <x v="0"/>
    <n v="1"/>
    <n v="0"/>
    <s v="GBP"/>
    <n v="550"/>
    <n v="1"/>
    <n v="5"/>
  </r>
  <r>
    <s v="Guest 454"/>
    <s v="Guest454@guest.booking.com"/>
    <x v="3"/>
    <d v="2020-03-19T00:00:00"/>
    <d v="2020-03-20T00:00:00"/>
    <d v="2020-03-11T00:00:00"/>
    <d v="1899-12-30T08:00:00"/>
    <d v="1899-12-31T00:00:00"/>
    <s v="tokeet"/>
    <x v="0"/>
    <n v="3"/>
    <n v="0"/>
    <s v="GBP"/>
    <n v="110"/>
    <n v="3"/>
    <n v="1"/>
  </r>
  <r>
    <s v="Guest 500"/>
    <s v="Guest500@airbnb.com"/>
    <x v="1"/>
    <d v="2020-03-19T00:00:00"/>
    <d v="2020-03-20T00:00:00"/>
    <d v="2020-03-13T00:00:00"/>
    <d v="1899-12-30T08:00:00"/>
    <d v="1899-12-31T00:00:00"/>
    <s v="tokeet"/>
    <x v="0"/>
    <n v="2"/>
    <n v="0"/>
    <s v="GBP"/>
    <n v="110"/>
    <n v="2"/>
    <n v="1"/>
  </r>
  <r>
    <s v="Guest 454"/>
    <s v="Guest454@guest.booking.com"/>
    <x v="1"/>
    <d v="2020-03-19T00:00:00"/>
    <d v="2020-03-21T00:00:00"/>
    <d v="2020-03-18T00:00:00"/>
    <d v="1899-12-30T08:00:00"/>
    <d v="1899-12-31T00:00:00"/>
    <s v="tokeet"/>
    <x v="1"/>
    <n v="6"/>
    <n v="0"/>
    <s v="GBP"/>
    <n v="307"/>
    <n v="6"/>
    <n v="2"/>
  </r>
  <r>
    <s v="Guest 79"/>
    <s v="Guest79@hotmail.co.uk"/>
    <x v="2"/>
    <d v="2020-03-19T00:00:00"/>
    <d v="2020-03-21T00:00:00"/>
    <d v="2020-03-19T00:00:00"/>
    <d v="1899-12-30T08:00:00"/>
    <d v="1899-12-31T00:00:00"/>
    <s v="tokeet"/>
    <x v="1"/>
    <n v="2"/>
    <n v="0"/>
    <s v="GBP"/>
    <n v="220"/>
    <n v="2"/>
    <n v="2"/>
  </r>
  <r>
    <s v="Guest 499"/>
    <s v="Guest499@airbnb.com"/>
    <x v="1"/>
    <d v="2020-03-20T00:00:00"/>
    <d v="2020-03-21T00:00:00"/>
    <d v="2020-03-06T00:00:00"/>
    <d v="1899-12-30T08:00:00"/>
    <d v="1899-12-31T00:00:00"/>
    <s v="tokeet"/>
    <x v="0"/>
    <n v="1"/>
    <n v="0"/>
    <s v="GBP"/>
    <n v="110"/>
    <n v="1"/>
    <n v="1"/>
  </r>
  <r>
    <s v="Guest 100"/>
    <s v="Guest100@encry.com"/>
    <x v="2"/>
    <d v="2020-03-20T00:00:00"/>
    <d v="2020-03-25T00:00:00"/>
    <d v="2020-02-24T00:00:00"/>
    <d v="1899-12-30T08:00:00"/>
    <d v="1899-12-31T00:00:00"/>
    <s v="tokeet"/>
    <x v="0"/>
    <n v="2"/>
    <n v="0"/>
    <s v="GBP"/>
    <n v="550"/>
    <n v="2"/>
    <n v="5"/>
  </r>
  <r>
    <s v="Guest 377"/>
    <s v="Guest377@guest.booking.com"/>
    <x v="3"/>
    <d v="2020-03-20T00:00:00"/>
    <d v="2020-03-22T00:00:00"/>
    <d v="2020-03-18T00:00:00"/>
    <d v="1899-12-30T08:00:00"/>
    <d v="1899-12-31T00:00:00"/>
    <s v="Booking.com"/>
    <x v="0"/>
    <n v="2"/>
    <n v="0"/>
    <s v="GBP"/>
    <n v="255.6"/>
    <n v="2"/>
    <n v="2"/>
  </r>
  <r>
    <s v="Guest 459"/>
    <s v="Guest459@gmail.com"/>
    <x v="3"/>
    <d v="2020-03-21T00:00:00"/>
    <d v="2020-04-05T00:00:00"/>
    <d v="2020-02-20T00:00:00"/>
    <d v="1899-12-30T08:00:00"/>
    <d v="1899-12-31T00:00:00"/>
    <s v="tokeet"/>
    <x v="0"/>
    <n v="2"/>
    <n v="0"/>
    <s v="GBP"/>
    <n v="1650"/>
    <n v="2"/>
    <n v="15"/>
  </r>
  <r>
    <s v="Guest 226"/>
    <s v="Guest226@yahoo.com"/>
    <x v="3"/>
    <d v="2020-03-21T00:00:00"/>
    <d v="2020-03-24T00:00:00"/>
    <d v="2020-03-20T00:00:00"/>
    <d v="1899-12-30T08:00:00"/>
    <d v="1899-12-31T00:00:00"/>
    <s v="tokeet"/>
    <x v="0"/>
    <n v="1"/>
    <n v="0"/>
    <s v="GBP"/>
    <n v="330"/>
    <n v="1"/>
    <n v="3"/>
  </r>
  <r>
    <s v="Guest 454"/>
    <s v="Guest454@guest.booking.com"/>
    <x v="2"/>
    <d v="2020-03-21T00:00:00"/>
    <d v="2020-03-24T00:00:00"/>
    <d v="2020-03-21T00:00:00"/>
    <d v="1899-12-30T08:00:00"/>
    <d v="1899-12-31T00:00:00"/>
    <s v="tokeet"/>
    <x v="1"/>
    <n v="2"/>
    <n v="0"/>
    <s v="GBP"/>
    <n v="440"/>
    <n v="2"/>
    <n v="3"/>
  </r>
  <r>
    <s v="Guest 533"/>
    <s v="Guest533@yahoo.com"/>
    <x v="4"/>
    <d v="2020-03-22T00:00:00"/>
    <d v="2020-03-28T00:00:00"/>
    <d v="2020-03-14T00:00:00"/>
    <d v="1899-12-30T08:00:00"/>
    <d v="1899-12-31T00:00:00"/>
    <s v="tokeet"/>
    <x v="0"/>
    <n v="2"/>
    <n v="0"/>
    <s v="GBP"/>
    <n v="660"/>
    <n v="2"/>
    <n v="6"/>
  </r>
  <r>
    <s v="Guest 301"/>
    <s v="Guest301@airbnb.com"/>
    <x v="4"/>
    <d v="2020-03-22T00:00:00"/>
    <d v="2020-03-25T00:00:00"/>
    <d v="2020-03-20T00:00:00"/>
    <d v="1899-12-30T08:00:00"/>
    <d v="1899-12-31T00:00:00"/>
    <s v="airbnb"/>
    <x v="0"/>
    <n v="1"/>
    <n v="0"/>
    <s v="GBP"/>
    <n v="319"/>
    <n v="1"/>
    <n v="3"/>
  </r>
  <r>
    <s v="Guest 257"/>
    <s v="Guest257@guest.airbnb.com"/>
    <x v="1"/>
    <d v="2020-03-22T00:00:00"/>
    <d v="2020-03-23T00:00:00"/>
    <d v="2020-03-22T00:00:00"/>
    <d v="1899-12-30T08:00:00"/>
    <d v="1899-12-31T00:00:00"/>
    <s v="tokeet"/>
    <x v="0"/>
    <n v="2"/>
    <n v="0"/>
    <s v="GBP"/>
    <n v="105"/>
    <n v="2"/>
    <n v="1"/>
  </r>
  <r>
    <s v="Guest 426"/>
    <s v="Guest426@gmail.com"/>
    <x v="1"/>
    <d v="2020-03-23T00:00:00"/>
    <d v="2020-03-24T00:00:00"/>
    <d v="2020-03-18T00:00:00"/>
    <d v="1899-12-30T08:00:00"/>
    <d v="1899-12-31T00:00:00"/>
    <s v="tokeet"/>
    <x v="1"/>
    <n v="5"/>
    <n v="0"/>
    <s v="GBP"/>
    <n v="110"/>
    <n v="5"/>
    <n v="1"/>
  </r>
  <r>
    <s v="Guest 257"/>
    <s v="Guest257@guest.airbnb.com"/>
    <x v="3"/>
    <d v="2020-03-23T00:00:00"/>
    <d v="2020-03-25T00:00:00"/>
    <d v="2020-03-22T00:00:00"/>
    <d v="1899-12-30T08:00:00"/>
    <d v="1899-12-31T00:00:00"/>
    <s v="tokeet"/>
    <x v="0"/>
    <n v="3"/>
    <n v="0"/>
    <s v="GBP"/>
    <n v="210"/>
    <n v="3"/>
    <n v="2"/>
  </r>
  <r>
    <s v="Guest 517"/>
    <s v="Guest517@gmail%2Ecom"/>
    <x v="3"/>
    <d v="2020-03-23T00:00:00"/>
    <d v="2020-03-24T00:00:00"/>
    <d v="2020-03-22T00:00:00"/>
    <d v="1899-12-30T08:00:00"/>
    <d v="1899-12-31T00:00:00"/>
    <s v="tokeet"/>
    <x v="0"/>
    <n v="1"/>
    <n v="0"/>
    <s v="GBP"/>
    <n v="110"/>
    <n v="1"/>
    <n v="1"/>
  </r>
  <r>
    <s v="Guest 458"/>
    <s v="Guest458@encry.com"/>
    <x v="3"/>
    <d v="2020-03-24T00:00:00"/>
    <d v="2020-04-09T00:00:00"/>
    <d v="2020-02-09T00:00:00"/>
    <d v="1899-12-30T08:00:00"/>
    <d v="1899-12-31T00:00:00"/>
    <s v="airbnbapiv2"/>
    <x v="0"/>
    <n v="3"/>
    <n v="0"/>
    <s v="GBP"/>
    <n v="910"/>
    <n v="3"/>
    <n v="16"/>
  </r>
  <r>
    <s v="Guest 101"/>
    <s v="Guest101@airbnb.com"/>
    <x v="1"/>
    <d v="2020-03-24T00:00:00"/>
    <d v="2020-03-26T00:00:00"/>
    <d v="2020-03-23T00:00:00"/>
    <d v="1899-12-30T08:00:00"/>
    <d v="1899-12-31T00:00:00"/>
    <s v="airbnb"/>
    <x v="0"/>
    <n v="4"/>
    <n v="0"/>
    <s v="GBP"/>
    <n v="212"/>
    <n v="4"/>
    <n v="2"/>
  </r>
  <r>
    <s v="Guest 226"/>
    <s v="Guest226@yahoo.com"/>
    <x v="2"/>
    <d v="2020-03-24T00:00:00"/>
    <d v="2020-03-26T00:00:00"/>
    <d v="2020-03-21T00:00:00"/>
    <d v="1899-12-30T08:00:00"/>
    <d v="1899-12-31T00:00:00"/>
    <s v="tokeet"/>
    <x v="0"/>
    <n v="5"/>
    <n v="0"/>
    <s v="GBP"/>
    <n v="220"/>
    <n v="5"/>
    <n v="2"/>
  </r>
  <r>
    <s v="Guest 454"/>
    <s v="Guest454@guest.booking.com"/>
    <x v="2"/>
    <d v="2020-03-24T00:00:00"/>
    <d v="2020-03-25T00:00:00"/>
    <d v="2020-03-24T00:00:00"/>
    <d v="1899-12-30T08:00:00"/>
    <d v="1899-12-31T00:00:00"/>
    <s v="tokeet"/>
    <x v="1"/>
    <n v="1"/>
    <n v="0"/>
    <s v="GBP"/>
    <n v="110"/>
    <n v="1"/>
    <n v="1"/>
  </r>
  <r>
    <s v="Guest 454"/>
    <s v="Guest454@guest.booking.com"/>
    <x v="1"/>
    <d v="2020-03-24T00:00:00"/>
    <d v="2020-03-25T00:00:00"/>
    <d v="2020-03-23T00:00:00"/>
    <d v="1899-12-30T08:00:00"/>
    <d v="1899-12-31T00:00:00"/>
    <s v="tokeet"/>
    <x v="0"/>
    <n v="3"/>
    <n v="0"/>
    <s v="GBP"/>
    <n v="110"/>
    <n v="3"/>
    <n v="1"/>
  </r>
  <r>
    <s v="Guest 32"/>
    <s v="Guest32@yahoo.com"/>
    <x v="1"/>
    <d v="2020-03-24T00:00:00"/>
    <d v="2020-03-29T00:00:00"/>
    <d v="2020-03-24T00:00:00"/>
    <d v="1899-12-30T08:00:00"/>
    <d v="1899-12-31T00:00:00"/>
    <s v="tokeet"/>
    <x v="1"/>
    <n v="5"/>
    <n v="0"/>
    <s v="GBP"/>
    <n v="550"/>
    <n v="5"/>
    <n v="5"/>
  </r>
  <r>
    <s v="Guest 257"/>
    <s v="Guest257@guest.airbnb.com"/>
    <x v="4"/>
    <d v="2020-03-25T00:00:00"/>
    <d v="2020-03-28T00:00:00"/>
    <d v="2020-03-22T00:00:00"/>
    <d v="1899-12-30T08:00:00"/>
    <d v="1899-12-31T00:00:00"/>
    <s v="tokeet"/>
    <x v="0"/>
    <n v="2"/>
    <n v="0"/>
    <s v="GBP"/>
    <n v="315"/>
    <n v="2"/>
    <n v="3"/>
  </r>
  <r>
    <s v="Guest 334"/>
    <s v="Guest334@yahoo.com"/>
    <x v="2"/>
    <d v="2020-03-25T00:00:00"/>
    <d v="2020-03-28T00:00:00"/>
    <d v="2020-03-24T00:00:00"/>
    <d v="1899-12-30T08:00:00"/>
    <d v="1899-12-31T00:00:00"/>
    <s v="tokeet"/>
    <x v="1"/>
    <n v="4"/>
    <n v="0"/>
    <s v="GBP"/>
    <n v="330"/>
    <n v="4"/>
    <n v="3"/>
  </r>
  <r>
    <s v="Guest 226"/>
    <s v="Guest226@yahoo.com"/>
    <x v="1"/>
    <d v="2020-03-26T00:00:00"/>
    <d v="2020-03-29T00:00:00"/>
    <d v="2020-03-21T00:00:00"/>
    <d v="1899-12-30T08:00:00"/>
    <d v="1899-12-31T00:00:00"/>
    <s v="tokeet"/>
    <x v="0"/>
    <n v="3"/>
    <n v="0"/>
    <s v="GBP"/>
    <n v="330"/>
    <n v="3"/>
    <n v="3"/>
  </r>
  <r>
    <s v="Guest 533"/>
    <s v="Guest533@yahoo.com"/>
    <x v="4"/>
    <d v="2020-03-27T00:00:00"/>
    <d v="2020-03-28T00:00:00"/>
    <d v="2020-03-15T00:00:00"/>
    <d v="1899-12-30T08:00:00"/>
    <d v="1899-12-31T00:00:00"/>
    <s v="tokeet"/>
    <x v="0"/>
    <n v="4"/>
    <n v="0"/>
    <s v="GBP"/>
    <n v="110"/>
    <n v="4"/>
    <n v="1"/>
  </r>
  <r>
    <s v="Guest 116"/>
    <s v="Guest116@airbnb.com"/>
    <x v="2"/>
    <d v="2020-03-27T00:00:00"/>
    <d v="2020-04-05T00:00:00"/>
    <d v="2020-03-21T00:00:00"/>
    <d v="1899-12-30T08:00:00"/>
    <d v="1899-12-31T00:00:00"/>
    <s v="airbnb"/>
    <x v="0"/>
    <n v="1"/>
    <n v="0"/>
    <s v="GBP"/>
    <n v="955"/>
    <n v="1"/>
    <n v="9"/>
  </r>
  <r>
    <s v="Guest 518"/>
    <s v="Guest518@airbnb.com"/>
    <x v="1"/>
    <d v="2020-03-27T00:00:00"/>
    <d v="2020-03-28T00:00:00"/>
    <d v="2020-03-16T00:00:00"/>
    <d v="1899-12-30T08:00:00"/>
    <d v="1899-12-31T00:00:00"/>
    <s v="airbnb"/>
    <x v="0"/>
    <n v="1"/>
    <n v="0"/>
    <s v="GBP"/>
    <n v="107"/>
    <n v="1"/>
    <n v="1"/>
  </r>
  <r>
    <s v="Guest 491"/>
    <s v="Guest491@yahoo.com"/>
    <x v="1"/>
    <d v="2020-03-28T00:00:00"/>
    <d v="2020-03-31T00:00:00"/>
    <d v="2020-03-03T00:00:00"/>
    <d v="1899-12-30T08:00:00"/>
    <d v="1899-12-31T00:00:00"/>
    <s v="tokeet"/>
    <x v="0"/>
    <n v="3"/>
    <n v="0"/>
    <s v="GBP"/>
    <n v="330"/>
    <n v="3"/>
    <n v="3"/>
  </r>
  <r>
    <s v="Guest 138"/>
    <s v="Guest138@yahoo%2Ecom"/>
    <x v="4"/>
    <d v="2020-03-28T00:00:00"/>
    <d v="2020-04-05T00:00:00"/>
    <d v="2020-02-08T00:00:00"/>
    <d v="1899-12-30T08:00:00"/>
    <d v="1899-12-31T00:00:00"/>
    <s v="airbnb"/>
    <x v="0"/>
    <n v="2"/>
    <n v="0"/>
    <s v="GBP"/>
    <n v="880"/>
    <n v="2"/>
    <n v="8"/>
  </r>
  <r>
    <s v="Guest 155"/>
    <s v="Guest155@gmail.com"/>
    <x v="2"/>
    <d v="2020-03-28T00:00:00"/>
    <d v="2020-03-29T00:00:00"/>
    <d v="2020-03-23T00:00:00"/>
    <d v="1899-12-30T08:00:00"/>
    <d v="1899-12-31T00:00:00"/>
    <s v="tokeet"/>
    <x v="1"/>
    <n v="4"/>
    <n v="0"/>
    <s v="GBP"/>
    <n v="110"/>
    <n v="4"/>
    <n v="1"/>
  </r>
  <r>
    <s v="Guest 454"/>
    <s v="Guest454@guest.booking.com"/>
    <x v="3"/>
    <d v="2020-03-28T00:00:00"/>
    <d v="2020-03-30T00:00:00"/>
    <d v="2020-03-26T00:00:00"/>
    <d v="1899-12-30T08:00:00"/>
    <d v="1899-12-31T00:00:00"/>
    <s v="tokeet"/>
    <x v="1"/>
    <n v="3"/>
    <n v="0"/>
    <s v="GBP"/>
    <n v="220"/>
    <n v="3"/>
    <n v="2"/>
  </r>
  <r>
    <s v="Guest 138"/>
    <s v="Guest138@yahoo%2Ecom"/>
    <x v="1"/>
    <d v="2020-03-29T00:00:00"/>
    <d v="2020-04-05T00:00:00"/>
    <d v="2020-02-18T00:00:00"/>
    <d v="1899-12-30T08:00:00"/>
    <d v="1899-12-31T00:00:00"/>
    <s v="tokeet"/>
    <x v="0"/>
    <n v="4"/>
    <n v="0"/>
    <s v="GBP"/>
    <n v="770"/>
    <n v="4"/>
    <n v="7"/>
  </r>
  <r>
    <s v="Guest 122"/>
    <s v="Guest122@airbnb.com"/>
    <x v="2"/>
    <d v="2020-03-29T00:00:00"/>
    <d v="2020-04-01T00:00:00"/>
    <d v="2020-03-28T00:00:00"/>
    <d v="1899-12-30T08:00:00"/>
    <d v="1899-12-31T00:00:00"/>
    <s v="airbnb"/>
    <x v="0"/>
    <n v="2"/>
    <n v="0"/>
    <s v="GBP"/>
    <n v="319"/>
    <n v="2"/>
    <n v="3"/>
  </r>
  <r>
    <s v="Guest 334"/>
    <s v="Guest334@yahoo.com"/>
    <x v="2"/>
    <d v="2020-03-29T00:00:00"/>
    <d v="2020-03-31T00:00:00"/>
    <d v="2020-03-28T00:00:00"/>
    <d v="1899-12-30T08:00:00"/>
    <d v="1899-12-31T00:00:00"/>
    <s v="tokeet"/>
    <x v="0"/>
    <n v="2"/>
    <n v="0"/>
    <s v="GBP"/>
    <n v="220"/>
    <n v="2"/>
    <n v="2"/>
  </r>
  <r>
    <s v="Guest 32"/>
    <s v="Guest32@yahoo.com"/>
    <x v="1"/>
    <d v="2020-03-29T00:00:00"/>
    <d v="2020-04-04T00:00:00"/>
    <d v="2020-03-27T00:00:00"/>
    <d v="1899-12-30T08:00:00"/>
    <d v="1899-12-31T00:00:00"/>
    <s v="tokeet"/>
    <x v="1"/>
    <n v="3"/>
    <n v="0"/>
    <s v="GBP"/>
    <n v="660"/>
    <n v="3"/>
    <n v="6"/>
  </r>
  <r>
    <s v="Guest 58"/>
    <s v="Guest58@guest.airbnb.com"/>
    <x v="3"/>
    <d v="2020-03-30T00:00:00"/>
    <d v="2020-04-04T00:00:00"/>
    <d v="2020-02-25T00:00:00"/>
    <d v="1899-12-30T08:00:00"/>
    <d v="1899-12-31T00:00:00"/>
    <s v="tokeet"/>
    <x v="0"/>
    <n v="3"/>
    <n v="0"/>
    <s v="GBP"/>
    <n v="550"/>
    <n v="3"/>
    <n v="5"/>
  </r>
  <r>
    <s v="Guest 454"/>
    <s v="Guest454@guest.booking.com"/>
    <x v="2"/>
    <d v="2020-03-30T00:00:00"/>
    <d v="2020-04-01T00:00:00"/>
    <d v="2020-03-30T00:00:00"/>
    <d v="1899-12-30T08:00:00"/>
    <d v="1899-12-31T00:00:00"/>
    <s v="tokeet"/>
    <x v="1"/>
    <n v="3"/>
    <n v="0"/>
    <s v="GBP"/>
    <n v="220"/>
    <n v="3"/>
    <n v="2"/>
  </r>
  <r>
    <s v="Guest 415"/>
    <s v="Guest415@gmail%2Ecom"/>
    <x v="5"/>
    <d v="2020-03-31T00:00:00"/>
    <d v="2020-04-07T00:00:00"/>
    <d v="2020-02-18T00:00:00"/>
    <d v="1899-12-30T08:00:00"/>
    <d v="1899-12-31T00:00:00"/>
    <s v="tokeet"/>
    <x v="0"/>
    <n v="4"/>
    <n v="3"/>
    <s v="GBP"/>
    <n v="110"/>
    <n v="7"/>
    <n v="7"/>
  </r>
  <r>
    <s v="Guest 300"/>
    <s v="Guest300@airbnb.com"/>
    <x v="1"/>
    <d v="2020-04-01T00:00:00"/>
    <d v="2020-04-02T00:00:00"/>
    <d v="2020-03-17T00:00:00"/>
    <d v="1899-12-30T08:00:00"/>
    <d v="1899-12-31T00:00:00"/>
    <s v="airbnb"/>
    <x v="0"/>
    <n v="1"/>
    <n v="0"/>
    <s v="GBP"/>
    <n v="107"/>
    <n v="1"/>
    <n v="1"/>
  </r>
  <r>
    <s v="Guest 454"/>
    <s v="Guest454@guest.booking.com"/>
    <x v="2"/>
    <d v="2020-04-01T00:00:00"/>
    <d v="2020-04-12T00:00:00"/>
    <d v="2020-03-30T00:00:00"/>
    <d v="1899-12-30T08:00:00"/>
    <d v="1899-12-31T00:00:00"/>
    <s v="tokeet"/>
    <x v="1"/>
    <n v="2"/>
    <n v="0"/>
    <s v="GBP"/>
    <n v="1210"/>
    <n v="2"/>
    <n v="11"/>
  </r>
  <r>
    <s v="Guest 16"/>
    <s v="Guest16@gmail%2Ecom"/>
    <x v="3"/>
    <d v="2020-04-02T00:00:00"/>
    <d v="2020-04-05T00:00:00"/>
    <d v="2020-04-02T00:00:00"/>
    <d v="1899-12-30T08:00:00"/>
    <d v="1899-12-31T00:00:00"/>
    <s v="tokeet"/>
    <x v="1"/>
    <n v="4"/>
    <n v="0"/>
    <s v="GBP"/>
    <n v="330"/>
    <n v="4"/>
    <n v="3"/>
  </r>
  <r>
    <s v="Guest 32"/>
    <s v="Guest32@yahoo.com"/>
    <x v="1"/>
    <d v="2020-04-04T00:00:00"/>
    <d v="2020-04-05T00:00:00"/>
    <d v="2020-04-09T00:00:00"/>
    <d v="1899-12-30T08:00:00"/>
    <d v="1899-12-31T00:00:00"/>
    <s v="tokeet"/>
    <x v="1"/>
    <n v="2"/>
    <n v="0"/>
    <s v="GBP"/>
    <n v="110"/>
    <n v="2"/>
    <n v="1"/>
  </r>
  <r>
    <s v="Guest 468"/>
    <s v="Guest468@airbnb.com"/>
    <x v="1"/>
    <d v="2020-04-05T00:00:00"/>
    <d v="2020-04-06T00:00:00"/>
    <d v="2020-03-27T00:00:00"/>
    <d v="1899-12-30T08:00:00"/>
    <d v="1899-12-31T00:00:00"/>
    <s v="airbnb"/>
    <x v="0"/>
    <n v="1"/>
    <n v="0"/>
    <s v="GBP"/>
    <n v="107"/>
    <n v="1"/>
    <n v="1"/>
  </r>
  <r>
    <s v="Guest 32"/>
    <s v="Guest32@yahoo.com"/>
    <x v="1"/>
    <d v="2020-04-05T00:00:00"/>
    <d v="2020-04-06T00:00:00"/>
    <d v="2020-04-04T00:00:00"/>
    <d v="1899-12-30T08:00:00"/>
    <d v="1899-12-31T00:00:00"/>
    <s v="tokeet"/>
    <x v="1"/>
    <n v="3"/>
    <n v="0"/>
    <s v="GBP"/>
    <n v="110"/>
    <n v="3"/>
    <n v="1"/>
  </r>
  <r>
    <s v="Guest 290"/>
    <s v="Guest290@airbnb.com"/>
    <x v="4"/>
    <d v="2020-04-06T00:00:00"/>
    <d v="2020-04-07T00:00:00"/>
    <d v="2020-03-26T00:00:00"/>
    <d v="1899-12-30T08:00:00"/>
    <d v="1899-12-31T00:00:00"/>
    <s v="airbnb"/>
    <x v="0"/>
    <n v="6"/>
    <n v="0"/>
    <s v="GBP"/>
    <n v="107"/>
    <n v="6"/>
    <n v="1"/>
  </r>
  <r>
    <s v="Guest 32"/>
    <s v="Guest32@yahoo.com"/>
    <x v="1"/>
    <d v="2020-04-06T00:00:00"/>
    <d v="2020-04-12T00:00:00"/>
    <d v="2020-04-02T00:00:00"/>
    <d v="1899-12-30T08:00:00"/>
    <d v="1899-12-31T00:00:00"/>
    <s v="tokeet"/>
    <x v="1"/>
    <n v="3"/>
    <n v="0"/>
    <s v="GBP"/>
    <n v="110"/>
    <n v="3"/>
    <n v="6"/>
  </r>
  <r>
    <s v="Guest 142"/>
    <s v="Guest142@airbnb.com"/>
    <x v="4"/>
    <d v="2020-04-07T00:00:00"/>
    <d v="2020-04-13T00:00:00"/>
    <d v="2020-03-05T00:00:00"/>
    <d v="1899-12-30T08:00:00"/>
    <d v="1899-12-31T00:00:00"/>
    <s v="airbnb"/>
    <x v="0"/>
    <n v="1"/>
    <n v="0"/>
    <s v="GBP"/>
    <n v="637"/>
    <n v="1"/>
    <n v="6"/>
  </r>
  <r>
    <s v="Guest 315"/>
    <s v="Guest315@airbnb.com"/>
    <x v="4"/>
    <d v="2020-04-08T00:00:00"/>
    <d v="2020-04-25T00:00:00"/>
    <d v="2020-02-29T00:00:00"/>
    <d v="1899-12-30T08:00:00"/>
    <d v="1899-12-31T00:00:00"/>
    <s v="airbnb"/>
    <x v="0"/>
    <n v="1"/>
    <n v="0"/>
    <s v="GBP"/>
    <n v="1749"/>
    <n v="1"/>
    <n v="17"/>
  </r>
  <r>
    <s v="Guest 237"/>
    <s v="Guest237@airbnb.com"/>
    <x v="3"/>
    <d v="2020-04-10T00:00:00"/>
    <d v="2020-04-17T00:00:00"/>
    <d v="2020-02-23T00:00:00"/>
    <d v="1899-12-30T08:00:00"/>
    <d v="1899-12-31T00:00:00"/>
    <s v="airbnb"/>
    <x v="0"/>
    <n v="1"/>
    <n v="0"/>
    <s v="GBP"/>
    <n v="740"/>
    <n v="1"/>
    <n v="7"/>
  </r>
  <r>
    <s v="Guest 520"/>
    <s v="Guest520@yahoo.com"/>
    <x v="4"/>
    <d v="2020-04-11T00:00:00"/>
    <d v="2020-05-11T00:00:00"/>
    <d v="2020-11-02T00:00:00"/>
    <d v="1899-12-30T12:00:00"/>
    <d v="1899-12-30T14:00:00"/>
    <s v="tokeet"/>
    <x v="0"/>
    <n v="1"/>
    <n v="0"/>
    <s v="GBP"/>
    <n v="130000"/>
    <n v="1"/>
    <n v="30"/>
  </r>
  <r>
    <s v="Guest 520"/>
    <s v="Guest520@yahoo.com"/>
    <x v="4"/>
    <d v="2020-04-11T00:00:00"/>
    <d v="2020-05-11T00:00:00"/>
    <d v="2020-11-02T00:00:00"/>
    <d v="1899-12-30T12:00:00"/>
    <d v="1899-12-30T14:00:00"/>
    <s v="tokeet"/>
    <x v="0"/>
    <n v="1"/>
    <n v="0"/>
    <s v="GBP"/>
    <n v="130000"/>
    <n v="1"/>
    <n v="30"/>
  </r>
  <r>
    <s v="Guest 454"/>
    <s v="Guest454@guest.booking.com"/>
    <x v="2"/>
    <d v="2020-04-12T00:00:00"/>
    <d v="2020-04-15T00:00:00"/>
    <d v="2020-04-10T00:00:00"/>
    <d v="1899-12-30T08:00:00"/>
    <d v="1899-12-31T00:00:00"/>
    <s v="tokeet"/>
    <x v="1"/>
    <n v="3"/>
    <n v="0"/>
    <s v="GBP"/>
    <n v="330"/>
    <n v="3"/>
    <n v="3"/>
  </r>
  <r>
    <s v="Guest 32"/>
    <s v="Guest32@yahoo.com"/>
    <x v="1"/>
    <d v="2020-04-12T00:00:00"/>
    <d v="2020-04-20T00:00:00"/>
    <d v="2020-04-07T00:00:00"/>
    <d v="1899-12-30T08:00:00"/>
    <d v="1899-12-31T00:00:00"/>
    <s v="tokeet"/>
    <x v="1"/>
    <n v="3"/>
    <n v="0"/>
    <s v="GBP"/>
    <n v="880"/>
    <n v="3"/>
    <n v="8"/>
  </r>
  <r>
    <s v="Guest 520"/>
    <s v="Guest520@yahoo.com"/>
    <x v="4"/>
    <d v="2020-04-12T00:00:00"/>
    <d v="2020-06-12T00:00:00"/>
    <d v="2020-10-23T00:00:00"/>
    <d v="1899-12-30T12:00:00"/>
    <d v="1899-12-30T14:00:00"/>
    <s v="tokeet"/>
    <x v="0"/>
    <n v="1"/>
    <n v="0"/>
    <s v="GBP"/>
    <n v="260000"/>
    <n v="1"/>
    <n v="61"/>
  </r>
  <r>
    <s v="Guest 39"/>
    <s v="Guest39@sdf.fsd"/>
    <x v="4"/>
    <d v="2020-04-12T00:00:00"/>
    <d v="2020-05-12T00:00:00"/>
    <d v="2020-10-26T00:00:00"/>
    <d v="1899-12-30T12:00:00"/>
    <d v="1899-12-30T14:00:00"/>
    <s v="tokeet"/>
    <x v="0"/>
    <n v="1"/>
    <n v="0"/>
    <s v="GBP"/>
    <n v="130000"/>
    <n v="1"/>
    <n v="30"/>
  </r>
  <r>
    <s v="Guest 151"/>
    <s v="Guest151@careerinsights.tv"/>
    <x v="4"/>
    <d v="2020-04-12T00:00:00"/>
    <d v="2020-05-12T00:00:00"/>
    <d v="2020-10-27T00:00:00"/>
    <d v="1899-12-30T12:00:00"/>
    <d v="1899-12-30T14:00:00"/>
    <s v="tokeet"/>
    <x v="0"/>
    <n v="1"/>
    <n v="0"/>
    <s v="GBP"/>
    <n v="130000"/>
    <n v="1"/>
    <n v="30"/>
  </r>
  <r>
    <s v="Guest 151"/>
    <s v="Guest151@careerinsights.tv"/>
    <x v="4"/>
    <d v="2020-04-12T00:00:00"/>
    <d v="2020-05-12T00:00:00"/>
    <d v="2020-10-28T00:00:00"/>
    <d v="1899-12-30T12:00:00"/>
    <d v="1899-12-30T14:00:00"/>
    <s v="tokeet"/>
    <x v="0"/>
    <n v="1"/>
    <n v="0"/>
    <s v="GBP"/>
    <n v="130000"/>
    <n v="1"/>
    <n v="30"/>
  </r>
  <r>
    <s v="Guest 456"/>
    <s v="Guest456@gmail.com"/>
    <x v="4"/>
    <d v="2020-04-12T00:00:00"/>
    <d v="2020-05-12T00:00:00"/>
    <d v="2020-11-04T00:00:00"/>
    <d v="1899-12-30T12:00:00"/>
    <d v="1899-12-30T14:00:00"/>
    <s v="tokeet"/>
    <x v="0"/>
    <n v="8"/>
    <n v="0"/>
    <s v="GBP"/>
    <n v="130000"/>
    <n v="8"/>
    <n v="30"/>
  </r>
  <r>
    <s v="Guest 460"/>
    <s v="Guest460@gmail.com"/>
    <x v="3"/>
    <d v="2020-04-13T00:00:00"/>
    <d v="2020-04-21T00:00:00"/>
    <d v="2020-03-14T00:00:00"/>
    <d v="1899-12-30T08:00:00"/>
    <d v="1899-12-31T00:00:00"/>
    <s v="tokeet"/>
    <x v="0"/>
    <n v="3"/>
    <n v="0"/>
    <s v="GBP"/>
    <n v="880"/>
    <n v="3"/>
    <n v="8"/>
  </r>
  <r>
    <s v="Guest 420"/>
    <s v="Guest420@airbnb.com"/>
    <x v="1"/>
    <d v="2020-04-14T00:00:00"/>
    <d v="2020-04-15T00:00:00"/>
    <d v="2020-03-04T00:00:00"/>
    <d v="1899-12-30T08:00:00"/>
    <d v="1899-12-31T00:00:00"/>
    <s v="airbnb"/>
    <x v="0"/>
    <n v="1"/>
    <n v="0"/>
    <s v="GBP"/>
    <n v="106"/>
    <n v="1"/>
    <n v="1"/>
  </r>
  <r>
    <s v="Guest 158"/>
    <s v="Guest158@gmail.com"/>
    <x v="1"/>
    <d v="2020-04-14T00:00:00"/>
    <d v="2020-04-19T00:00:00"/>
    <d v="2020-03-07T00:00:00"/>
    <d v="1899-12-30T08:00:00"/>
    <d v="1899-12-31T00:00:00"/>
    <s v="tokeet"/>
    <x v="0"/>
    <n v="2"/>
    <n v="0"/>
    <s v="GBP"/>
    <n v="550"/>
    <n v="2"/>
    <n v="5"/>
  </r>
  <r>
    <s v="Guest 32"/>
    <s v="Guest32@yahoo.com"/>
    <x v="1"/>
    <d v="2020-04-15T00:00:00"/>
    <d v="2020-04-21T00:00:00"/>
    <d v="2020-04-14T00:00:00"/>
    <d v="1899-12-30T08:00:00"/>
    <d v="1899-12-31T00:00:00"/>
    <s v="tokeet"/>
    <x v="0"/>
    <n v="4"/>
    <n v="0"/>
    <s v="GBP"/>
    <n v="660"/>
    <n v="4"/>
    <n v="6"/>
  </r>
  <r>
    <s v="Guest 454"/>
    <s v="Guest454@guest.booking.com"/>
    <x v="2"/>
    <d v="2020-04-15T00:00:00"/>
    <d v="2020-04-30T00:00:00"/>
    <d v="2020-04-14T00:00:00"/>
    <d v="1899-12-30T08:00:00"/>
    <d v="1899-12-31T00:00:00"/>
    <s v="tokeet"/>
    <x v="1"/>
    <n v="3"/>
    <n v="0"/>
    <s v="GBP"/>
    <n v="1650"/>
    <n v="3"/>
    <n v="15"/>
  </r>
  <r>
    <s v="Guest 32"/>
    <s v="Guest32@yahoo.com"/>
    <x v="1"/>
    <d v="2020-04-15T00:00:00"/>
    <d v="2020-04-21T00:00:00"/>
    <d v="2020-04-14T00:00:00"/>
    <d v="1899-12-30T08:00:00"/>
    <d v="1899-12-31T00:00:00"/>
    <s v="tokeet"/>
    <x v="0"/>
    <n v="4"/>
    <n v="0"/>
    <s v="GBP"/>
    <n v="660"/>
    <n v="4"/>
    <n v="6"/>
  </r>
  <r>
    <s v="Guest 32"/>
    <s v="Guest32@yahoo.com"/>
    <x v="1"/>
    <d v="2020-04-15T00:00:00"/>
    <d v="2020-04-21T00:00:00"/>
    <d v="2020-04-14T00:00:00"/>
    <d v="1899-12-30T08:00:00"/>
    <d v="1899-12-31T00:00:00"/>
    <s v="tokeet"/>
    <x v="0"/>
    <n v="4"/>
    <n v="0"/>
    <s v="GBP"/>
    <n v="660"/>
    <n v="4"/>
    <n v="6"/>
  </r>
  <r>
    <s v="Guest 313"/>
    <s v="Guest313@airbnb.com"/>
    <x v="2"/>
    <d v="2020-04-16T00:00:00"/>
    <d v="2020-04-23T00:00:00"/>
    <d v="2020-04-10T00:00:00"/>
    <d v="1899-12-30T08:00:00"/>
    <d v="1899-12-31T00:00:00"/>
    <s v="airbnb"/>
    <x v="0"/>
    <n v="3"/>
    <n v="0"/>
    <s v="GBP"/>
    <n v="720"/>
    <n v="3"/>
    <n v="7"/>
  </r>
  <r>
    <s v="Guest 34"/>
    <s v="Guest34@gmail.com"/>
    <x v="4"/>
    <d v="2020-04-17T00:00:00"/>
    <d v="2020-04-21T00:00:00"/>
    <d v="2020-04-17T00:00:00"/>
    <d v="1899-12-30T08:00:00"/>
    <d v="1899-12-31T00:00:00"/>
    <s v="tokeet"/>
    <x v="1"/>
    <n v="4"/>
    <n v="0"/>
    <s v="GBP"/>
    <n v="440"/>
    <n v="4"/>
    <n v="4"/>
  </r>
  <r>
    <s v="Guest 557"/>
    <s v="Guest557@airbnb.com"/>
    <x v="4"/>
    <d v="2020-04-18T00:00:00"/>
    <d v="2020-04-19T00:00:00"/>
    <d v="2020-03-17T00:00:00"/>
    <d v="1899-12-30T08:00:00"/>
    <d v="1899-12-31T00:00:00"/>
    <s v="airbnb"/>
    <x v="0"/>
    <n v="1"/>
    <n v="0"/>
    <s v="GBP"/>
    <n v="107"/>
    <n v="1"/>
    <n v="1"/>
  </r>
  <r>
    <s v="Guest 335"/>
    <s v="Guest335@yahoo.com"/>
    <x v="1"/>
    <d v="2020-04-21T00:00:00"/>
    <d v="2020-04-24T00:00:00"/>
    <d v="2020-04-20T00:00:00"/>
    <d v="1899-12-30T08:00:00"/>
    <d v="1899-12-31T00:00:00"/>
    <s v="tokeet"/>
    <x v="0"/>
    <n v="5"/>
    <n v="0"/>
    <s v="GBP"/>
    <n v="330"/>
    <n v="5"/>
    <n v="3"/>
  </r>
  <r>
    <s v="Guest 335"/>
    <s v="Guest335@yahoo.com"/>
    <x v="1"/>
    <d v="2020-04-21T00:00:00"/>
    <d v="2020-04-24T00:00:00"/>
    <d v="2020-04-23T00:00:00"/>
    <d v="1899-12-30T08:00:00"/>
    <d v="1899-12-31T00:00:00"/>
    <s v="tokeet"/>
    <x v="1"/>
    <n v="4"/>
    <n v="0"/>
    <s v="GBP"/>
    <n v="330"/>
    <n v="4"/>
    <n v="3"/>
  </r>
  <r>
    <s v="Guest 15"/>
    <s v="Guest15@airbnb.com"/>
    <x v="1"/>
    <d v="2020-04-22T00:00:00"/>
    <d v="2020-04-23T00:00:00"/>
    <d v="2020-03-29T00:00:00"/>
    <d v="1899-12-30T08:00:00"/>
    <d v="1899-12-31T00:00:00"/>
    <s v="airbnb"/>
    <x v="0"/>
    <n v="6"/>
    <n v="0"/>
    <s v="GBP"/>
    <n v="107"/>
    <n v="6"/>
    <n v="1"/>
  </r>
  <r>
    <s v="Guest 84"/>
    <s v="Guest84@gmail.com"/>
    <x v="4"/>
    <d v="2020-04-23T00:00:00"/>
    <d v="2020-04-24T00:00:00"/>
    <d v="2020-04-23T00:00:00"/>
    <d v="1899-12-30T08:00:00"/>
    <d v="1899-12-31T00:00:00"/>
    <s v="tokeet"/>
    <x v="1"/>
    <n v="5"/>
    <n v="0"/>
    <s v="GBP"/>
    <n v="110"/>
    <n v="5"/>
    <n v="1"/>
  </r>
  <r>
    <s v="Guest 566"/>
    <s v="Guest566@yahoo.com"/>
    <x v="3"/>
    <d v="2020-04-24T00:00:00"/>
    <d v="2020-05-05T00:00:00"/>
    <d v="2020-02-13T00:00:00"/>
    <d v="1899-12-30T08:00:00"/>
    <d v="1899-12-31T00:00:00"/>
    <s v="tokeet"/>
    <x v="0"/>
    <n v="2"/>
    <n v="0"/>
    <s v="GBP"/>
    <n v="1210"/>
    <n v="2"/>
    <n v="11"/>
  </r>
  <r>
    <s v="Guest 256"/>
    <s v="Guest256@airbnb.com"/>
    <x v="4"/>
    <d v="2020-04-24T00:00:00"/>
    <d v="2020-05-09T00:00:00"/>
    <d v="2020-04-18T00:00:00"/>
    <d v="1899-12-30T08:00:00"/>
    <d v="1899-12-31T00:00:00"/>
    <s v="airbnb"/>
    <x v="0"/>
    <n v="2"/>
    <n v="0"/>
    <s v="GBP"/>
    <n v="1517.34"/>
    <n v="2"/>
    <n v="15"/>
  </r>
  <r>
    <s v="Guest 335"/>
    <s v="Guest335@yahoo.com"/>
    <x v="1"/>
    <d v="2020-04-24T00:00:00"/>
    <d v="2020-04-25T00:00:00"/>
    <d v="2020-04-23T00:00:00"/>
    <d v="1899-12-30T08:00:00"/>
    <d v="1899-12-31T00:00:00"/>
    <s v="tokeet"/>
    <x v="1"/>
    <n v="4"/>
    <n v="0"/>
    <s v="GBP"/>
    <n v="110"/>
    <n v="4"/>
    <n v="1"/>
  </r>
  <r>
    <s v="Guest 84"/>
    <s v="Guest84@gmail.com"/>
    <x v="3"/>
    <d v="2020-04-24T00:00:00"/>
    <d v="2020-04-26T00:00:00"/>
    <d v="2020-04-24T00:00:00"/>
    <d v="1899-12-30T08:00:00"/>
    <d v="1899-12-31T00:00:00"/>
    <s v="tokeet"/>
    <x v="1"/>
    <n v="3"/>
    <n v="0"/>
    <s v="GBP"/>
    <n v="220"/>
    <n v="3"/>
    <n v="2"/>
  </r>
  <r>
    <s v="Guest 126"/>
    <s v="Guest126@guest.booking.com"/>
    <x v="1"/>
    <d v="2020-04-25T00:00:00"/>
    <d v="2020-04-26T00:00:00"/>
    <d v="2020-04-22T00:00:00"/>
    <d v="1899-12-30T08:00:00"/>
    <d v="1899-12-31T00:00:00"/>
    <s v="Booking.com"/>
    <x v="0"/>
    <n v="5"/>
    <n v="0"/>
    <s v="GBP"/>
    <n v="142"/>
    <n v="5"/>
    <n v="1"/>
  </r>
  <r>
    <s v="Guest 335"/>
    <s v="Guest335@yahoo.com"/>
    <x v="1"/>
    <d v="2020-04-25T00:00:00"/>
    <d v="2020-04-26T00:00:00"/>
    <d v="2020-04-25T00:00:00"/>
    <d v="1899-12-30T08:00:00"/>
    <d v="1899-12-31T00:00:00"/>
    <s v="tokeet"/>
    <x v="1"/>
    <n v="2"/>
    <n v="0"/>
    <s v="GBP"/>
    <n v="110"/>
    <n v="2"/>
    <n v="1"/>
  </r>
  <r>
    <s v="Guest 202"/>
    <s v="Guest202@airbnb.com"/>
    <x v="4"/>
    <d v="2020-04-26T00:00:00"/>
    <d v="2020-04-27T00:00:00"/>
    <d v="2020-03-16T00:00:00"/>
    <d v="1899-12-30T08:00:00"/>
    <d v="1899-12-31T00:00:00"/>
    <s v="airbnb"/>
    <x v="0"/>
    <n v="4"/>
    <n v="0"/>
    <s v="GBP"/>
    <n v="107"/>
    <n v="4"/>
    <n v="1"/>
  </r>
  <r>
    <s v="Guest 439"/>
    <s v="Guest439@gmail%2Ecom"/>
    <x v="1"/>
    <d v="2020-04-26T00:00:00"/>
    <d v="2020-05-03T00:00:00"/>
    <d v="2020-02-24T00:00:00"/>
    <d v="1899-12-30T08:00:00"/>
    <d v="1899-12-31T00:00:00"/>
    <s v="tokeet"/>
    <x v="0"/>
    <n v="2"/>
    <n v="0"/>
    <s v="GBP"/>
    <n v="770"/>
    <n v="2"/>
    <n v="7"/>
  </r>
  <r>
    <s v="Guest 335"/>
    <s v="Guest335@yahoo.com"/>
    <x v="1"/>
    <d v="2020-04-26T00:00:00"/>
    <d v="2020-04-28T00:00:00"/>
    <d v="2020-04-23T00:00:00"/>
    <d v="1899-12-30T08:00:00"/>
    <d v="1899-12-31T00:00:00"/>
    <s v="tokeet"/>
    <x v="1"/>
    <n v="4"/>
    <n v="0"/>
    <s v="GBP"/>
    <n v="220"/>
    <n v="4"/>
    <n v="2"/>
  </r>
  <r>
    <s v="Guest 335"/>
    <s v="Guest335@yahoo.com"/>
    <x v="1"/>
    <d v="2020-04-28T00:00:00"/>
    <d v="2020-05-05T00:00:00"/>
    <d v="2020-04-24T00:00:00"/>
    <d v="1899-12-30T08:00:00"/>
    <d v="1899-12-31T00:00:00"/>
    <s v="tokeet"/>
    <x v="0"/>
    <n v="3"/>
    <n v="0"/>
    <s v="GBP"/>
    <n v="770"/>
    <n v="3"/>
    <n v="7"/>
  </r>
  <r>
    <s v="Guest 254"/>
    <s v="Guest254@airbnb.com"/>
    <x v="2"/>
    <d v="2020-04-29T00:00:00"/>
    <d v="2020-05-11T00:00:00"/>
    <d v="2020-03-03T00:00:00"/>
    <d v="1899-12-30T08:00:00"/>
    <d v="1899-12-31T00:00:00"/>
    <s v="airbnb"/>
    <x v="0"/>
    <n v="3"/>
    <n v="0"/>
    <s v="GBP"/>
    <n v="1273"/>
    <n v="3"/>
    <n v="12"/>
  </r>
  <r>
    <s v="Guest 258"/>
    <s v="Guest258@guest.airbnb.com"/>
    <x v="4"/>
    <d v="2020-04-29T00:00:00"/>
    <d v="2020-05-09T00:00:00"/>
    <d v="2020-04-19T00:00:00"/>
    <d v="1899-12-30T08:00:00"/>
    <d v="1899-12-31T00:00:00"/>
    <s v="tokeet"/>
    <x v="0"/>
    <n v="4"/>
    <n v="0"/>
    <s v="GBP"/>
    <n v="932"/>
    <n v="4"/>
    <n v="10"/>
  </r>
  <r>
    <s v="Guest 258"/>
    <s v="Guest258@guest.airbnb.com"/>
    <x v="4"/>
    <d v="2020-04-29T00:00:00"/>
    <d v="2020-05-09T00:00:00"/>
    <d v="2020-04-24T00:00:00"/>
    <d v="1899-12-30T08:00:00"/>
    <d v="1899-12-31T00:00:00"/>
    <s v="tokeet"/>
    <x v="1"/>
    <n v="3"/>
    <n v="0"/>
    <s v="GBP"/>
    <n v="1100"/>
    <n v="3"/>
    <n v="10"/>
  </r>
  <r>
    <s v="Guest 332"/>
    <s v="Guest332@airbnb.com"/>
    <x v="2"/>
    <d v="2020-04-30T00:00:00"/>
    <d v="2020-05-03T00:00:00"/>
    <d v="2020-02-28T00:00:00"/>
    <d v="1899-12-30T08:00:00"/>
    <d v="1899-12-31T00:00:00"/>
    <s v="airbnb"/>
    <x v="0"/>
    <n v="1"/>
    <n v="0"/>
    <s v="GBP"/>
    <n v="318"/>
    <n v="1"/>
    <n v="3"/>
  </r>
  <r>
    <s v="Guest 202"/>
    <s v="Guest202@airbnb.com"/>
    <x v="2"/>
    <d v="2020-04-30T00:00:00"/>
    <d v="2020-05-29T00:00:00"/>
    <d v="2020-03-16T00:00:00"/>
    <d v="1899-12-30T08:00:00"/>
    <d v="1899-12-31T00:00:00"/>
    <s v="airbnb"/>
    <x v="0"/>
    <n v="4"/>
    <n v="0"/>
    <s v="GBP"/>
    <n v="3076"/>
    <n v="4"/>
    <n v="29"/>
  </r>
  <r>
    <s v="Guest 313"/>
    <s v="Guest313@airbnb.com"/>
    <x v="1"/>
    <d v="2020-04-30T00:00:00"/>
    <d v="2020-05-30T00:00:00"/>
    <d v="2020-04-24T00:00:00"/>
    <d v="1899-12-30T08:00:00"/>
    <d v="1899-12-31T00:00:00"/>
    <s v="airbnb"/>
    <x v="0"/>
    <n v="1"/>
    <n v="0"/>
    <s v="GBP"/>
    <n v="3022"/>
    <n v="1"/>
    <n v="30"/>
  </r>
  <r>
    <s v="Guest 454"/>
    <s v="Guest454@guest.booking.com"/>
    <x v="2"/>
    <d v="2020-04-30T00:00:00"/>
    <d v="2020-06-06T00:00:00"/>
    <d v="2020-04-25T00:00:00"/>
    <d v="1899-12-30T08:00:00"/>
    <d v="1899-12-31T00:00:00"/>
    <s v="tokeet"/>
    <x v="1"/>
    <n v="3"/>
    <n v="0"/>
    <s v="GBP"/>
    <n v="4070"/>
    <n v="3"/>
    <n v="37"/>
  </r>
  <r>
    <s v="Guest 219"/>
    <s v="Guest219@airbnb.com"/>
    <x v="4"/>
    <d v="2020-05-04T00:00:00"/>
    <d v="2020-05-07T00:00:00"/>
    <d v="2020-03-16T00:00:00"/>
    <d v="1899-12-30T08:00:00"/>
    <d v="1899-12-31T00:00:00"/>
    <s v="airbnb"/>
    <x v="0"/>
    <n v="1"/>
    <n v="0"/>
    <s v="GBP"/>
    <n v="319"/>
    <n v="1"/>
    <n v="3"/>
  </r>
  <r>
    <s v="Guest 143"/>
    <s v="Guest143@gmail.com"/>
    <x v="4"/>
    <d v="2020-05-09T00:00:00"/>
    <d v="2020-05-17T00:00:00"/>
    <d v="2020-05-02T00:00:00"/>
    <d v="1899-12-30T08:00:00"/>
    <d v="1899-12-31T00:00:00"/>
    <s v="tokeet"/>
    <x v="1"/>
    <n v="3"/>
    <n v="0"/>
    <s v="GBP"/>
    <n v="880"/>
    <n v="3"/>
    <n v="8"/>
  </r>
  <r>
    <s v="Guest 275"/>
    <s v="Guest275@airbnb.com"/>
    <x v="6"/>
    <d v="2020-05-09T00:00:00"/>
    <d v="2020-05-10T00:00:00"/>
    <d v="2020-06-04T00:00:00"/>
    <d v="1899-12-30T14:00:00"/>
    <d v="1899-12-30T11:00:00"/>
    <s v="tokeet"/>
    <x v="1"/>
    <n v="2"/>
    <n v="2"/>
    <s v="GBP"/>
    <n v="150"/>
    <n v="4"/>
    <n v="1"/>
  </r>
  <r>
    <s v="Guest 275"/>
    <s v="Guest275@airbnb.com"/>
    <x v="5"/>
    <d v="2020-05-09T00:00:00"/>
    <d v="2020-05-10T00:00:00"/>
    <d v="2020-05-19T00:00:00"/>
    <d v="1899-12-30T14:00:00"/>
    <d v="1899-12-30T11:00:00"/>
    <s v="tokeet"/>
    <x v="0"/>
    <n v="2"/>
    <n v="2"/>
    <s v="GBP"/>
    <n v="150"/>
    <n v="4"/>
    <n v="1"/>
  </r>
  <r>
    <s v="Guest 26"/>
    <s v="Guest26@yahoo.com"/>
    <x v="6"/>
    <d v="2020-05-10T00:00:00"/>
    <d v="2020-05-12T00:00:00"/>
    <d v="2020-06-04T00:00:00"/>
    <d v="1899-12-30T14:00:00"/>
    <d v="1899-12-30T11:00:00"/>
    <s v="tokeet"/>
    <x v="1"/>
    <n v="3"/>
    <n v="0"/>
    <s v="GBP"/>
    <n v="300"/>
    <n v="3"/>
    <n v="2"/>
  </r>
  <r>
    <s v="Guest 26"/>
    <s v="Guest26@yahoo.com"/>
    <x v="5"/>
    <d v="2020-05-10T00:00:00"/>
    <d v="2020-05-12T00:00:00"/>
    <d v="2020-05-10T00:00:00"/>
    <d v="1899-12-30T14:00:00"/>
    <d v="1899-12-30T11:00:00"/>
    <s v="tokeet"/>
    <x v="0"/>
    <n v="3"/>
    <n v="0"/>
    <s v="GBP"/>
    <n v="300"/>
    <n v="3"/>
    <n v="2"/>
  </r>
  <r>
    <s v="Guest 216"/>
    <s v="Guest216@airbnb.com"/>
    <x v="4"/>
    <d v="2020-05-11T00:00:00"/>
    <d v="2020-05-13T00:00:00"/>
    <d v="2020-05-01T00:00:00"/>
    <d v="1899-12-30T08:00:00"/>
    <d v="1899-12-31T00:00:00"/>
    <s v="airbnb"/>
    <x v="0"/>
    <n v="2"/>
    <n v="0"/>
    <s v="GBP"/>
    <n v="213"/>
    <n v="2"/>
    <n v="2"/>
  </r>
  <r>
    <s v="Guest 54"/>
    <s v="Guest54@gmail.com"/>
    <x v="3"/>
    <d v="2020-05-11T00:00:00"/>
    <d v="2020-05-17T00:00:00"/>
    <d v="2020-05-02T00:00:00"/>
    <d v="1899-12-30T08:00:00"/>
    <d v="1899-12-31T00:00:00"/>
    <s v="tokeet"/>
    <x v="1"/>
    <n v="4"/>
    <n v="0"/>
    <s v="GBP"/>
    <n v="660"/>
    <n v="4"/>
    <n v="6"/>
  </r>
  <r>
    <s v="Guest 576"/>
    <s v="Guest576@gmail.com"/>
    <x v="6"/>
    <d v="2020-05-16T00:00:00"/>
    <d v="2020-05-17T00:00:00"/>
    <d v="2020-06-04T00:00:00"/>
    <d v="1899-12-30T02:00:00"/>
    <d v="1899-12-30T11:00:00"/>
    <s v="tokeet"/>
    <x v="1"/>
    <n v="4"/>
    <n v="0"/>
    <s v="GBP"/>
    <n v="150"/>
    <n v="4"/>
    <n v="1"/>
  </r>
  <r>
    <s v="Guest 576"/>
    <s v="Guest576@gmail.com"/>
    <x v="5"/>
    <d v="2020-05-16T00:00:00"/>
    <d v="2020-05-17T00:00:00"/>
    <d v="2020-05-12T00:00:00"/>
    <d v="1899-12-30T14:00:00"/>
    <d v="1899-12-30T11:00:00"/>
    <s v="tokeet"/>
    <x v="0"/>
    <n v="4"/>
    <n v="0"/>
    <s v="GBP"/>
    <n v="150"/>
    <n v="4"/>
    <n v="1"/>
  </r>
  <r>
    <s v="Guest 143"/>
    <s v="Guest143@gmail.com"/>
    <x v="3"/>
    <d v="2020-05-17T00:00:00"/>
    <d v="2020-06-01T00:00:00"/>
    <d v="2020-05-02T00:00:00"/>
    <d v="1899-12-30T08:00:00"/>
    <d v="1899-12-31T00:00:00"/>
    <s v="tokeet"/>
    <x v="1"/>
    <n v="3"/>
    <n v="0"/>
    <s v="GBP"/>
    <n v="1650"/>
    <n v="3"/>
    <n v="15"/>
  </r>
  <r>
    <s v="Guest 454"/>
    <s v="Guest454@guest.booking.com"/>
    <x v="4"/>
    <d v="2020-05-17T00:00:00"/>
    <d v="2020-05-26T00:00:00"/>
    <d v="2020-04-30T00:00:00"/>
    <d v="1899-12-30T08:00:00"/>
    <d v="1899-12-31T00:00:00"/>
    <s v="tokeet"/>
    <x v="0"/>
    <n v="3"/>
    <n v="0"/>
    <s v="GBP"/>
    <n v="990"/>
    <n v="3"/>
    <n v="9"/>
  </r>
  <r>
    <s v="Guest 473"/>
    <s v="Guest473@gmail.com"/>
    <x v="2"/>
    <d v="2020-05-17T00:00:00"/>
    <d v="2020-05-25T00:00:00"/>
    <d v="2020-05-09T00:00:00"/>
    <d v="1899-12-30T08:00:00"/>
    <d v="1899-12-31T00:00:00"/>
    <s v="tokeet"/>
    <x v="0"/>
    <n v="3"/>
    <n v="0"/>
    <s v="GBP"/>
    <n v="880"/>
    <n v="3"/>
    <n v="8"/>
  </r>
  <r>
    <s v="Guest 473"/>
    <s v="Guest473@gmail.com"/>
    <x v="4"/>
    <d v="2020-05-17T00:00:00"/>
    <d v="2020-05-26T00:00:00"/>
    <d v="2020-05-16T00:00:00"/>
    <d v="1899-12-30T08:00:00"/>
    <d v="1899-12-31T00:00:00"/>
    <s v="tokeet"/>
    <x v="1"/>
    <n v="3"/>
    <n v="0"/>
    <s v="GBP"/>
    <n v="990"/>
    <n v="3"/>
    <n v="9"/>
  </r>
  <r>
    <s v="Guest 407"/>
    <s v="Guest407@gmail.com"/>
    <x v="6"/>
    <d v="2020-05-17T00:00:00"/>
    <d v="2020-05-18T00:00:00"/>
    <d v="2020-06-04T00:00:00"/>
    <d v="1899-12-30T14:00:00"/>
    <d v="1899-12-30T11:00:00"/>
    <s v="tokeet"/>
    <x v="1"/>
    <n v="3"/>
    <n v="0"/>
    <s v="GBP"/>
    <n v="150"/>
    <n v="3"/>
    <n v="1"/>
  </r>
  <r>
    <s v="Guest 407"/>
    <s v="Guest407@gmail.com"/>
    <x v="5"/>
    <d v="2020-05-17T00:00:00"/>
    <d v="2020-05-18T00:00:00"/>
    <d v="2020-05-12T00:00:00"/>
    <d v="1899-12-30T14:00:00"/>
    <d v="1899-12-30T11:00:00"/>
    <s v="tokeet"/>
    <x v="0"/>
    <n v="3"/>
    <n v="0"/>
    <s v="GBP"/>
    <n v="150"/>
    <n v="3"/>
    <n v="1"/>
  </r>
  <r>
    <s v="Guest 282"/>
    <s v="Guest282@yahoo.com"/>
    <x v="6"/>
    <d v="2020-05-18T00:00:00"/>
    <d v="2020-05-19T00:00:00"/>
    <d v="2020-06-04T00:00:00"/>
    <d v="1899-12-30T14:00:00"/>
    <d v="1899-12-30T12:00:00"/>
    <s v="tokeet"/>
    <x v="1"/>
    <n v="3"/>
    <n v="0"/>
    <s v="GBP"/>
    <n v="150"/>
    <n v="3"/>
    <n v="1"/>
  </r>
  <r>
    <s v="Guest 282"/>
    <s v="Guest282@yahoo.com"/>
    <x v="5"/>
    <d v="2020-05-18T00:00:00"/>
    <d v="2020-05-19T00:00:00"/>
    <d v="2020-05-12T00:00:00"/>
    <d v="1899-12-30T14:00:00"/>
    <d v="1899-12-30T11:00:00"/>
    <s v="tokeet"/>
    <x v="0"/>
    <n v="3"/>
    <n v="0"/>
    <s v="GBP"/>
    <n v="150"/>
    <n v="3"/>
    <n v="1"/>
  </r>
  <r>
    <s v="Guest 415"/>
    <s v="Guest415@gmail%2Ecom"/>
    <x v="4"/>
    <d v="2020-05-19T00:00:00"/>
    <d v="2020-05-26T00:00:00"/>
    <d v="2020-03-28T00:00:00"/>
    <d v="1899-12-30T08:00:00"/>
    <d v="1899-12-31T00:00:00"/>
    <s v="tokeet"/>
    <x v="0"/>
    <n v="4"/>
    <n v="2"/>
    <s v="GBP"/>
    <n v="770"/>
    <n v="6"/>
    <n v="7"/>
  </r>
  <r>
    <s v="Guest 7"/>
    <s v="Guest7@gmail.com"/>
    <x v="5"/>
    <d v="2020-05-21T00:00:00"/>
    <d v="2020-05-24T00:00:00"/>
    <d v="2020-05-12T00:00:00"/>
    <d v="1899-12-30T14:00:00"/>
    <d v="1899-12-30T11:00:00"/>
    <s v="airbnbapiv2"/>
    <x v="0"/>
    <n v="3"/>
    <n v="0"/>
    <s v="GBP"/>
    <n v="450"/>
    <n v="3"/>
    <n v="3"/>
  </r>
  <r>
    <s v="Guest 7"/>
    <s v="Guest7@gmail.com"/>
    <x v="6"/>
    <d v="2020-05-21T00:00:00"/>
    <d v="2020-05-24T00:00:00"/>
    <d v="2020-06-04T00:00:00"/>
    <d v="1899-12-30T14:00:00"/>
    <d v="1899-12-30T11:00:00"/>
    <s v="tokeet"/>
    <x v="1"/>
    <n v="3"/>
    <n v="0"/>
    <s v="GBP"/>
    <n v="150"/>
    <n v="3"/>
    <n v="3"/>
  </r>
  <r>
    <s v="Guest 7"/>
    <s v="Guest7@gmail.com"/>
    <x v="5"/>
    <d v="2020-05-21T00:00:00"/>
    <d v="2020-05-24T00:00:00"/>
    <d v="2020-05-13T00:00:00"/>
    <d v="1899-12-30T14:00:00"/>
    <d v="1899-12-30T11:00:00"/>
    <s v="tokeet"/>
    <x v="0"/>
    <n v="3"/>
    <n v="0"/>
    <s v="GBP"/>
    <n v="450"/>
    <n v="3"/>
    <n v="3"/>
  </r>
  <r>
    <s v="Guest 441"/>
    <s v="Guest441@gmail.com"/>
    <x v="5"/>
    <d v="2020-05-24T00:00:00"/>
    <d v="2020-05-27T00:00:00"/>
    <d v="2020-05-13T00:00:00"/>
    <d v="1899-12-30T14:00:00"/>
    <d v="1899-12-30T11:00:00"/>
    <s v="tokeet"/>
    <x v="0"/>
    <n v="3"/>
    <n v="0"/>
    <s v="GBP"/>
    <n v="450"/>
    <n v="3"/>
    <n v="3"/>
  </r>
  <r>
    <s v="Guest 505"/>
    <s v="Guest505@gmail.com"/>
    <x v="6"/>
    <d v="2020-05-24T00:00:00"/>
    <d v="2020-05-27T00:00:00"/>
    <d v="2020-06-04T00:00:00"/>
    <d v="1899-12-30T14:00:00"/>
    <d v="1899-12-30T11:00:00"/>
    <s v="tokeet"/>
    <x v="1"/>
    <n v="3"/>
    <n v="0"/>
    <s v="GBP"/>
    <n v="150"/>
    <n v="3"/>
    <n v="3"/>
  </r>
  <r>
    <s v="Guest 505"/>
    <s v="Guest505@gmail.com"/>
    <x v="5"/>
    <d v="2020-05-24T00:00:00"/>
    <d v="2020-05-27T00:00:00"/>
    <d v="2020-05-13T00:00:00"/>
    <d v="1899-12-30T14:00:00"/>
    <d v="1899-12-30T11:00:00"/>
    <s v="tokeet"/>
    <x v="0"/>
    <n v="3"/>
    <n v="0"/>
    <s v="GBP"/>
    <n v="450"/>
    <n v="3"/>
    <n v="3"/>
  </r>
  <r>
    <s v="Guest 382"/>
    <s v="Guest382@gmail%2Ecom"/>
    <x v="3"/>
    <d v="2020-05-25T00:00:00"/>
    <d v="2020-06-01T00:00:00"/>
    <d v="2020-04-30T00:00:00"/>
    <d v="1899-12-30T08:00:00"/>
    <d v="1899-12-31T00:00:00"/>
    <s v="tokeet"/>
    <x v="0"/>
    <n v="4"/>
    <n v="0"/>
    <s v="GBP"/>
    <n v="770"/>
    <n v="4"/>
    <n v="7"/>
  </r>
  <r>
    <s v="Guest 454"/>
    <s v="Guest454@guest.booking.com"/>
    <x v="4"/>
    <d v="2020-05-26T00:00:00"/>
    <d v="2020-06-01T00:00:00"/>
    <d v="2020-04-30T00:00:00"/>
    <d v="1899-12-30T08:00:00"/>
    <d v="1899-12-31T00:00:00"/>
    <s v="tokeet"/>
    <x v="0"/>
    <n v="3"/>
    <n v="0"/>
    <s v="GBP"/>
    <n v="660"/>
    <n v="3"/>
    <n v="6"/>
  </r>
  <r>
    <s v="Guest 473"/>
    <s v="Guest473@gmail.com"/>
    <x v="4"/>
    <d v="2020-05-26T00:00:00"/>
    <d v="2020-05-29T00:00:00"/>
    <d v="2020-05-17T00:00:00"/>
    <d v="1899-12-30T08:00:00"/>
    <d v="1899-12-31T00:00:00"/>
    <s v="tokeet"/>
    <x v="1"/>
    <n v="3"/>
    <n v="0"/>
    <s v="GBP"/>
    <n v="330"/>
    <n v="3"/>
    <n v="3"/>
  </r>
  <r>
    <s v="Guest 505"/>
    <s v="Guest505@gmail.com"/>
    <x v="6"/>
    <d v="2020-05-27T00:00:00"/>
    <d v="2020-05-28T00:00:00"/>
    <d v="2020-06-04T00:00:00"/>
    <d v="1899-12-30T14:00:00"/>
    <d v="1899-12-30T11:00:00"/>
    <s v="tokeet"/>
    <x v="1"/>
    <n v="3"/>
    <n v="0"/>
    <s v="GBP"/>
    <n v="150"/>
    <n v="3"/>
    <n v="1"/>
  </r>
  <r>
    <s v="Guest 505"/>
    <s v="Guest505@gmail.com"/>
    <x v="5"/>
    <d v="2020-05-27T00:00:00"/>
    <d v="2020-05-28T00:00:00"/>
    <d v="2020-05-27T00:00:00"/>
    <d v="1899-12-30T14:00:00"/>
    <d v="1899-12-30T11:00:00"/>
    <s v="tokeet"/>
    <x v="0"/>
    <n v="3"/>
    <n v="0"/>
    <s v="GBP"/>
    <n v="150"/>
    <n v="3"/>
    <n v="1"/>
  </r>
  <r>
    <s v="Guest 93"/>
    <s v="Guest93@airbnb.com"/>
    <x v="1"/>
    <d v="2020-05-28T00:00:00"/>
    <d v="2020-05-29T00:00:00"/>
    <d v="2020-03-17T00:00:00"/>
    <d v="1899-12-30T08:00:00"/>
    <d v="1899-12-31T00:00:00"/>
    <s v="airbnb"/>
    <x v="0"/>
    <n v="1"/>
    <n v="0"/>
    <s v="GBP"/>
    <n v="107"/>
    <n v="1"/>
    <n v="1"/>
  </r>
  <r>
    <s v="Guest 303"/>
    <s v="Guest303@gmail.com"/>
    <x v="5"/>
    <d v="2020-05-28T00:00:00"/>
    <d v="2020-05-29T00:00:00"/>
    <d v="2020-05-21T00:00:00"/>
    <d v="1899-12-30T14:00:00"/>
    <d v="1899-12-30T11:00:00"/>
    <s v="tokeet"/>
    <x v="0"/>
    <n v="2"/>
    <n v="0"/>
    <s v="GBP"/>
    <n v="150"/>
    <n v="2"/>
    <n v="1"/>
  </r>
  <r>
    <s v="Guest 422"/>
    <s v="Guest422@gmail.com"/>
    <x v="6"/>
    <d v="2020-05-28T00:00:00"/>
    <d v="2020-05-29T00:00:00"/>
    <d v="2020-06-04T00:00:00"/>
    <d v="1899-12-30T14:00:00"/>
    <d v="1899-12-30T11:00:00"/>
    <s v="tokeet"/>
    <x v="1"/>
    <n v="4"/>
    <n v="0"/>
    <s v="GBP"/>
    <n v="110"/>
    <n v="4"/>
    <n v="1"/>
  </r>
  <r>
    <s v="Guest 422"/>
    <s v="Guest422@gmail.com"/>
    <x v="5"/>
    <d v="2020-05-28T00:00:00"/>
    <d v="2020-05-29T00:00:00"/>
    <d v="2020-05-29T00:00:00"/>
    <d v="1899-12-30T14:00:00"/>
    <d v="1899-12-30T11:00:00"/>
    <s v="tokeet"/>
    <x v="0"/>
    <n v="4"/>
    <n v="0"/>
    <s v="GBP"/>
    <n v="110"/>
    <n v="4"/>
    <n v="1"/>
  </r>
  <r>
    <s v="Guest 382"/>
    <s v="Guest382@gmail%2Ecom"/>
    <x v="2"/>
    <d v="2020-05-29T00:00:00"/>
    <d v="2020-06-01T00:00:00"/>
    <d v="2020-05-02T00:00:00"/>
    <d v="1899-12-30T08:00:00"/>
    <d v="1899-12-31T00:00:00"/>
    <s v="tokeet"/>
    <x v="0"/>
    <n v="3"/>
    <n v="0"/>
    <s v="GBP"/>
    <n v="330"/>
    <n v="3"/>
    <n v="3"/>
  </r>
  <r>
    <s v="Guest 473"/>
    <s v="Guest473@gmail.com"/>
    <x v="5"/>
    <d v="2020-05-29T00:00:00"/>
    <d v="2020-06-25T00:00:00"/>
    <d v="2020-05-20T00:00:00"/>
    <d v="1899-12-30T14:00:00"/>
    <d v="1899-12-30T11:00:00"/>
    <s v="tokeet"/>
    <x v="0"/>
    <n v="4"/>
    <n v="0"/>
    <s v="GBP"/>
    <n v="4050"/>
    <n v="4"/>
    <n v="27"/>
  </r>
  <r>
    <s v="Guest 473"/>
    <s v="Guest473@gmail.com"/>
    <x v="6"/>
    <d v="2020-05-29T00:00:00"/>
    <d v="2020-07-16T00:00:00"/>
    <d v="2020-06-04T00:00:00"/>
    <d v="1899-12-30T14:00:00"/>
    <d v="1899-12-30T11:00:00"/>
    <s v="tokeet"/>
    <x v="1"/>
    <n v="4"/>
    <n v="0"/>
    <s v="GBP"/>
    <n v="5280"/>
    <n v="4"/>
    <n v="48"/>
  </r>
  <r>
    <s v="Guest 261"/>
    <s v="Guest261@airbnb.com"/>
    <x v="2"/>
    <d v="2020-06-01T00:00:00"/>
    <d v="2020-06-08T00:00:00"/>
    <d v="2020-05-10T00:00:00"/>
    <d v="1899-12-30T08:00:00"/>
    <d v="1899-12-31T00:00:00"/>
    <s v="airbnb"/>
    <x v="0"/>
    <n v="1"/>
    <n v="0"/>
    <s v="GBP"/>
    <n v="720"/>
    <n v="1"/>
    <n v="7"/>
  </r>
  <r>
    <s v="Guest 261"/>
    <s v="Guest261@airbnb.com"/>
    <x v="1"/>
    <d v="2020-06-01T00:00:00"/>
    <d v="2020-06-15T00:00:00"/>
    <d v="2020-05-10T00:00:00"/>
    <d v="1899-12-30T08:00:00"/>
    <d v="1899-12-31T00:00:00"/>
    <s v="airbnb"/>
    <x v="0"/>
    <n v="1"/>
    <n v="0"/>
    <s v="GBP"/>
    <n v="1441"/>
    <n v="1"/>
    <n v="14"/>
  </r>
  <r>
    <s v="Guest 367"/>
    <s v="Guest367@airbnb.com"/>
    <x v="4"/>
    <d v="2020-06-01T00:00:00"/>
    <d v="2020-06-02T00:00:00"/>
    <d v="2020-05-13T00:00:00"/>
    <d v="1899-12-30T08:00:00"/>
    <d v="1899-12-31T00:00:00"/>
    <s v="airbnb"/>
    <x v="0"/>
    <n v="1"/>
    <n v="0"/>
    <s v="GBP"/>
    <n v="107"/>
    <n v="1"/>
    <n v="1"/>
  </r>
  <r>
    <s v="Guest 44"/>
    <s v="Guest44@airbnb.com"/>
    <x v="4"/>
    <d v="2020-06-01T00:00:00"/>
    <d v="2020-06-19T00:00:00"/>
    <d v="2020-05-11T00:00:00"/>
    <d v="1899-12-30T08:00:00"/>
    <d v="1899-12-31T00:00:00"/>
    <s v="airbnb"/>
    <x v="0"/>
    <n v="1"/>
    <n v="0"/>
    <s v="GBP"/>
    <n v="1851"/>
    <n v="1"/>
    <n v="18"/>
  </r>
  <r>
    <s v="Guest 281"/>
    <s v="Guest281@guest.booking.com"/>
    <x v="4"/>
    <d v="2020-06-01T00:00:00"/>
    <d v="2020-06-03T00:00:00"/>
    <d v="2020-05-23T00:00:00"/>
    <d v="1899-12-30T08:00:00"/>
    <d v="1899-12-31T00:00:00"/>
    <s v="Booking.com"/>
    <x v="0"/>
    <n v="2"/>
    <n v="0"/>
    <s v="GBP"/>
    <n v="194.04"/>
    <n v="2"/>
    <n v="2"/>
  </r>
  <r>
    <s v="Guest 425"/>
    <s v="Guest425@gmail.com"/>
    <x v="4"/>
    <d v="2020-06-01T00:00:00"/>
    <d v="2020-06-03T00:00:00"/>
    <d v="2020-06-01T00:00:00"/>
    <d v="1899-12-30T08:00:00"/>
    <d v="1899-12-31T00:00:00"/>
    <s v="tokeet"/>
    <x v="1"/>
    <n v="3"/>
    <n v="0"/>
    <s v="GBP"/>
    <n v="220"/>
    <n v="3"/>
    <n v="2"/>
  </r>
  <r>
    <s v="Guest 102"/>
    <s v="Guest102@guest.booking.com"/>
    <x v="2"/>
    <d v="2020-06-01T00:00:00"/>
    <d v="2020-06-03T00:00:00"/>
    <d v="2020-05-24T00:00:00"/>
    <d v="1899-12-30T08:00:00"/>
    <d v="1899-12-31T00:00:00"/>
    <s v="Booking.com"/>
    <x v="0"/>
    <n v="6"/>
    <n v="0"/>
    <s v="GBP"/>
    <n v="255.6"/>
    <n v="6"/>
    <n v="2"/>
  </r>
  <r>
    <s v="Guest 143"/>
    <s v="Guest143@gmail.com"/>
    <x v="3"/>
    <d v="2020-06-01T00:00:00"/>
    <d v="2020-06-07T00:00:00"/>
    <d v="2020-05-13T00:00:00"/>
    <d v="1899-12-30T08:00:00"/>
    <d v="1899-12-30T11:00:00"/>
    <s v="tokeet"/>
    <x v="1"/>
    <n v="2"/>
    <n v="0"/>
    <s v="GBP"/>
    <n v="660"/>
    <n v="2"/>
    <n v="6"/>
  </r>
  <r>
    <s v="Guest 334"/>
    <s v="Guest334@yahoo.com"/>
    <x v="2"/>
    <d v="2020-06-03T00:00:00"/>
    <d v="2020-06-06T00:00:00"/>
    <d v="2020-05-26T00:00:00"/>
    <d v="1899-12-30T08:00:00"/>
    <d v="1899-12-31T00:00:00"/>
    <s v="tokeet"/>
    <x v="0"/>
    <n v="3"/>
    <n v="0"/>
    <s v="GBP"/>
    <n v="440"/>
    <n v="3"/>
    <n v="3"/>
  </r>
  <r>
    <s v="Guest 334"/>
    <s v="Guest334@yahoo.com"/>
    <x v="2"/>
    <d v="2020-06-03T00:00:00"/>
    <d v="2020-06-06T00:00:00"/>
    <d v="2020-05-26T00:00:00"/>
    <d v="1899-12-30T08:00:00"/>
    <d v="1899-12-31T00:00:00"/>
    <s v="tokeet"/>
    <x v="0"/>
    <n v="3"/>
    <n v="0"/>
    <s v="GBP"/>
    <n v="330"/>
    <n v="3"/>
    <n v="3"/>
  </r>
  <r>
    <s v="Guest 334"/>
    <s v="Guest334@yahoo.com"/>
    <x v="2"/>
    <d v="2020-06-03T00:00:00"/>
    <d v="2020-06-06T00:00:00"/>
    <d v="2020-05-26T00:00:00"/>
    <d v="1899-12-30T08:00:00"/>
    <d v="1899-12-31T00:00:00"/>
    <s v="tokeet"/>
    <x v="0"/>
    <n v="3"/>
    <n v="0"/>
    <s v="GBP"/>
    <n v="330"/>
    <n v="3"/>
    <n v="3"/>
  </r>
  <r>
    <s v="Guest 228"/>
    <s v="Guest228@gmail.com"/>
    <x v="4"/>
    <d v="2020-06-03T00:00:00"/>
    <d v="2020-06-04T00:00:00"/>
    <d v="2020-06-01T00:00:00"/>
    <d v="1899-12-30T08:00:00"/>
    <d v="1899-12-31T00:00:00"/>
    <s v="tokeet"/>
    <x v="1"/>
    <n v="3"/>
    <n v="0"/>
    <s v="GBP"/>
    <n v="110"/>
    <n v="3"/>
    <n v="1"/>
  </r>
  <r>
    <s v="Guest 45"/>
    <s v="Guest45@guest.booking.com"/>
    <x v="4"/>
    <d v="2020-06-04T00:00:00"/>
    <d v="2020-06-18T00:00:00"/>
    <d v="2020-02-06T00:00:00"/>
    <d v="1899-12-30T08:00:00"/>
    <d v="1899-12-31T00:00:00"/>
    <s v="Booking.com"/>
    <x v="0"/>
    <n v="2"/>
    <n v="0"/>
    <s v="GBP"/>
    <n v="1249.82"/>
    <n v="2"/>
    <n v="14"/>
  </r>
  <r>
    <s v="Guest 273"/>
    <s v="Guest273@pulse.ng"/>
    <x v="4"/>
    <d v="2020-06-04T00:00:00"/>
    <d v="2020-06-05T00:00:00"/>
    <d v="2020-05-27T00:00:00"/>
    <d v="1899-12-30T08:00:00"/>
    <d v="1899-12-31T00:00:00"/>
    <s v="tokeet"/>
    <x v="0"/>
    <n v="1"/>
    <n v="0"/>
    <s v="GBP"/>
    <n v="110"/>
    <n v="1"/>
    <n v="1"/>
  </r>
  <r>
    <s v="Guest 273"/>
    <s v="Guest273@pulse.ng"/>
    <x v="4"/>
    <d v="2020-06-04T00:00:00"/>
    <d v="2020-06-05T00:00:00"/>
    <d v="2020-06-18T00:00:00"/>
    <d v="1899-12-30T08:00:00"/>
    <d v="1899-12-31T00:00:00"/>
    <s v="tokeet"/>
    <x v="1"/>
    <n v="6"/>
    <n v="0"/>
    <s v="GBP"/>
    <n v="110"/>
    <n v="6"/>
    <n v="1"/>
  </r>
  <r>
    <s v="Guest 568"/>
    <s v="Guest568@airbnb.com"/>
    <x v="2"/>
    <d v="2020-06-05T00:00:00"/>
    <d v="2020-06-08T00:00:00"/>
    <d v="2020-05-23T00:00:00"/>
    <d v="1899-12-30T08:00:00"/>
    <d v="1899-12-31T00:00:00"/>
    <s v="airbnb"/>
    <x v="0"/>
    <n v="3"/>
    <n v="0"/>
    <s v="GBP"/>
    <n v="319"/>
    <n v="3"/>
    <n v="3"/>
  </r>
  <r>
    <s v="Guest 508"/>
    <s v="Guest508@gmail.com"/>
    <x v="4"/>
    <d v="2020-06-05T00:00:00"/>
    <d v="2020-06-07T00:00:00"/>
    <d v="2020-05-26T00:00:00"/>
    <d v="1899-12-30T08:00:00"/>
    <d v="1899-12-31T00:00:00"/>
    <s v="tokeet"/>
    <x v="1"/>
    <n v="3"/>
    <n v="0"/>
    <s v="GBP"/>
    <n v="220"/>
    <n v="3"/>
    <n v="2"/>
  </r>
  <r>
    <s v="Guest 496"/>
    <s v="Guest496@airbnb.com"/>
    <x v="2"/>
    <d v="2020-06-05T00:00:00"/>
    <d v="2020-06-06T00:00:00"/>
    <d v="2020-06-04T00:00:00"/>
    <d v="1899-12-30T08:00:00"/>
    <d v="1899-12-31T00:00:00"/>
    <s v="airbnb"/>
    <x v="0"/>
    <n v="1"/>
    <n v="0"/>
    <s v="GBP"/>
    <n v="107"/>
    <n v="1"/>
    <n v="1"/>
  </r>
  <r>
    <s v="Guest 250"/>
    <s v="Guest250@airbnb.com"/>
    <x v="2"/>
    <d v="2020-06-05T00:00:00"/>
    <d v="2020-06-13T00:00:00"/>
    <d v="2020-02-14T00:00:00"/>
    <d v="1899-12-30T08:00:00"/>
    <d v="1899-12-31T00:00:00"/>
    <s v="airbnb"/>
    <x v="0"/>
    <n v="6"/>
    <n v="0"/>
    <s v="GBP"/>
    <n v="848"/>
    <n v="6"/>
    <n v="8"/>
  </r>
  <r>
    <s v="Guest 180"/>
    <s v="Guest180@gmail.com"/>
    <x v="2"/>
    <d v="2020-06-06T00:00:00"/>
    <d v="2020-06-07T00:00:00"/>
    <d v="2020-05-26T00:00:00"/>
    <d v="1899-12-30T08:00:00"/>
    <d v="1899-12-31T00:00:00"/>
    <s v="tokeet"/>
    <x v="1"/>
    <n v="2"/>
    <n v="0"/>
    <s v="GBP"/>
    <n v="110"/>
    <n v="2"/>
    <n v="1"/>
  </r>
  <r>
    <s v="Guest 180"/>
    <s v="Guest180@gmail.com"/>
    <x v="4"/>
    <d v="2020-06-06T00:00:00"/>
    <d v="2020-06-07T00:00:00"/>
    <d v="2020-05-26T00:00:00"/>
    <d v="1899-12-30T08:00:00"/>
    <d v="1899-12-31T00:00:00"/>
    <s v="tokeet"/>
    <x v="0"/>
    <n v="5"/>
    <n v="0"/>
    <s v="GBP"/>
    <n v="110"/>
    <n v="5"/>
    <n v="1"/>
  </r>
  <r>
    <s v="Guest 429"/>
    <s v="Guest429@gmail.com"/>
    <x v="4"/>
    <d v="2020-06-07T00:00:00"/>
    <d v="2020-06-09T00:00:00"/>
    <d v="2020-05-15T00:00:00"/>
    <d v="1899-12-30T08:00:00"/>
    <d v="1899-12-31T00:00:00"/>
    <s v="tokeet"/>
    <x v="1"/>
    <n v="5"/>
    <n v="0"/>
    <s v="GBP"/>
    <n v="220"/>
    <n v="5"/>
    <n v="2"/>
  </r>
  <r>
    <s v="Guest 438"/>
    <s v="Guest438@gmail.com"/>
    <x v="3"/>
    <d v="2020-06-07T00:00:00"/>
    <d v="2020-06-09T00:00:00"/>
    <d v="2020-06-08T00:00:00"/>
    <d v="1899-12-30T08:00:00"/>
    <d v="1899-12-31T00:00:00"/>
    <s v="tokeet"/>
    <x v="1"/>
    <n v="6"/>
    <n v="0"/>
    <s v="GBP"/>
    <n v="220"/>
    <n v="6"/>
    <n v="2"/>
  </r>
  <r>
    <s v="Guest 143"/>
    <s v="Guest143@gmail.com"/>
    <x v="5"/>
    <d v="2020-06-08T00:00:00"/>
    <d v="2020-06-11T00:00:00"/>
    <d v="2020-05-13T00:00:00"/>
    <d v="1899-12-30T14:00:00"/>
    <d v="1899-12-30T11:00:00"/>
    <s v="tokeet"/>
    <x v="0"/>
    <n v="2"/>
    <n v="0"/>
    <s v="GBP"/>
    <n v="450"/>
    <n v="2"/>
    <n v="3"/>
  </r>
  <r>
    <s v="Guest 368"/>
    <s v="Guest368@encry.com"/>
    <x v="2"/>
    <d v="2020-06-08T00:00:00"/>
    <d v="2020-06-09T00:00:00"/>
    <d v="2020-06-07T00:00:00"/>
    <d v="1899-12-30T08:00:00"/>
    <d v="1899-12-31T00:00:00"/>
    <s v="tokeet"/>
    <x v="1"/>
    <n v="3"/>
    <n v="0"/>
    <s v="GBP"/>
    <n v="110"/>
    <n v="3"/>
    <n v="1"/>
  </r>
  <r>
    <s v="Guest 198"/>
    <s v="Guest198@gmail.com"/>
    <x v="2"/>
    <d v="2020-06-09T00:00:00"/>
    <d v="2020-06-11T00:00:00"/>
    <d v="2020-05-08T00:00:00"/>
    <d v="1899-12-30T08:00:00"/>
    <d v="1899-12-31T00:00:00"/>
    <s v="tokeet"/>
    <x v="1"/>
    <n v="5"/>
    <n v="0"/>
    <s v="GBP"/>
    <n v="220"/>
    <n v="5"/>
    <n v="2"/>
  </r>
  <r>
    <s v="Guest 542"/>
    <s v="Guest542@gmail.com"/>
    <x v="4"/>
    <d v="2020-06-09T00:00:00"/>
    <d v="2020-06-10T00:00:00"/>
    <d v="2020-06-04T00:00:00"/>
    <d v="1899-12-30T08:00:00"/>
    <d v="1899-12-31T00:00:00"/>
    <s v="tokeet"/>
    <x v="1"/>
    <n v="14"/>
    <n v="0"/>
    <s v="GBP"/>
    <n v="110"/>
    <n v="14"/>
    <n v="1"/>
  </r>
  <r>
    <s v="Guest 346"/>
    <s v="Guest346@yahoo.com"/>
    <x v="3"/>
    <d v="2020-06-09T00:00:00"/>
    <d v="2020-06-15T00:00:00"/>
    <d v="2020-06-08T00:00:00"/>
    <d v="1899-12-30T08:00:00"/>
    <d v="1899-12-31T00:00:00"/>
    <s v="tokeet"/>
    <x v="1"/>
    <n v="2"/>
    <n v="0"/>
    <s v="GBP"/>
    <n v="770"/>
    <n v="2"/>
    <n v="6"/>
  </r>
  <r>
    <s v="Guest 320"/>
    <s v="Guest320@gmail.com"/>
    <x v="4"/>
    <d v="2020-06-10T00:00:00"/>
    <d v="2020-06-11T00:00:00"/>
    <d v="2020-05-29T00:00:00"/>
    <d v="1899-12-30T08:00:00"/>
    <d v="1899-12-31T00:00:00"/>
    <s v="tokeet"/>
    <x v="0"/>
    <n v="5"/>
    <n v="0"/>
    <s v="GBP"/>
    <n v="110"/>
    <n v="5"/>
    <n v="1"/>
  </r>
  <r>
    <s v="Guest 88"/>
    <s v="Guest88@gmail.com"/>
    <x v="4"/>
    <d v="2020-06-10T00:00:00"/>
    <d v="2020-06-17T00:00:00"/>
    <d v="2020-06-04T00:00:00"/>
    <d v="1899-12-30T08:00:00"/>
    <d v="1899-12-31T00:00:00"/>
    <s v="tokeet"/>
    <x v="1"/>
    <n v="5"/>
    <n v="0"/>
    <s v="GBP"/>
    <n v="770"/>
    <n v="5"/>
    <n v="7"/>
  </r>
  <r>
    <s v="Guest 492"/>
    <s v="Guest492@airbnb.com"/>
    <x v="2"/>
    <d v="2020-06-11T00:00:00"/>
    <d v="2020-06-14T00:00:00"/>
    <d v="2020-06-01T00:00:00"/>
    <d v="1899-12-30T08:00:00"/>
    <d v="1899-12-31T00:00:00"/>
    <s v="airbnb"/>
    <x v="0"/>
    <n v="1"/>
    <n v="0"/>
    <s v="GBP"/>
    <n v="319"/>
    <n v="1"/>
    <n v="3"/>
  </r>
  <r>
    <s v="Guest 414"/>
    <s v="Guest414@gmail.com"/>
    <x v="2"/>
    <d v="2020-06-11T00:00:00"/>
    <d v="2020-06-13T00:00:00"/>
    <d v="2020-06-02T00:00:00"/>
    <d v="1899-12-30T08:00:00"/>
    <d v="1899-12-31T00:00:00"/>
    <s v="tokeet"/>
    <x v="1"/>
    <n v="4"/>
    <n v="0"/>
    <s v="GBP"/>
    <n v="220"/>
    <n v="4"/>
    <n v="2"/>
  </r>
  <r>
    <s v="Guest 454"/>
    <s v="Guest454@guest.booking.com"/>
    <x v="4"/>
    <d v="2020-06-11T00:00:00"/>
    <d v="2020-06-20T00:00:00"/>
    <d v="2020-06-03T00:00:00"/>
    <d v="1899-12-30T08:00:00"/>
    <d v="1899-12-31T00:00:00"/>
    <s v="tokeet"/>
    <x v="0"/>
    <n v="1"/>
    <n v="0"/>
    <s v="GBP"/>
    <n v="990"/>
    <n v="1"/>
    <n v="9"/>
  </r>
  <r>
    <s v="Guest 571"/>
    <s v="Guest571@airbnb.com"/>
    <x v="2"/>
    <d v="2020-06-12T00:00:00"/>
    <d v="2020-06-13T00:00:00"/>
    <d v="2020-05-30T00:00:00"/>
    <d v="1899-12-30T08:00:00"/>
    <d v="1899-12-31T00:00:00"/>
    <s v="airbnb"/>
    <x v="0"/>
    <n v="3"/>
    <n v="0"/>
    <s v="GBP"/>
    <n v="107"/>
    <n v="3"/>
    <n v="1"/>
  </r>
  <r>
    <s v="Guest 571"/>
    <s v="Guest571@airbnb.com"/>
    <x v="4"/>
    <d v="2020-06-12T00:00:00"/>
    <d v="2020-06-15T00:00:00"/>
    <d v="2020-05-31T00:00:00"/>
    <d v="1899-12-30T08:00:00"/>
    <d v="1899-12-31T00:00:00"/>
    <s v="airbnb"/>
    <x v="0"/>
    <n v="3"/>
    <n v="0"/>
    <s v="GBP"/>
    <n v="319"/>
    <n v="3"/>
    <n v="3"/>
  </r>
  <r>
    <s v="Guest 243"/>
    <s v="Guest243@airbnb.com"/>
    <x v="2"/>
    <d v="2020-06-13T00:00:00"/>
    <d v="2020-06-16T00:00:00"/>
    <d v="2020-06-04T00:00:00"/>
    <d v="1899-12-30T08:00:00"/>
    <d v="1899-12-31T00:00:00"/>
    <s v="airbnb"/>
    <x v="0"/>
    <n v="1"/>
    <n v="0"/>
    <s v="GBP"/>
    <n v="319"/>
    <n v="1"/>
    <n v="3"/>
  </r>
  <r>
    <s v="Guest 561"/>
    <s v="Guest561@airbnb.com"/>
    <x v="2"/>
    <d v="2020-06-13T00:00:00"/>
    <d v="2020-06-15T00:00:00"/>
    <d v="2020-06-04T00:00:00"/>
    <d v="1899-12-30T08:00:00"/>
    <d v="1899-12-31T00:00:00"/>
    <s v="airbnb"/>
    <x v="0"/>
    <n v="1"/>
    <n v="0"/>
    <s v="GBP"/>
    <n v="213"/>
    <n v="1"/>
    <n v="2"/>
  </r>
  <r>
    <s v="Guest 308"/>
    <s v="Guest308@guest.booking.com"/>
    <x v="1"/>
    <d v="2020-06-15T00:00:00"/>
    <d v="2020-06-29T00:00:00"/>
    <d v="2020-03-25T00:00:00"/>
    <d v="1899-12-30T08:00:00"/>
    <d v="1899-12-31T00:00:00"/>
    <s v="Booking.com"/>
    <x v="0"/>
    <n v="2"/>
    <n v="0"/>
    <s v="GBP"/>
    <n v="1789.2"/>
    <n v="2"/>
    <n v="14"/>
  </r>
  <r>
    <s v="Guest 425"/>
    <s v="Guest425@gmail.com"/>
    <x v="2"/>
    <d v="2020-06-15T00:00:00"/>
    <d v="2020-06-20T00:00:00"/>
    <d v="2020-06-04T00:00:00"/>
    <d v="1899-12-30T08:00:00"/>
    <d v="1899-12-31T00:00:00"/>
    <s v="tokeet"/>
    <x v="1"/>
    <n v="4"/>
    <n v="0"/>
    <s v="GBP"/>
    <n v="550"/>
    <n v="4"/>
    <n v="5"/>
  </r>
  <r>
    <s v="Guest 124"/>
    <s v="Guest124@gmail.com"/>
    <x v="3"/>
    <d v="2020-06-15T00:00:00"/>
    <d v="2020-06-20T00:00:00"/>
    <d v="2020-06-08T00:00:00"/>
    <d v="1899-12-30T08:00:00"/>
    <d v="1899-12-31T00:00:00"/>
    <s v="tokeet"/>
    <x v="1"/>
    <n v="5"/>
    <n v="0"/>
    <s v="GBP"/>
    <n v="550"/>
    <n v="5"/>
    <n v="5"/>
  </r>
  <r>
    <s v="Guest 124"/>
    <s v="Guest124@gmail.com"/>
    <x v="4"/>
    <d v="2020-06-17T00:00:00"/>
    <d v="2020-06-18T00:00:00"/>
    <d v="2020-06-08T00:00:00"/>
    <d v="1899-12-30T08:00:00"/>
    <d v="1899-12-31T00:00:00"/>
    <s v="tokeet"/>
    <x v="0"/>
    <n v="3"/>
    <n v="0"/>
    <s v="GBP"/>
    <n v="110"/>
    <n v="3"/>
    <n v="1"/>
  </r>
  <r>
    <s v="Guest 141"/>
    <s v="Guest141@airbnb.com"/>
    <x v="4"/>
    <d v="2020-06-18T00:00:00"/>
    <d v="2020-06-20T00:00:00"/>
    <d v="2020-06-04T00:00:00"/>
    <d v="1899-12-30T08:00:00"/>
    <d v="1899-12-31T00:00:00"/>
    <s v="airbnb"/>
    <x v="0"/>
    <n v="6"/>
    <n v="0"/>
    <s v="GBP"/>
    <n v="213"/>
    <n v="6"/>
    <n v="2"/>
  </r>
  <r>
    <s v="Guest 452"/>
    <s v="Guest452@gmail.com"/>
    <x v="4"/>
    <d v="2020-06-18T00:00:00"/>
    <d v="2020-06-20T00:00:00"/>
    <d v="2020-06-06T00:00:00"/>
    <d v="1899-12-30T08:00:00"/>
    <d v="1899-12-31T00:00:00"/>
    <s v="tokeet"/>
    <x v="1"/>
    <n v="7"/>
    <n v="0"/>
    <s v="GBP"/>
    <n v="220"/>
    <n v="7"/>
    <n v="2"/>
  </r>
  <r>
    <s v="Guest 154"/>
    <s v="Guest154@booking.com"/>
    <x v="4"/>
    <d v="2020-06-19T00:00:00"/>
    <d v="2020-06-29T00:00:00"/>
    <d v="2020-01-16T00:00:00"/>
    <d v="1899-12-30T08:00:00"/>
    <d v="1899-12-31T00:00:00"/>
    <s v="Booking.com"/>
    <x v="0"/>
    <n v="4"/>
    <n v="0"/>
    <s v="GBP"/>
    <n v="1044.9000000000001"/>
    <n v="4"/>
    <n v="10"/>
  </r>
  <r>
    <s v="Guest 154"/>
    <s v="Guest154@booking.com"/>
    <x v="4"/>
    <d v="2020-06-19T00:00:00"/>
    <d v="2020-06-29T00:00:00"/>
    <d v="2020-02-27T00:00:00"/>
    <d v="1899-12-30T08:00:00"/>
    <d v="1899-12-31T00:00:00"/>
    <s v="tokeet"/>
    <x v="0"/>
    <n v="3"/>
    <n v="0"/>
    <s v="GBP"/>
    <n v="810"/>
    <n v="3"/>
    <n v="10"/>
  </r>
  <r>
    <s v="Guest 536"/>
    <s v="Guest536@gmail.com"/>
    <x v="2"/>
    <d v="2020-06-20T00:00:00"/>
    <d v="2020-06-21T00:00:00"/>
    <d v="2020-06-06T00:00:00"/>
    <d v="1899-12-30T08:00:00"/>
    <d v="1899-12-31T00:00:00"/>
    <s v="tokeet"/>
    <x v="1"/>
    <n v="6"/>
    <n v="0"/>
    <s v="GBP"/>
    <n v="110"/>
    <n v="6"/>
    <n v="1"/>
  </r>
  <r>
    <s v="Guest 148"/>
    <s v="Guest148@yahoo.com"/>
    <x v="3"/>
    <d v="2020-06-20T00:00:00"/>
    <d v="2020-06-22T00:00:00"/>
    <d v="2020-06-08T00:00:00"/>
    <d v="1899-12-30T08:00:00"/>
    <d v="1899-12-31T00:00:00"/>
    <s v="tokeet"/>
    <x v="1"/>
    <n v="6"/>
    <n v="0"/>
    <s v="GBP"/>
    <n v="220"/>
    <n v="6"/>
    <n v="2"/>
  </r>
  <r>
    <s v="Guest 448"/>
    <s v="Guest448@hotmail.com"/>
    <x v="4"/>
    <d v="2020-06-20T00:00:00"/>
    <d v="2020-06-22T00:00:00"/>
    <d v="2020-06-02T00:00:00"/>
    <d v="1899-12-30T08:00:00"/>
    <d v="1899-12-31T00:00:00"/>
    <s v="tokeet"/>
    <x v="1"/>
    <n v="3"/>
    <n v="0"/>
    <s v="GBP"/>
    <n v="220"/>
    <n v="3"/>
    <n v="2"/>
  </r>
  <r>
    <s v="Guest 317"/>
    <s v="Guest317@airbnb.com"/>
    <x v="2"/>
    <d v="2020-06-21T00:00:00"/>
    <d v="2020-06-22T00:00:00"/>
    <d v="2020-06-05T00:00:00"/>
    <d v="1899-12-30T08:00:00"/>
    <d v="1899-12-31T00:00:00"/>
    <s v="airbnb"/>
    <x v="0"/>
    <n v="3"/>
    <n v="0"/>
    <s v="GBP"/>
    <n v="107"/>
    <n v="3"/>
    <n v="1"/>
  </r>
  <r>
    <s v="Guest 244"/>
    <s v="Guest244@gmail.com"/>
    <x v="2"/>
    <d v="2020-06-21T00:00:00"/>
    <d v="2020-06-22T00:00:00"/>
    <d v="2020-06-12T00:00:00"/>
    <d v="1899-12-30T08:00:00"/>
    <d v="1899-12-31T00:00:00"/>
    <s v="tokeet"/>
    <x v="1"/>
    <n v="6"/>
    <n v="0"/>
    <s v="GBP"/>
    <n v="110"/>
    <n v="6"/>
    <n v="1"/>
  </r>
  <r>
    <s v="Guest 244"/>
    <s v="Guest244@gmail.com"/>
    <x v="3"/>
    <d v="2020-06-21T00:00:00"/>
    <d v="2020-06-22T00:00:00"/>
    <d v="2020-06-10T00:00:00"/>
    <d v="1899-12-30T08:00:00"/>
    <d v="1899-12-31T00:00:00"/>
    <s v="tokeet"/>
    <x v="0"/>
    <n v="5"/>
    <n v="0"/>
    <s v="GBP"/>
    <n v="110"/>
    <n v="5"/>
    <n v="1"/>
  </r>
  <r>
    <s v="Guest 567"/>
    <s v="Guest567@encry.com"/>
    <x v="4"/>
    <d v="2020-06-22T00:00:00"/>
    <d v="2020-06-23T00:00:00"/>
    <d v="2020-06-19T00:00:00"/>
    <d v="1899-12-30T08:00:00"/>
    <d v="1899-12-31T00:00:00"/>
    <s v="tokeet"/>
    <x v="1"/>
    <n v="6"/>
    <n v="0"/>
    <s v="GBP"/>
    <n v="110"/>
    <n v="6"/>
    <n v="1"/>
  </r>
  <r>
    <s v="Guest 212"/>
    <s v="Guest212@gmail.com"/>
    <x v="3"/>
    <d v="2020-06-22T00:00:00"/>
    <d v="2020-06-23T00:00:00"/>
    <d v="2020-06-09T00:00:00"/>
    <d v="1899-12-30T08:00:00"/>
    <d v="1899-12-31T00:00:00"/>
    <s v="tokeet"/>
    <x v="0"/>
    <n v="10"/>
    <n v="0"/>
    <s v="GBP"/>
    <n v="330"/>
    <n v="10"/>
    <n v="1"/>
  </r>
  <r>
    <s v="Guest 118"/>
    <s v="Guest118@gmail.com"/>
    <x v="3"/>
    <d v="2020-06-22T00:00:00"/>
    <d v="2020-06-24T00:00:00"/>
    <d v="2020-06-19T00:00:00"/>
    <d v="1899-12-30T08:00:00"/>
    <d v="1899-12-31T00:00:00"/>
    <s v="tokeet"/>
    <x v="1"/>
    <n v="5"/>
    <n v="0"/>
    <s v="GBP"/>
    <n v="220"/>
    <n v="5"/>
    <n v="2"/>
  </r>
  <r>
    <s v="Guest 118"/>
    <s v="Guest118@gmail.com"/>
    <x v="2"/>
    <d v="2020-06-22T00:00:00"/>
    <d v="2020-06-23T00:00:00"/>
    <d v="2020-06-17T00:00:00"/>
    <d v="1899-12-30T08:00:00"/>
    <d v="1899-12-31T00:00:00"/>
    <s v="tokeet"/>
    <x v="0"/>
    <n v="4"/>
    <n v="0"/>
    <s v="GBP"/>
    <n v="110"/>
    <n v="4"/>
    <n v="1"/>
  </r>
  <r>
    <s v="Guest 212"/>
    <s v="Guest212@gmail.com"/>
    <x v="2"/>
    <d v="2020-06-22T00:00:00"/>
    <d v="2020-06-23T00:00:00"/>
    <d v="2020-06-19T00:00:00"/>
    <d v="1899-12-30T08:00:00"/>
    <d v="1899-12-31T00:00:00"/>
    <s v="tokeet"/>
    <x v="0"/>
    <n v="6"/>
    <n v="0"/>
    <s v="GBP"/>
    <n v="110"/>
    <n v="6"/>
    <n v="1"/>
  </r>
  <r>
    <s v="Guest 154"/>
    <s v="Guest154@booking.com"/>
    <x v="4"/>
    <d v="2020-06-23T00:00:00"/>
    <d v="2020-06-29T00:00:00"/>
    <d v="2020-02-28T00:00:00"/>
    <d v="1899-12-30T08:00:00"/>
    <d v="1899-12-31T00:00:00"/>
    <s v="tokeet"/>
    <x v="0"/>
    <n v="3"/>
    <n v="0"/>
    <s v="GBP"/>
    <n v="660"/>
    <n v="3"/>
    <n v="6"/>
  </r>
  <r>
    <s v="Guest 306"/>
    <s v="Guest306@gmail.com"/>
    <x v="4"/>
    <d v="2020-06-23T00:00:00"/>
    <d v="2020-06-24T00:00:00"/>
    <d v="2020-06-09T00:00:00"/>
    <d v="1899-12-30T08:00:00"/>
    <d v="1899-12-31T00:00:00"/>
    <s v="tokeet"/>
    <x v="1"/>
    <n v="6"/>
    <n v="0"/>
    <s v="GBP"/>
    <n v="110"/>
    <n v="6"/>
    <n v="1"/>
  </r>
  <r>
    <s v="Guest 475"/>
    <s v="Guest475@gmail.com"/>
    <x v="2"/>
    <d v="2020-06-23T00:00:00"/>
    <d v="2020-06-24T00:00:00"/>
    <d v="2020-06-09T00:00:00"/>
    <d v="1899-12-30T08:00:00"/>
    <d v="1899-12-31T00:00:00"/>
    <s v="tokeet"/>
    <x v="0"/>
    <n v="6"/>
    <n v="0"/>
    <s v="GBP"/>
    <n v="110"/>
    <n v="6"/>
    <n v="1"/>
  </r>
  <r>
    <s v="Guest 485"/>
    <s v="Guest485@gmail.com"/>
    <x v="2"/>
    <d v="2020-06-23T00:00:00"/>
    <d v="2020-06-26T00:00:00"/>
    <d v="2020-06-13T00:00:00"/>
    <d v="1899-12-30T08:00:00"/>
    <d v="1899-12-31T00:00:00"/>
    <s v="tokeet"/>
    <x v="1"/>
    <n v="6"/>
    <n v="0"/>
    <s v="GBP"/>
    <n v="330"/>
    <n v="6"/>
    <n v="3"/>
  </r>
  <r>
    <s v="Guest 5"/>
    <s v="Guest5@gmail.com"/>
    <x v="4"/>
    <d v="2020-06-24T00:00:00"/>
    <d v="2020-06-25T00:00:00"/>
    <d v="2020-06-08T00:00:00"/>
    <d v="1899-12-30T08:00:00"/>
    <d v="1899-12-31T00:00:00"/>
    <s v="tokeet"/>
    <x v="1"/>
    <n v="6"/>
    <n v="0"/>
    <s v="GBP"/>
    <n v="110"/>
    <n v="6"/>
    <n v="1"/>
  </r>
  <r>
    <s v="Guest 19"/>
    <s v="Guest19@airbnb.com"/>
    <x v="2"/>
    <d v="2020-06-24T00:00:00"/>
    <d v="2020-06-26T00:00:00"/>
    <d v="2020-06-13T00:00:00"/>
    <d v="1899-12-30T08:00:00"/>
    <d v="1899-12-31T00:00:00"/>
    <s v="airbnb"/>
    <x v="0"/>
    <n v="1"/>
    <n v="0"/>
    <s v="GBP"/>
    <n v="213"/>
    <n v="1"/>
    <n v="2"/>
  </r>
  <r>
    <s v="Guest 349"/>
    <s v="Guest349@gmail.com"/>
    <x v="3"/>
    <d v="2020-06-24T00:00:00"/>
    <d v="2020-06-29T00:00:00"/>
    <d v="2020-06-08T00:00:00"/>
    <d v="1899-12-30T08:00:00"/>
    <d v="1899-12-31T00:00:00"/>
    <s v="tokeet"/>
    <x v="0"/>
    <n v="5"/>
    <n v="0"/>
    <s v="GBP"/>
    <n v="550"/>
    <n v="5"/>
    <n v="5"/>
  </r>
  <r>
    <s v="Guest 509"/>
    <s v="Guest509@yahoo.co.uk"/>
    <x v="3"/>
    <d v="2020-06-24T00:00:00"/>
    <d v="2020-06-26T00:00:00"/>
    <d v="2020-06-22T00:00:00"/>
    <d v="1899-12-30T08:00:00"/>
    <d v="1899-12-31T00:00:00"/>
    <s v="tokeet"/>
    <x v="1"/>
    <n v="5"/>
    <n v="0"/>
    <s v="GBP"/>
    <n v="220"/>
    <n v="5"/>
    <n v="2"/>
  </r>
  <r>
    <s v="Guest 210"/>
    <s v="Guest210@airbnb.com"/>
    <x v="6"/>
    <d v="2020-06-25T00:00:00"/>
    <d v="2020-06-26T00:00:00"/>
    <d v="2020-06-05T00:00:00"/>
    <d v="1899-12-30T14:00:00"/>
    <d v="1899-12-30T11:00:00"/>
    <s v="airbnb"/>
    <x v="0"/>
    <n v="1"/>
    <n v="0"/>
    <s v="GBP"/>
    <n v="107"/>
    <n v="1"/>
    <n v="1"/>
  </r>
  <r>
    <s v="Guest 536"/>
    <s v="Guest536@gmail.com"/>
    <x v="4"/>
    <d v="2020-06-25T00:00:00"/>
    <d v="2020-06-27T00:00:00"/>
    <d v="2020-06-06T00:00:00"/>
    <d v="1899-12-30T08:00:00"/>
    <d v="1899-12-31T00:00:00"/>
    <s v="tokeet"/>
    <x v="1"/>
    <n v="4"/>
    <n v="0"/>
    <s v="GBP"/>
    <n v="220"/>
    <n v="4"/>
    <n v="2"/>
  </r>
  <r>
    <s v="Guest 304"/>
    <s v="Guest304@booking.com"/>
    <x v="4"/>
    <d v="2020-06-26T00:00:00"/>
    <d v="2020-07-10T00:00:00"/>
    <d v="2020-01-21T00:00:00"/>
    <d v="1899-12-30T08:00:00"/>
    <d v="1899-12-31T00:00:00"/>
    <s v="Booking.com"/>
    <x v="0"/>
    <n v="5"/>
    <n v="0"/>
    <s v="GBP"/>
    <n v="2205"/>
    <n v="5"/>
    <n v="14"/>
  </r>
  <r>
    <s v="Guest 285"/>
    <s v="Guest285@yahoo.com"/>
    <x v="5"/>
    <d v="2020-06-26T00:00:00"/>
    <d v="2020-07-01T00:00:00"/>
    <d v="2020-05-17T00:00:00"/>
    <d v="1899-12-30T14:00:00"/>
    <d v="1899-12-30T11:00:00"/>
    <s v="tokeet"/>
    <x v="0"/>
    <n v="4"/>
    <n v="0"/>
    <s v="GBP"/>
    <n v="750"/>
    <n v="4"/>
    <n v="5"/>
  </r>
  <r>
    <s v="Guest 285"/>
    <s v="Guest285@yahoo.com"/>
    <x v="6"/>
    <d v="2020-06-26T00:00:00"/>
    <d v="2020-07-01T00:00:00"/>
    <d v="2020-06-04T00:00:00"/>
    <d v="1899-12-30T14:00:00"/>
    <d v="1899-12-30T11:00:00"/>
    <s v="tokeet"/>
    <x v="0"/>
    <n v="4"/>
    <n v="0"/>
    <s v="GBP"/>
    <n v="750"/>
    <n v="4"/>
    <n v="5"/>
  </r>
  <r>
    <s v="Guest 117"/>
    <s v="Guest117@gmail.com"/>
    <x v="3"/>
    <d v="2020-06-26T00:00:00"/>
    <d v="2020-06-29T00:00:00"/>
    <d v="2020-06-20T00:00:00"/>
    <d v="1899-12-30T08:00:00"/>
    <d v="1899-12-31T00:00:00"/>
    <s v="tokeet"/>
    <x v="1"/>
    <n v="5"/>
    <n v="0"/>
    <s v="GBP"/>
    <n v="110"/>
    <n v="5"/>
    <n v="3"/>
  </r>
  <r>
    <s v="Guest 285"/>
    <s v="Guest285@yahoo.com"/>
    <x v="2"/>
    <d v="2020-06-26T00:00:00"/>
    <d v="2020-06-30T00:00:00"/>
    <d v="2020-06-05T00:00:00"/>
    <d v="1899-12-30T08:00:00"/>
    <d v="1899-12-31T00:00:00"/>
    <s v="tokeet"/>
    <x v="1"/>
    <n v="4"/>
    <n v="0"/>
    <s v="GBP"/>
    <n v="440"/>
    <n v="4"/>
    <n v="4"/>
  </r>
  <r>
    <s v="Guest 275"/>
    <s v="Guest275@airbnb.com"/>
    <x v="4"/>
    <d v="2020-06-27T00:00:00"/>
    <d v="2020-07-01T00:00:00"/>
    <d v="2020-06-05T00:00:00"/>
    <d v="1899-12-30T08:00:00"/>
    <d v="1899-12-31T00:00:00"/>
    <s v="tokeet"/>
    <x v="1"/>
    <n v="3"/>
    <n v="0"/>
    <s v="GBP"/>
    <n v="440"/>
    <n v="3"/>
    <n v="4"/>
  </r>
  <r>
    <s v="Guest 527"/>
    <s v="Guest527@airbnb.com"/>
    <x v="1"/>
    <d v="2020-06-29T00:00:00"/>
    <d v="2020-07-01T00:00:00"/>
    <d v="2020-02-17T00:00:00"/>
    <d v="1899-12-30T08:00:00"/>
    <d v="1899-12-31T00:00:00"/>
    <s v="airbnb"/>
    <x v="0"/>
    <n v="1"/>
    <n v="0"/>
    <s v="GBP"/>
    <n v="212"/>
    <n v="1"/>
    <n v="2"/>
  </r>
  <r>
    <s v="Guest 528"/>
    <s v="Guest528@guest.airbnb.com"/>
    <x v="3"/>
    <d v="2020-06-29T00:00:00"/>
    <d v="2020-07-01T00:00:00"/>
    <d v="2020-02-18T00:00:00"/>
    <d v="1899-12-30T08:00:00"/>
    <d v="1899-12-31T00:00:00"/>
    <s v="tokeet"/>
    <x v="0"/>
    <n v="2"/>
    <n v="0"/>
    <s v="GBP"/>
    <n v="110"/>
    <n v="2"/>
    <n v="2"/>
  </r>
  <r>
    <s v="Guest 528"/>
    <s v="Guest528@guest.airbnb.com"/>
    <x v="5"/>
    <d v="2020-06-29T00:00:00"/>
    <d v="2020-07-01T00:00:00"/>
    <d v="2020-05-13T00:00:00"/>
    <d v="1899-12-30T14:00:00"/>
    <d v="1899-12-30T11:00:00"/>
    <s v="tokeet"/>
    <x v="0"/>
    <n v="2"/>
    <n v="0"/>
    <s v="GBP"/>
    <n v="300"/>
    <n v="2"/>
    <n v="2"/>
  </r>
  <r>
    <s v="Guest 528"/>
    <s v="Guest528@guest.airbnb.com"/>
    <x v="4"/>
    <d v="2020-06-29T00:00:00"/>
    <d v="2020-07-01T00:00:00"/>
    <d v="2020-05-17T00:00:00"/>
    <d v="1899-12-30T08:00:00"/>
    <d v="1899-12-31T00:00:00"/>
    <s v="tokeet"/>
    <x v="0"/>
    <n v="3"/>
    <n v="0"/>
    <s v="GBP"/>
    <n v="191"/>
    <n v="3"/>
    <n v="2"/>
  </r>
  <r>
    <s v="Guest 545"/>
    <s v="Guest545@gmail.com"/>
    <x v="3"/>
    <d v="2020-06-29T00:00:00"/>
    <d v="2020-07-04T00:00:00"/>
    <d v="2020-06-13T00:00:00"/>
    <d v="1899-12-30T08:00:00"/>
    <d v="1899-12-31T00:00:00"/>
    <s v="tokeet"/>
    <x v="1"/>
    <n v="6"/>
    <n v="0"/>
    <s v="GBP"/>
    <n v="550"/>
    <n v="6"/>
    <n v="5"/>
  </r>
  <r>
    <s v="Guest 143"/>
    <s v="Guest143@gmail.com"/>
    <x v="3"/>
    <d v="2020-06-30T00:00:00"/>
    <d v="2020-07-01T00:00:00"/>
    <d v="2020-05-13T00:00:00"/>
    <d v="1899-12-30T08:00:00"/>
    <d v="1899-12-31T00:00:00"/>
    <s v="tokeet"/>
    <x v="0"/>
    <n v="2"/>
    <n v="0"/>
    <s v="GBP"/>
    <n v="110"/>
    <n v="2"/>
    <n v="1"/>
  </r>
  <r>
    <s v="Guest 168"/>
    <s v="Guest168@airbnb.com"/>
    <x v="4"/>
    <d v="2020-07-01T00:00:00"/>
    <d v="2020-07-17T00:00:00"/>
    <d v="2020-04-20T00:00:00"/>
    <d v="1899-12-30T08:00:00"/>
    <d v="1899-12-31T00:00:00"/>
    <s v="airbnb"/>
    <x v="0"/>
    <n v="1"/>
    <n v="0"/>
    <s v="GBP"/>
    <n v="1646"/>
    <n v="1"/>
    <n v="16"/>
  </r>
  <r>
    <s v="Guest 406"/>
    <s v="Guest406@airbnb.com"/>
    <x v="4"/>
    <d v="2020-07-01T00:00:00"/>
    <d v="2020-07-04T00:00:00"/>
    <d v="2020-06-12T00:00:00"/>
    <d v="1899-12-30T08:00:00"/>
    <d v="1899-12-31T00:00:00"/>
    <s v="airbnb"/>
    <x v="0"/>
    <n v="1"/>
    <n v="0"/>
    <s v="GBP"/>
    <n v="318"/>
    <n v="1"/>
    <n v="3"/>
  </r>
  <r>
    <s v="Guest 179"/>
    <s v="Guest179@gmail.com"/>
    <x v="2"/>
    <d v="2020-07-01T00:00:00"/>
    <d v="2020-07-03T00:00:00"/>
    <d v="2020-06-18T00:00:00"/>
    <d v="1899-12-30T08:00:00"/>
    <d v="1899-12-31T00:00:00"/>
    <s v="tokeet"/>
    <x v="1"/>
    <n v="8"/>
    <n v="0"/>
    <s v="GBP"/>
    <n v="220"/>
    <n v="8"/>
    <n v="2"/>
  </r>
  <r>
    <s v="Guest 230"/>
    <s v="Guest230@airbnb.com"/>
    <x v="4"/>
    <d v="2020-07-01T00:00:00"/>
    <d v="2020-07-04T00:00:00"/>
    <d v="2020-06-24T00:00:00"/>
    <d v="1899-12-30T08:00:00"/>
    <d v="1899-12-31T00:00:00"/>
    <s v="airbnb"/>
    <x v="0"/>
    <n v="1"/>
    <n v="0"/>
    <s v="GBP"/>
    <n v="319"/>
    <n v="1"/>
    <n v="3"/>
  </r>
  <r>
    <s v="Guest 9"/>
    <s v="Guest9@gmail.com"/>
    <x v="4"/>
    <d v="2020-07-01T00:00:00"/>
    <d v="2020-07-04T00:00:00"/>
    <d v="2020-06-24T00:00:00"/>
    <d v="1899-12-30T08:00:00"/>
    <d v="1899-12-31T00:00:00"/>
    <s v="tokeet"/>
    <x v="1"/>
    <n v="6"/>
    <n v="0"/>
    <s v="GBP"/>
    <n v="330"/>
    <n v="6"/>
    <n v="3"/>
  </r>
  <r>
    <s v="Guest 162"/>
    <s v="Guest162@airbnb.com"/>
    <x v="2"/>
    <d v="2020-07-02T00:00:00"/>
    <d v="2020-07-05T00:00:00"/>
    <d v="2020-06-17T00:00:00"/>
    <d v="1899-12-30T08:00:00"/>
    <d v="1899-12-31T00:00:00"/>
    <s v="airbnb"/>
    <x v="0"/>
    <n v="3"/>
    <n v="0"/>
    <s v="GBP"/>
    <n v="319"/>
    <n v="3"/>
    <n v="3"/>
  </r>
  <r>
    <s v="Guest 444"/>
    <s v="Guest444@airbnb.com"/>
    <x v="2"/>
    <d v="2020-07-03T00:00:00"/>
    <d v="2020-07-04T00:00:00"/>
    <d v="2020-06-10T00:00:00"/>
    <d v="1899-12-30T08:00:00"/>
    <d v="1899-12-31T00:00:00"/>
    <s v="airbnb"/>
    <x v="0"/>
    <n v="1"/>
    <n v="0"/>
    <s v="GBP"/>
    <n v="106"/>
    <n v="1"/>
    <n v="1"/>
  </r>
  <r>
    <s v="Guest 48"/>
    <s v="Guest48@airbnb.com"/>
    <x v="3"/>
    <d v="2020-07-03T00:00:00"/>
    <d v="2020-07-05T00:00:00"/>
    <d v="2020-06-13T00:00:00"/>
    <d v="1899-12-30T08:00:00"/>
    <d v="1899-12-31T00:00:00"/>
    <s v="airbnb"/>
    <x v="0"/>
    <n v="5"/>
    <n v="0"/>
    <s v="GBP"/>
    <n v="232"/>
    <n v="5"/>
    <n v="2"/>
  </r>
  <r>
    <s v="Guest 131"/>
    <s v="Guest131@airbnb.com"/>
    <x v="2"/>
    <d v="2020-07-03T00:00:00"/>
    <d v="2020-07-05T00:00:00"/>
    <d v="2020-06-19T00:00:00"/>
    <d v="1899-12-30T08:00:00"/>
    <d v="1899-12-31T00:00:00"/>
    <s v="airbnb"/>
    <x v="0"/>
    <n v="1"/>
    <n v="0"/>
    <s v="GBP"/>
    <n v="213"/>
    <n v="1"/>
    <n v="2"/>
  </r>
  <r>
    <s v="Guest 36"/>
    <s v="Guest36@gmail.com"/>
    <x v="2"/>
    <d v="2020-07-03T00:00:00"/>
    <d v="2020-07-05T00:00:00"/>
    <d v="2020-06-19T00:00:00"/>
    <d v="1899-12-30T08:00:00"/>
    <d v="1899-12-31T00:00:00"/>
    <s v="tokeet"/>
    <x v="1"/>
    <n v="4"/>
    <n v="0"/>
    <s v="GBP"/>
    <n v="220"/>
    <n v="4"/>
    <n v="2"/>
  </r>
  <r>
    <s v="Guest 307"/>
    <s v="Guest307@yahoo.com"/>
    <x v="1"/>
    <d v="2020-07-03T00:00:00"/>
    <d v="2020-07-05T00:00:00"/>
    <d v="2020-06-21T00:00:00"/>
    <d v="1899-12-30T08:00:00"/>
    <d v="1899-12-31T00:00:00"/>
    <s v="tokeet"/>
    <x v="1"/>
    <n v="5"/>
    <n v="0"/>
    <s v="GBP"/>
    <n v="220"/>
    <n v="5"/>
    <n v="2"/>
  </r>
  <r>
    <s v="Guest 555"/>
    <s v="Guest555@airbnb.com"/>
    <x v="2"/>
    <d v="2020-07-04T00:00:00"/>
    <d v="2020-07-05T00:00:00"/>
    <d v="2020-06-08T00:00:00"/>
    <d v="1899-12-30T08:00:00"/>
    <d v="1899-12-31T00:00:00"/>
    <s v="airbnb"/>
    <x v="0"/>
    <n v="2"/>
    <n v="0"/>
    <s v="GBP"/>
    <n v="106"/>
    <n v="2"/>
    <n v="1"/>
  </r>
  <r>
    <s v="Guest 398"/>
    <s v="Guest398@gmail.com"/>
    <x v="4"/>
    <d v="2020-07-04T00:00:00"/>
    <d v="2020-07-05T00:00:00"/>
    <d v="2020-06-15T00:00:00"/>
    <d v="1899-12-30T08:00:00"/>
    <d v="1899-12-31T00:00:00"/>
    <s v="tokeet"/>
    <x v="1"/>
    <n v="5"/>
    <n v="0"/>
    <s v="GBP"/>
    <n v="110"/>
    <n v="5"/>
    <n v="1"/>
  </r>
  <r>
    <s v="Guest 434"/>
    <s v="Guest434@yahoo.com"/>
    <x v="3"/>
    <d v="2020-07-04T00:00:00"/>
    <d v="2020-07-06T00:00:00"/>
    <d v="2020-06-19T00:00:00"/>
    <d v="1899-12-30T08:00:00"/>
    <d v="1899-12-31T00:00:00"/>
    <s v="tokeet"/>
    <x v="1"/>
    <n v="5"/>
    <n v="0"/>
    <s v="GBP"/>
    <n v="220"/>
    <n v="5"/>
    <n v="2"/>
  </r>
  <r>
    <s v="Guest 570"/>
    <s v="Guest570@guest.airbnb.com"/>
    <x v="4"/>
    <d v="2020-07-05T00:00:00"/>
    <d v="2020-07-06T00:00:00"/>
    <d v="2020-06-26T00:00:00"/>
    <d v="1899-12-30T08:00:00"/>
    <d v="1899-12-31T00:00:00"/>
    <s v="tokeet"/>
    <x v="0"/>
    <n v="5"/>
    <n v="0"/>
    <s v="GBP"/>
    <n v="110"/>
    <n v="5"/>
    <n v="1"/>
  </r>
  <r>
    <s v="Guest 217"/>
    <s v="Guest217@gmail.com"/>
    <x v="1"/>
    <d v="2020-07-06T00:00:00"/>
    <d v="2020-07-13T00:00:00"/>
    <d v="2020-02-12T00:00:00"/>
    <d v="1899-12-30T08:00:00"/>
    <d v="1899-12-31T00:00:00"/>
    <s v="tokeet"/>
    <x v="0"/>
    <n v="2"/>
    <n v="0"/>
    <s v="GBP"/>
    <n v="770"/>
    <n v="2"/>
    <n v="7"/>
  </r>
  <r>
    <s v="Guest 539"/>
    <s v="Guest539@airbnb.com"/>
    <x v="2"/>
    <d v="2020-07-06T00:00:00"/>
    <d v="2020-07-07T00:00:00"/>
    <d v="2020-06-29T00:00:00"/>
    <d v="1899-12-30T08:00:00"/>
    <d v="1899-12-31T00:00:00"/>
    <s v="airbnb"/>
    <x v="0"/>
    <n v="1"/>
    <n v="0"/>
    <s v="GBP"/>
    <n v="107"/>
    <n v="1"/>
    <n v="1"/>
  </r>
  <r>
    <s v="Guest 452"/>
    <s v="Guest452@gmail.com"/>
    <x v="4"/>
    <d v="2020-07-06T00:00:00"/>
    <d v="2020-07-11T00:00:00"/>
    <d v="2020-07-01T00:00:00"/>
    <d v="1899-12-30T08:00:00"/>
    <d v="1899-12-31T00:00:00"/>
    <s v="tokeet"/>
    <x v="1"/>
    <n v="6"/>
    <n v="0"/>
    <s v="GBP"/>
    <n v="675"/>
    <n v="6"/>
    <n v="5"/>
  </r>
  <r>
    <s v="Guest 218"/>
    <s v="Guest218@encry.com"/>
    <x v="2"/>
    <d v="2020-07-06T00:00:00"/>
    <d v="2020-07-09T00:00:00"/>
    <d v="2020-07-03T00:00:00"/>
    <d v="1899-12-30T08:00:00"/>
    <d v="1899-12-31T00:00:00"/>
    <s v="tokeet"/>
    <x v="1"/>
    <n v="8"/>
    <n v="0"/>
    <s v="GBP"/>
    <n v="525"/>
    <n v="8"/>
    <n v="3"/>
  </r>
  <r>
    <s v="Guest 545"/>
    <s v="Guest545@gmail.com"/>
    <x v="3"/>
    <d v="2020-07-06T00:00:00"/>
    <d v="2020-07-27T00:00:00"/>
    <d v="2020-06-22T00:00:00"/>
    <d v="1899-12-30T08:00:00"/>
    <d v="1899-12-31T00:00:00"/>
    <s v="tokeet"/>
    <x v="1"/>
    <n v="5"/>
    <n v="0"/>
    <s v="GBP"/>
    <n v="2310"/>
    <n v="5"/>
    <n v="21"/>
  </r>
  <r>
    <s v="Guest 153"/>
    <s v="Guest153@airbnb.com"/>
    <x v="2"/>
    <d v="2020-07-07T00:00:00"/>
    <d v="2020-07-08T00:00:00"/>
    <d v="2020-06-28T00:00:00"/>
    <d v="1899-12-30T08:00:00"/>
    <d v="1899-12-31T00:00:00"/>
    <s v="airbnb"/>
    <x v="0"/>
    <n v="1"/>
    <n v="0"/>
    <s v="GBP"/>
    <n v="107"/>
    <n v="1"/>
    <n v="1"/>
  </r>
  <r>
    <s v="Guest 161"/>
    <s v="Guest161@icloud.com"/>
    <x v="1"/>
    <d v="2020-07-07T00:00:00"/>
    <d v="2020-07-08T00:00:00"/>
    <d v="2020-07-06T00:00:00"/>
    <d v="1899-12-30T08:00:00"/>
    <d v="1899-12-31T00:00:00"/>
    <s v="tokeet"/>
    <x v="1"/>
    <n v="5"/>
    <n v="0"/>
    <s v="GBP"/>
    <n v="135"/>
    <n v="5"/>
    <n v="1"/>
  </r>
  <r>
    <s v="Guest 21"/>
    <s v="Guest21@encry.com"/>
    <x v="1"/>
    <d v="2020-07-08T00:00:00"/>
    <d v="2020-07-09T00:00:00"/>
    <d v="2020-07-08T00:00:00"/>
    <d v="1899-12-30T08:00:00"/>
    <d v="1899-12-31T00:00:00"/>
    <s v="tokeet"/>
    <x v="1"/>
    <n v="6"/>
    <n v="0"/>
    <s v="GBP"/>
    <n v="135"/>
    <n v="6"/>
    <n v="1"/>
  </r>
  <r>
    <s v="Guest 21"/>
    <s v="Guest21@encry.com"/>
    <x v="2"/>
    <d v="2020-07-08T00:00:00"/>
    <d v="2020-07-09T00:00:00"/>
    <d v="2020-06-24T00:00:00"/>
    <d v="1899-12-30T08:00:00"/>
    <d v="1899-12-31T00:00:00"/>
    <s v="tokeet"/>
    <x v="0"/>
    <n v="5"/>
    <n v="0"/>
    <s v="GBP"/>
    <n v="110"/>
    <n v="5"/>
    <n v="1"/>
  </r>
  <r>
    <s v="Guest 341"/>
    <s v="Guest341@airbnb.com"/>
    <x v="4"/>
    <d v="2020-07-09T00:00:00"/>
    <d v="2020-07-14T00:00:00"/>
    <d v="2020-03-30T00:00:00"/>
    <d v="1899-12-30T08:00:00"/>
    <d v="1899-12-31T00:00:00"/>
    <s v="airbnb"/>
    <x v="0"/>
    <n v="6"/>
    <n v="0"/>
    <s v="GBP"/>
    <n v="531"/>
    <n v="6"/>
    <n v="5"/>
  </r>
  <r>
    <s v="Guest 78"/>
    <s v="Guest78@gmail.com"/>
    <x v="1"/>
    <d v="2020-07-09T00:00:00"/>
    <d v="2020-07-10T00:00:00"/>
    <d v="2020-07-07T00:00:00"/>
    <d v="1899-12-30T08:00:00"/>
    <d v="1899-12-31T00:00:00"/>
    <s v="tokeet"/>
    <x v="1"/>
    <n v="5"/>
    <n v="0"/>
    <s v="GBP"/>
    <n v="135"/>
    <n v="5"/>
    <n v="1"/>
  </r>
  <r>
    <s v="Guest 415"/>
    <s v="Guest415@gmail%2Ecom"/>
    <x v="4"/>
    <d v="2020-07-10T00:00:00"/>
    <d v="2020-07-17T00:00:00"/>
    <d v="2020-05-02T00:00:00"/>
    <d v="1899-12-30T08:00:00"/>
    <d v="1899-12-31T00:00:00"/>
    <s v="tokeet"/>
    <x v="0"/>
    <n v="4"/>
    <n v="0"/>
    <s v="GBP"/>
    <n v="770"/>
    <n v="4"/>
    <n v="7"/>
  </r>
  <r>
    <s v="Guest 570"/>
    <s v="Guest570@guest.airbnb.com"/>
    <x v="2"/>
    <d v="2020-07-10T00:00:00"/>
    <d v="2020-07-11T00:00:00"/>
    <d v="2020-06-26T00:00:00"/>
    <d v="1899-12-30T08:00:00"/>
    <d v="1899-12-31T00:00:00"/>
    <s v="tokeet"/>
    <x v="1"/>
    <n v="5"/>
    <n v="0"/>
    <s v="GBP"/>
    <n v="110"/>
    <n v="5"/>
    <n v="1"/>
  </r>
  <r>
    <s v="Guest 516"/>
    <s v="Guest516@gmail.com"/>
    <x v="1"/>
    <d v="2020-07-10T00:00:00"/>
    <d v="2020-07-11T00:00:00"/>
    <d v="2020-06-27T00:00:00"/>
    <d v="1899-12-30T08:00:00"/>
    <d v="1899-12-31T00:00:00"/>
    <s v="tokeet"/>
    <x v="0"/>
    <n v="3"/>
    <n v="0"/>
    <s v="GBP"/>
    <n v="135"/>
    <n v="3"/>
    <n v="1"/>
  </r>
  <r>
    <s v="Guest 191"/>
    <s v="Guest191@yahoo.com"/>
    <x v="4"/>
    <d v="2020-07-10T00:00:00"/>
    <d v="2020-07-13T00:00:00"/>
    <d v="2020-06-23T00:00:00"/>
    <d v="1899-12-30T08:00:00"/>
    <d v="1899-12-31T00:00:00"/>
    <s v="tokeet"/>
    <x v="0"/>
    <n v="5"/>
    <n v="0"/>
    <s v="GBP"/>
    <n v="330"/>
    <n v="5"/>
    <n v="3"/>
  </r>
  <r>
    <s v="Guest 191"/>
    <s v="Guest191@yahoo.com"/>
    <x v="1"/>
    <d v="2020-07-10T00:00:00"/>
    <d v="2020-07-13T00:00:00"/>
    <d v="2020-07-06T00:00:00"/>
    <d v="1899-12-30T08:00:00"/>
    <d v="1899-12-31T00:00:00"/>
    <s v="tokeet"/>
    <x v="1"/>
    <n v="8"/>
    <n v="0"/>
    <s v="GBP"/>
    <n v="525"/>
    <n v="8"/>
    <n v="3"/>
  </r>
  <r>
    <s v="Guest 471"/>
    <s v="Guest471@gmail.com"/>
    <x v="2"/>
    <d v="2020-07-11T00:00:00"/>
    <d v="2020-07-12T00:00:00"/>
    <d v="2020-06-23T00:00:00"/>
    <d v="1899-12-30T08:00:00"/>
    <d v="1899-12-31T00:00:00"/>
    <s v="tokeet"/>
    <x v="1"/>
    <n v="5"/>
    <n v="0"/>
    <s v="GBP"/>
    <n v="110"/>
    <n v="5"/>
    <n v="1"/>
  </r>
  <r>
    <s v="Guest 558"/>
    <s v="Guest558@airbnb.com"/>
    <x v="4"/>
    <d v="2020-07-11T00:00:00"/>
    <d v="2020-07-12T00:00:00"/>
    <d v="2020-07-06T00:00:00"/>
    <d v="1899-12-30T08:00:00"/>
    <d v="1899-12-31T00:00:00"/>
    <s v="tokeet"/>
    <x v="0"/>
    <n v="5"/>
    <n v="0"/>
    <s v="GBP"/>
    <n v="135"/>
    <n v="5"/>
    <n v="1"/>
  </r>
  <r>
    <s v="Guest 558"/>
    <s v="Guest558@airbnb.com"/>
    <x v="4"/>
    <d v="2020-07-11T00:00:00"/>
    <d v="2020-07-12T00:00:00"/>
    <d v="2020-07-06T00:00:00"/>
    <d v="1899-12-30T08:00:00"/>
    <d v="1899-12-31T00:00:00"/>
    <s v="airbnbapiv2"/>
    <x v="1"/>
    <n v="3"/>
    <n v="0"/>
    <s v="GBP"/>
    <n v="135"/>
    <n v="3"/>
    <n v="1"/>
  </r>
  <r>
    <s v="Guest 424"/>
    <s v="Guest424@yahoo.com"/>
    <x v="2"/>
    <d v="2020-07-12T00:00:00"/>
    <d v="2020-07-14T00:00:00"/>
    <d v="2020-06-24T00:00:00"/>
    <d v="1899-12-30T08:00:00"/>
    <d v="1899-12-31T00:00:00"/>
    <s v="tokeet"/>
    <x v="1"/>
    <n v="4"/>
    <n v="0"/>
    <s v="GBP"/>
    <n v="220"/>
    <n v="4"/>
    <n v="2"/>
  </r>
  <r>
    <s v="Guest 211"/>
    <s v="Guest211@gmail.com"/>
    <x v="4"/>
    <d v="2020-07-12T00:00:00"/>
    <d v="2020-07-13T00:00:00"/>
    <d v="2020-07-09T00:00:00"/>
    <d v="1899-12-30T08:00:00"/>
    <d v="1899-12-31T00:00:00"/>
    <s v="tokeet"/>
    <x v="1"/>
    <n v="9"/>
    <n v="0"/>
    <s v="GBP"/>
    <n v="195"/>
    <n v="9"/>
    <n v="1"/>
  </r>
  <r>
    <s v="Guest 39"/>
    <s v="Guest39@sdf.fsd"/>
    <x v="4"/>
    <d v="2020-07-12T00:00:00"/>
    <d v="2020-08-12T00:00:00"/>
    <d v="2020-10-22T00:00:00"/>
    <d v="1899-12-30T12:00:00"/>
    <d v="1899-12-30T14:00:00"/>
    <s v="tokeet"/>
    <x v="0"/>
    <n v="1"/>
    <n v="0"/>
    <s v="GBP"/>
    <n v="75000"/>
    <n v="1"/>
    <n v="31"/>
  </r>
  <r>
    <s v="Guest 39"/>
    <s v="Guest39@sdf.fsd"/>
    <x v="4"/>
    <d v="2020-07-12T00:00:00"/>
    <d v="2020-08-12T00:00:00"/>
    <d v="2020-10-22T00:00:00"/>
    <d v="1899-12-30T12:00:00"/>
    <d v="1899-12-30T14:00:00"/>
    <s v="tokeet"/>
    <x v="0"/>
    <n v="1"/>
    <n v="0"/>
    <s v="GBP"/>
    <n v="75000"/>
    <n v="1"/>
    <n v="31"/>
  </r>
  <r>
    <s v="Guest 336"/>
    <s v="Guest336@gmail.com"/>
    <x v="4"/>
    <d v="2020-07-12T00:00:00"/>
    <d v="2020-10-12T00:00:00"/>
    <d v="2020-10-25T00:00:00"/>
    <d v="1899-12-30T12:00:00"/>
    <d v="1899-12-30T14:00:00"/>
    <s v="tokeet"/>
    <x v="0"/>
    <n v="1"/>
    <n v="0"/>
    <s v="GBP"/>
    <n v="390000"/>
    <n v="1"/>
    <n v="92"/>
  </r>
  <r>
    <s v="Guest 240"/>
    <s v="Guest240@gmail.com"/>
    <x v="4"/>
    <d v="2020-07-13T00:00:00"/>
    <d v="2020-07-15T00:00:00"/>
    <d v="2020-06-25T00:00:00"/>
    <d v="1899-12-30T08:00:00"/>
    <d v="1899-12-31T00:00:00"/>
    <s v="tokeet"/>
    <x v="1"/>
    <n v="12"/>
    <n v="0"/>
    <s v="GBP"/>
    <n v="220"/>
    <n v="12"/>
    <n v="2"/>
  </r>
  <r>
    <s v="Guest 516"/>
    <s v="Guest516@gmail.com"/>
    <x v="1"/>
    <d v="2020-07-13T00:00:00"/>
    <d v="2020-07-24T00:00:00"/>
    <d v="2020-06-27T00:00:00"/>
    <d v="1899-12-30T08:00:00"/>
    <d v="1899-12-31T00:00:00"/>
    <s v="tokeet"/>
    <x v="0"/>
    <n v="3"/>
    <n v="0"/>
    <s v="GBP"/>
    <n v="1485"/>
    <n v="3"/>
    <n v="11"/>
  </r>
  <r>
    <s v="Guest 274"/>
    <s v="Guest274@airbnb.com"/>
    <x v="1"/>
    <d v="2020-07-13T00:00:00"/>
    <d v="2020-07-15T00:00:00"/>
    <d v="2020-07-08T00:00:00"/>
    <d v="1899-12-30T08:00:00"/>
    <d v="1899-12-31T00:00:00"/>
    <s v="tokeet"/>
    <x v="1"/>
    <n v="5"/>
    <n v="0"/>
    <s v="GBP"/>
    <n v="270"/>
    <n v="5"/>
    <n v="2"/>
  </r>
  <r>
    <s v="Guest 218"/>
    <s v="Guest218@encry.com"/>
    <x v="2"/>
    <d v="2020-07-14T00:00:00"/>
    <d v="2020-07-16T00:00:00"/>
    <d v="2020-07-03T00:00:00"/>
    <d v="1899-12-30T08:00:00"/>
    <d v="1899-12-31T00:00:00"/>
    <s v="tokeet"/>
    <x v="1"/>
    <n v="6"/>
    <n v="0"/>
    <s v="GBP"/>
    <n v="270"/>
    <n v="6"/>
    <n v="2"/>
  </r>
  <r>
    <s v="Guest 186"/>
    <s v="Guest186@gmail.com"/>
    <x v="1"/>
    <d v="2020-07-15T00:00:00"/>
    <d v="2020-07-16T00:00:00"/>
    <d v="2020-07-07T00:00:00"/>
    <d v="1899-12-30T08:00:00"/>
    <d v="1899-12-31T00:00:00"/>
    <s v="tokeet"/>
    <x v="1"/>
    <n v="8"/>
    <n v="0"/>
    <s v="GBP"/>
    <n v="175"/>
    <n v="8"/>
    <n v="1"/>
  </r>
  <r>
    <s v="Guest 186"/>
    <s v="Guest186@gmail.com"/>
    <x v="4"/>
    <d v="2020-07-15T00:00:00"/>
    <d v="2020-07-16T00:00:00"/>
    <d v="2020-07-04T00:00:00"/>
    <d v="1899-12-30T08:00:00"/>
    <d v="1899-12-31T00:00:00"/>
    <s v="tokeet"/>
    <x v="0"/>
    <n v="7"/>
    <n v="0"/>
    <s v="GBP"/>
    <n v="155"/>
    <n v="7"/>
    <n v="1"/>
  </r>
  <r>
    <s v="Guest 275"/>
    <s v="Guest275@airbnb.com"/>
    <x v="4"/>
    <d v="2020-07-15T00:00:00"/>
    <d v="2020-07-16T00:00:00"/>
    <d v="2020-07-08T00:00:00"/>
    <d v="1899-12-30T08:00:00"/>
    <d v="1899-12-31T00:00:00"/>
    <s v="tokeet"/>
    <x v="1"/>
    <n v="5"/>
    <n v="0"/>
    <s v="GBP"/>
    <n v="135"/>
    <n v="5"/>
    <n v="1"/>
  </r>
  <r>
    <s v="Guest 558"/>
    <s v="Guest558@airbnb.com"/>
    <x v="4"/>
    <d v="2020-07-16T00:00:00"/>
    <d v="2020-07-17T00:00:00"/>
    <d v="2020-07-06T00:00:00"/>
    <d v="1899-12-30T08:00:00"/>
    <d v="1899-12-31T00:00:00"/>
    <s v="airbnbapiv2"/>
    <x v="0"/>
    <n v="3"/>
    <n v="0"/>
    <s v="GBP"/>
    <n v="135"/>
    <n v="3"/>
    <n v="1"/>
  </r>
  <r>
    <s v="Guest 401"/>
    <s v="Guest401@gmail.com"/>
    <x v="4"/>
    <d v="2020-07-16T00:00:00"/>
    <d v="2020-07-17T00:00:00"/>
    <d v="2020-07-08T00:00:00"/>
    <d v="1899-12-30T08:00:00"/>
    <d v="1899-12-31T00:00:00"/>
    <s v="tokeet"/>
    <x v="1"/>
    <n v="9"/>
    <n v="0"/>
    <s v="GBP"/>
    <n v="195"/>
    <n v="9"/>
    <n v="1"/>
  </r>
  <r>
    <s v="Guest 233"/>
    <s v="Guest233@gmail.com"/>
    <x v="1"/>
    <d v="2020-07-16T00:00:00"/>
    <d v="2020-07-17T00:00:00"/>
    <d v="2020-07-12T00:00:00"/>
    <d v="1899-12-30T14:00:00"/>
    <d v="1899-12-30T11:00:00"/>
    <s v="tokeet"/>
    <x v="1"/>
    <n v="6"/>
    <n v="0"/>
    <s v="GBP"/>
    <n v="135"/>
    <n v="6"/>
    <n v="1"/>
  </r>
  <r>
    <s v="Guest 374"/>
    <s v="Guest374@booking.com"/>
    <x v="4"/>
    <d v="2020-07-17T00:00:00"/>
    <d v="2020-07-27T00:00:00"/>
    <d v="2020-01-18T00:00:00"/>
    <d v="1899-12-30T08:00:00"/>
    <d v="1899-12-31T00:00:00"/>
    <s v="Booking.com"/>
    <x v="0"/>
    <n v="2"/>
    <n v="0"/>
    <s v="GBP"/>
    <n v="928.8"/>
    <n v="2"/>
    <n v="10"/>
  </r>
  <r>
    <s v="Guest 417"/>
    <s v="Guest417@yahoo.com"/>
    <x v="2"/>
    <d v="2020-07-17T00:00:00"/>
    <d v="2020-07-19T00:00:00"/>
    <d v="2020-06-27T00:00:00"/>
    <d v="1899-12-30T08:00:00"/>
    <d v="1899-12-31T00:00:00"/>
    <s v="tokeet"/>
    <x v="1"/>
    <n v="4"/>
    <n v="0"/>
    <s v="GBP"/>
    <n v="220"/>
    <n v="4"/>
    <n v="2"/>
  </r>
  <r>
    <s v="Guest 417"/>
    <s v="Guest417@yahoo.com"/>
    <x v="1"/>
    <d v="2020-07-17T00:00:00"/>
    <d v="2020-07-19T00:00:00"/>
    <d v="2020-06-13T00:00:00"/>
    <d v="1899-12-30T08:00:00"/>
    <d v="1899-12-31T00:00:00"/>
    <s v="tokeet"/>
    <x v="0"/>
    <n v="6"/>
    <n v="0"/>
    <s v="GBP"/>
    <n v="220"/>
    <n v="6"/>
    <n v="2"/>
  </r>
  <r>
    <s v="Guest 411"/>
    <s v="Guest411@digitalbananas.co.uk"/>
    <x v="4"/>
    <d v="2020-07-17T00:00:00"/>
    <d v="2020-07-19T00:00:00"/>
    <d v="2020-06-27T00:00:00"/>
    <d v="1899-12-30T08:00:00"/>
    <d v="1899-12-31T00:00:00"/>
    <s v="tokeet"/>
    <x v="1"/>
    <n v="3"/>
    <n v="0"/>
    <s v="GBP"/>
    <n v="220"/>
    <n v="3"/>
    <n v="2"/>
  </r>
  <r>
    <s v="Guest 41"/>
    <s v="Guest41@gmail.com"/>
    <x v="1"/>
    <d v="2020-07-17T00:00:00"/>
    <d v="2020-07-19T00:00:00"/>
    <d v="2020-07-09T00:00:00"/>
    <d v="1899-12-30T08:00:00"/>
    <d v="1899-12-31T00:00:00"/>
    <s v="tokeet"/>
    <x v="1"/>
    <n v="6"/>
    <n v="0"/>
    <s v="GBP"/>
    <n v="264"/>
    <n v="6"/>
    <n v="2"/>
  </r>
  <r>
    <s v="Guest 200"/>
    <s v="Guest200@gmail.com"/>
    <x v="2"/>
    <d v="2020-07-19T00:00:00"/>
    <d v="2020-07-20T00:00:00"/>
    <d v="2020-06-19T00:00:00"/>
    <d v="1899-12-30T08:00:00"/>
    <d v="1899-12-31T00:00:00"/>
    <s v="tokeet"/>
    <x v="1"/>
    <n v="6"/>
    <n v="0"/>
    <s v="GBP"/>
    <n v="110"/>
    <n v="6"/>
    <n v="1"/>
  </r>
  <r>
    <s v="Guest 483"/>
    <s v="Guest483@gmail.com"/>
    <x v="1"/>
    <d v="2020-07-19T00:00:00"/>
    <d v="2020-07-20T00:00:00"/>
    <d v="2020-07-10T00:00:00"/>
    <d v="1899-12-30T14:00:00"/>
    <d v="1899-12-30T11:00:00"/>
    <s v="tokeet"/>
    <x v="1"/>
    <n v="6"/>
    <n v="0"/>
    <s v="GBP"/>
    <n v="135"/>
    <n v="6"/>
    <n v="1"/>
  </r>
  <r>
    <s v="Guest 508"/>
    <s v="Guest508@gmail.com"/>
    <x v="2"/>
    <d v="2020-07-20T00:00:00"/>
    <d v="2020-07-22T00:00:00"/>
    <d v="2020-07-02T00:00:00"/>
    <d v="1899-12-30T08:00:00"/>
    <d v="1899-12-31T00:00:00"/>
    <s v="tokeet"/>
    <x v="1"/>
    <n v="7"/>
    <n v="0"/>
    <s v="GBP"/>
    <n v="220"/>
    <n v="7"/>
    <n v="2"/>
  </r>
  <r>
    <s v="Guest 283"/>
    <s v="Guest283@icloud.com"/>
    <x v="6"/>
    <d v="2020-07-20T00:00:00"/>
    <d v="2020-07-23T00:00:00"/>
    <d v="2020-07-20T00:00:00"/>
    <d v="1899-12-30T14:00:00"/>
    <d v="1899-12-30T11:00:00"/>
    <s v="tokeet"/>
    <x v="1"/>
    <n v="3"/>
    <n v="0"/>
    <s v="GBP"/>
    <n v="330"/>
    <n v="3"/>
    <n v="3"/>
  </r>
  <r>
    <s v="Guest 289"/>
    <s v="Guest289@yahoo%2Ecom"/>
    <x v="4"/>
    <d v="2020-07-21T00:00:00"/>
    <d v="2020-07-25T00:00:00"/>
    <d v="2020-06-29T00:00:00"/>
    <d v="1899-12-30T08:00:00"/>
    <d v="1899-12-31T00:00:00"/>
    <s v="tokeet"/>
    <x v="0"/>
    <n v="2"/>
    <n v="0"/>
    <s v="GBP"/>
    <n v="440"/>
    <n v="2"/>
    <n v="4"/>
  </r>
  <r>
    <s v="Guest 42"/>
    <s v="Guest42@yahoo.com"/>
    <x v="4"/>
    <d v="2020-07-21T00:00:00"/>
    <d v="2020-07-22T00:00:00"/>
    <d v="2020-07-02T00:00:00"/>
    <d v="1899-12-30T08:00:00"/>
    <d v="1899-12-31T00:00:00"/>
    <s v="tokeet"/>
    <x v="1"/>
    <n v="5"/>
    <n v="0"/>
    <s v="GBP"/>
    <n v="110"/>
    <n v="5"/>
    <n v="1"/>
  </r>
  <r>
    <s v="Guest 451"/>
    <s v="Guest451@yahoo.com"/>
    <x v="1"/>
    <d v="2020-07-21T00:00:00"/>
    <d v="2020-07-24T00:00:00"/>
    <d v="2020-07-11T00:00:00"/>
    <d v="1899-12-30T14:00:00"/>
    <d v="1899-12-30T11:00:00"/>
    <s v="tokeet"/>
    <x v="1"/>
    <n v="5"/>
    <n v="0"/>
    <s v="GBP"/>
    <n v="405"/>
    <n v="5"/>
    <n v="3"/>
  </r>
  <r>
    <s v="Guest 61"/>
    <s v="Guest61@airbnb.com"/>
    <x v="1"/>
    <d v="2020-07-22T00:00:00"/>
    <d v="2020-08-03T00:00:00"/>
    <d v="2020-06-04T00:00:00"/>
    <d v="1899-12-30T08:00:00"/>
    <d v="1899-12-31T00:00:00"/>
    <s v="airbnb"/>
    <x v="0"/>
    <n v="4"/>
    <n v="0"/>
    <s v="GBP"/>
    <n v="1234"/>
    <n v="4"/>
    <n v="12"/>
  </r>
  <r>
    <s v="Guest 55"/>
    <s v="Guest55@airbnb.com"/>
    <x v="4"/>
    <d v="2020-07-22T00:00:00"/>
    <d v="2020-07-25T00:00:00"/>
    <d v="2020-07-07T00:00:00"/>
    <d v="1899-12-30T08:00:00"/>
    <d v="1899-12-31T00:00:00"/>
    <s v="airbnb"/>
    <x v="0"/>
    <n v="1"/>
    <n v="0"/>
    <s v="GBP"/>
    <n v="391"/>
    <n v="1"/>
    <n v="3"/>
  </r>
  <r>
    <s v="Guest 389"/>
    <s v="Guest389@yahoo%2Ecom"/>
    <x v="2"/>
    <d v="2020-07-22T00:00:00"/>
    <d v="2020-07-23T00:00:00"/>
    <d v="2020-07-09T00:00:00"/>
    <d v="1899-12-30T08:00:00"/>
    <d v="1899-12-31T00:00:00"/>
    <s v="tokeet"/>
    <x v="0"/>
    <n v="1"/>
    <n v="0"/>
    <s v="GBP"/>
    <n v="65000"/>
    <n v="1"/>
    <n v="1"/>
  </r>
  <r>
    <s v="Guest 389"/>
    <s v="Guest389@yahoo%2Ecom"/>
    <x v="4"/>
    <d v="2020-07-22T00:00:00"/>
    <d v="2020-07-23T00:00:00"/>
    <d v="2020-07-09T00:00:00"/>
    <d v="1899-12-30T08:00:00"/>
    <d v="1899-12-31T00:00:00"/>
    <s v="tokeet"/>
    <x v="0"/>
    <n v="6"/>
    <n v="0"/>
    <s v="GBP"/>
    <n v="135"/>
    <n v="6"/>
    <n v="1"/>
  </r>
  <r>
    <s v="Guest 452"/>
    <s v="Guest452@gmail.com"/>
    <x v="4"/>
    <d v="2020-07-22T00:00:00"/>
    <d v="2020-07-25T00:00:00"/>
    <d v="2020-07-12T00:00:00"/>
    <d v="1899-12-30T08:00:00"/>
    <d v="1899-12-31T00:00:00"/>
    <s v="tokeet"/>
    <x v="1"/>
    <n v="5"/>
    <n v="0"/>
    <s v="GBP"/>
    <n v="405"/>
    <n v="5"/>
    <n v="3"/>
  </r>
  <r>
    <s v="Guest 465"/>
    <s v="Guest465@yahoo.com"/>
    <x v="2"/>
    <d v="2020-07-22T00:00:00"/>
    <d v="2020-07-23T00:00:00"/>
    <d v="2020-07-14T00:00:00"/>
    <d v="1899-12-30T08:00:00"/>
    <d v="1899-12-31T00:00:00"/>
    <s v="tokeet"/>
    <x v="1"/>
    <n v="6"/>
    <n v="0"/>
    <s v="GBP"/>
    <n v="135"/>
    <n v="6"/>
    <n v="1"/>
  </r>
  <r>
    <s v="Guest 200"/>
    <s v="Guest200@gmail.com"/>
    <x v="2"/>
    <d v="2020-07-23T00:00:00"/>
    <d v="2020-07-29T00:00:00"/>
    <d v="2020-06-22T00:00:00"/>
    <d v="1899-12-30T08:00:00"/>
    <d v="1899-12-31T00:00:00"/>
    <s v="tokeet"/>
    <x v="1"/>
    <n v="5"/>
    <n v="0"/>
    <s v="GBP"/>
    <n v="810"/>
    <n v="5"/>
    <n v="6"/>
  </r>
  <r>
    <s v="Guest 358"/>
    <s v="Guest358@yahoo.com"/>
    <x v="6"/>
    <d v="2020-07-23T00:00:00"/>
    <d v="2020-07-25T00:00:00"/>
    <d v="2020-07-21T00:00:00"/>
    <d v="1899-12-30T14:00:00"/>
    <d v="1899-12-30T11:00:00"/>
    <s v="tokeet"/>
    <x v="1"/>
    <n v="3"/>
    <n v="2"/>
    <s v="GBP"/>
    <n v="220"/>
    <n v="5"/>
    <n v="2"/>
  </r>
  <r>
    <s v="Guest 569"/>
    <s v="Guest569@gmail.com"/>
    <x v="4"/>
    <d v="2020-07-24T00:00:00"/>
    <d v="2020-07-25T00:00:00"/>
    <d v="2020-07-08T00:00:00"/>
    <d v="1899-12-30T08:00:00"/>
    <d v="1899-12-31T00:00:00"/>
    <s v="tokeet"/>
    <x v="0"/>
    <n v="6"/>
    <n v="0"/>
    <s v="GBP"/>
    <n v="135"/>
    <n v="6"/>
    <n v="1"/>
  </r>
  <r>
    <s v="Guest 447"/>
    <s v="Guest447@yahoo.com"/>
    <x v="1"/>
    <d v="2020-07-25T00:00:00"/>
    <d v="2020-07-26T00:00:00"/>
    <d v="2020-06-14T00:00:00"/>
    <d v="1899-12-30T08:00:00"/>
    <d v="1899-12-31T00:00:00"/>
    <s v="tokeet"/>
    <x v="1"/>
    <n v="5"/>
    <n v="0"/>
    <s v="GBP"/>
    <n v="110"/>
    <n v="5"/>
    <n v="1"/>
  </r>
  <r>
    <s v="Guest 326"/>
    <s v="Guest326@yahoo.com"/>
    <x v="4"/>
    <d v="2020-07-25T00:00:00"/>
    <d v="2020-07-27T00:00:00"/>
    <d v="2020-06-22T00:00:00"/>
    <d v="1899-12-30T08:00:00"/>
    <d v="1899-12-31T00:00:00"/>
    <s v="tokeet"/>
    <x v="1"/>
    <n v="4"/>
    <n v="0"/>
    <s v="GBP"/>
    <n v="220"/>
    <n v="4"/>
    <n v="2"/>
  </r>
  <r>
    <s v="Guest 326"/>
    <s v="Guest326@yahoo.com"/>
    <x v="2"/>
    <d v="2020-07-25T00:00:00"/>
    <d v="2020-07-27T00:00:00"/>
    <d v="2020-06-18T00:00:00"/>
    <d v="1899-12-30T08:00:00"/>
    <d v="1899-12-31T00:00:00"/>
    <s v="tokeet"/>
    <x v="0"/>
    <n v="9"/>
    <n v="0"/>
    <s v="GBP"/>
    <n v="220"/>
    <n v="9"/>
    <n v="2"/>
  </r>
  <r>
    <s v="Guest 35"/>
    <s v="Guest35@yahoo.com"/>
    <x v="6"/>
    <d v="2020-07-25T00:00:00"/>
    <d v="2020-07-26T00:00:00"/>
    <d v="2020-07-22T00:00:00"/>
    <d v="1899-12-30T14:00:00"/>
    <d v="1899-12-30T11:00:00"/>
    <s v="tokeet"/>
    <x v="1"/>
    <n v="6"/>
    <n v="0"/>
    <s v="GBP"/>
    <n v="110"/>
    <n v="6"/>
    <n v="1"/>
  </r>
  <r>
    <s v="Guest 516"/>
    <s v="Guest516@gmail.com"/>
    <x v="1"/>
    <d v="2020-07-26T00:00:00"/>
    <d v="2020-08-01T00:00:00"/>
    <d v="2020-06-27T00:00:00"/>
    <d v="1899-12-30T08:00:00"/>
    <d v="1899-12-31T00:00:00"/>
    <s v="tokeet"/>
    <x v="0"/>
    <n v="5"/>
    <n v="0"/>
    <s v="GBP"/>
    <n v="660"/>
    <n v="5"/>
    <n v="6"/>
  </r>
  <r>
    <s v="Guest 430"/>
    <s v="Guest430@gmail.com"/>
    <x v="1"/>
    <d v="2020-07-26T00:00:00"/>
    <d v="2020-07-27T00:00:00"/>
    <d v="2020-07-13T00:00:00"/>
    <d v="1899-12-30T14:00:00"/>
    <d v="1899-12-30T11:00:00"/>
    <s v="tokeet"/>
    <x v="1"/>
    <n v="5"/>
    <n v="0"/>
    <s v="GBP"/>
    <n v="135"/>
    <n v="5"/>
    <n v="1"/>
  </r>
  <r>
    <s v="Guest 452"/>
    <s v="Guest452@gmail.com"/>
    <x v="6"/>
    <d v="2020-07-26T00:00:00"/>
    <d v="2020-07-29T00:00:00"/>
    <d v="2020-07-24T00:00:00"/>
    <d v="1899-12-30T14:00:00"/>
    <d v="1899-12-30T11:00:00"/>
    <s v="tokeet"/>
    <x v="1"/>
    <n v="5"/>
    <n v="0"/>
    <s v="GBP"/>
    <n v="330"/>
    <n v="5"/>
    <n v="3"/>
  </r>
  <r>
    <s v="Guest 156"/>
    <s v="Guest156@slh%2Ecom"/>
    <x v="3"/>
    <d v="2020-07-26T00:00:00"/>
    <d v="2020-07-27T00:00:00"/>
    <d v="2020-07-26T00:00:00"/>
    <d v="1899-12-30T08:00:00"/>
    <d v="1899-12-31T00:00:00"/>
    <s v="tokeet"/>
    <x v="0"/>
    <n v="2"/>
    <n v="0"/>
    <s v="GBP"/>
    <n v="110"/>
    <n v="2"/>
    <n v="1"/>
  </r>
  <r>
    <s v="Guest 312"/>
    <s v="Guest312@yahoo.com"/>
    <x v="4"/>
    <d v="2020-07-27T00:00:00"/>
    <d v="2020-07-28T00:00:00"/>
    <d v="2020-07-01T00:00:00"/>
    <d v="1899-12-30T08:00:00"/>
    <d v="1899-12-31T00:00:00"/>
    <s v="tokeet"/>
    <x v="1"/>
    <n v="9"/>
    <n v="0"/>
    <s v="GBP"/>
    <n v="110"/>
    <n v="9"/>
    <n v="1"/>
  </r>
  <r>
    <s v="Guest 489"/>
    <s v="Guest489@gmail%2Ecom"/>
    <x v="1"/>
    <d v="2020-07-27T00:00:00"/>
    <d v="2020-07-31T00:00:00"/>
    <d v="2020-07-08T00:00:00"/>
    <d v="1899-12-30T08:00:00"/>
    <d v="1899-12-31T00:00:00"/>
    <s v="tokeet"/>
    <x v="1"/>
    <n v="7"/>
    <n v="0"/>
    <s v="GBP"/>
    <n v="620"/>
    <n v="7"/>
    <n v="4"/>
  </r>
  <r>
    <s v="Guest 77"/>
    <s v="Guest77@yahoo.com"/>
    <x v="3"/>
    <d v="2020-07-27T00:00:00"/>
    <d v="2020-07-28T00:00:00"/>
    <d v="2020-07-25T00:00:00"/>
    <d v="1899-12-30T08:00:00"/>
    <d v="1899-12-31T00:00:00"/>
    <s v="tokeet"/>
    <x v="0"/>
    <n v="5"/>
    <n v="0"/>
    <s v="GBP"/>
    <n v="110"/>
    <n v="5"/>
    <n v="1"/>
  </r>
  <r>
    <s v="Guest 291"/>
    <s v="Guest291@yahoo.com"/>
    <x v="4"/>
    <d v="2020-07-28T00:00:00"/>
    <d v="2020-07-30T00:00:00"/>
    <d v="2020-06-14T00:00:00"/>
    <d v="1899-12-30T08:00:00"/>
    <d v="1899-12-31T00:00:00"/>
    <s v="tokeet"/>
    <x v="1"/>
    <n v="6"/>
    <n v="0"/>
    <s v="GBP"/>
    <n v="220"/>
    <n v="6"/>
    <n v="2"/>
  </r>
  <r>
    <s v="Guest 452"/>
    <s v="Guest452@gmail.com"/>
    <x v="3"/>
    <d v="2020-07-29T00:00:00"/>
    <d v="2020-08-01T00:00:00"/>
    <d v="2020-07-26T00:00:00"/>
    <d v="1899-12-30T08:00:00"/>
    <d v="1899-12-31T00:00:00"/>
    <s v="tokeet"/>
    <x v="1"/>
    <n v="5"/>
    <n v="0"/>
    <s v="GBP"/>
    <n v="330"/>
    <n v="5"/>
    <n v="3"/>
  </r>
  <r>
    <s v="Guest 353"/>
    <s v="Guest353@gmail.com"/>
    <x v="1"/>
    <d v="2020-07-30T00:00:00"/>
    <d v="2020-08-02T00:00:00"/>
    <d v="2020-06-13T00:00:00"/>
    <d v="1899-12-30T08:00:00"/>
    <d v="1899-12-31T00:00:00"/>
    <s v="tokeet"/>
    <x v="0"/>
    <n v="5"/>
    <n v="0"/>
    <s v="GBP"/>
    <n v="330"/>
    <n v="5"/>
    <n v="3"/>
  </r>
  <r>
    <s v="Guest 289"/>
    <s v="Guest289@yahoo%2Ecom"/>
    <x v="6"/>
    <d v="2020-07-30T00:00:00"/>
    <d v="2020-08-13T00:00:00"/>
    <d v="2020-06-29T00:00:00"/>
    <d v="1899-12-30T14:00:00"/>
    <d v="1899-12-30T11:00:00"/>
    <s v="tokeet"/>
    <x v="0"/>
    <n v="2"/>
    <n v="0"/>
    <s v="GBP"/>
    <n v="1540"/>
    <n v="2"/>
    <n v="14"/>
  </r>
  <r>
    <s v="Guest 145"/>
    <s v="Guest145@encry.com"/>
    <x v="2"/>
    <d v="2020-07-30T00:00:00"/>
    <d v="2020-07-31T00:00:00"/>
    <d v="2020-07-06T00:00:00"/>
    <d v="1899-12-30T08:00:00"/>
    <d v="1899-12-31T00:00:00"/>
    <s v="tokeet"/>
    <x v="1"/>
    <n v="5"/>
    <n v="0"/>
    <s v="GBP"/>
    <n v="135"/>
    <n v="5"/>
    <n v="1"/>
  </r>
  <r>
    <s v="Guest 523"/>
    <s v="Guest523@gmail.com"/>
    <x v="6"/>
    <d v="2020-07-30T00:00:00"/>
    <d v="2020-08-02T00:00:00"/>
    <d v="2020-07-10T00:00:00"/>
    <d v="1899-12-30T14:00:00"/>
    <d v="1899-12-30T11:00:00"/>
    <s v="tokeet"/>
    <x v="1"/>
    <n v="7"/>
    <n v="0"/>
    <s v="GBP"/>
    <n v="390"/>
    <n v="7"/>
    <n v="3"/>
  </r>
  <r>
    <s v="Guest 322"/>
    <s v="Guest322@airbnb.com"/>
    <x v="2"/>
    <d v="2020-07-31T00:00:00"/>
    <d v="2020-08-01T00:00:00"/>
    <d v="2020-06-14T00:00:00"/>
    <d v="1899-12-30T08:00:00"/>
    <d v="1899-12-31T00:00:00"/>
    <s v="airbnb"/>
    <x v="0"/>
    <n v="1"/>
    <n v="0"/>
    <s v="GBP"/>
    <n v="107"/>
    <n v="1"/>
    <n v="1"/>
  </r>
  <r>
    <s v="Guest 262"/>
    <s v="Guest262@airbnb.com"/>
    <x v="2"/>
    <d v="2020-07-31T00:00:00"/>
    <d v="2020-08-01T00:00:00"/>
    <d v="2020-07-03T00:00:00"/>
    <d v="1899-12-30T08:00:00"/>
    <d v="1899-12-31T00:00:00"/>
    <s v="airbnb"/>
    <x v="0"/>
    <n v="1"/>
    <n v="0"/>
    <s v="GBP"/>
    <n v="107"/>
    <n v="1"/>
    <n v="1"/>
  </r>
  <r>
    <s v="Guest 353"/>
    <s v="Guest353@gmail.com"/>
    <x v="4"/>
    <d v="2020-07-31T00:00:00"/>
    <d v="2020-08-03T00:00:00"/>
    <d v="2020-06-27T00:00:00"/>
    <d v="1899-12-30T08:00:00"/>
    <d v="1899-12-31T00:00:00"/>
    <s v="tokeet"/>
    <x v="1"/>
    <n v="6"/>
    <n v="0"/>
    <s v="GBP"/>
    <n v="270"/>
    <n v="6"/>
    <n v="3"/>
  </r>
  <r>
    <s v="Guest 478"/>
    <s v="Guest478@gmail.com"/>
    <x v="2"/>
    <d v="2020-07-31T00:00:00"/>
    <d v="2020-08-01T00:00:00"/>
    <d v="2020-07-11T00:00:00"/>
    <d v="1899-12-30T08:00:00"/>
    <d v="1899-12-31T00:00:00"/>
    <s v="tokeet"/>
    <x v="1"/>
    <n v="8"/>
    <n v="0"/>
    <s v="GBP"/>
    <n v="175"/>
    <n v="8"/>
    <n v="1"/>
  </r>
  <r>
    <s v="Guest 234"/>
    <s v="Guest234@gmial.com"/>
    <x v="1"/>
    <d v="2020-07-31T00:00:00"/>
    <d v="2020-08-01T00:00:00"/>
    <d v="2020-07-20T00:00:00"/>
    <d v="1899-12-30T14:00:00"/>
    <d v="1899-12-30T11:00:00"/>
    <s v="tokeet"/>
    <x v="1"/>
    <n v="12"/>
    <n v="0"/>
    <s v="GBP"/>
    <n v="230"/>
    <n v="12"/>
    <n v="1"/>
  </r>
  <r>
    <s v="Guest 214"/>
    <s v="Guest214@airbnb.com"/>
    <x v="4"/>
    <d v="2020-08-01T00:00:00"/>
    <d v="2020-08-04T00:00:00"/>
    <d v="2020-02-27T00:00:00"/>
    <d v="1899-12-30T08:00:00"/>
    <d v="1899-12-31T00:00:00"/>
    <s v="airbnb"/>
    <x v="0"/>
    <n v="6"/>
    <n v="0"/>
    <s v="GBP"/>
    <n v="318"/>
    <n v="6"/>
    <n v="3"/>
  </r>
  <r>
    <s v="Guest 246"/>
    <s v="Guest246@airbnb.com"/>
    <x v="2"/>
    <d v="2020-08-01T00:00:00"/>
    <d v="2020-08-04T00:00:00"/>
    <d v="2020-06-28T00:00:00"/>
    <d v="1899-12-30T08:00:00"/>
    <d v="1899-12-31T00:00:00"/>
    <s v="airbnb"/>
    <x v="0"/>
    <n v="1"/>
    <n v="0"/>
    <s v="GBP"/>
    <n v="319"/>
    <n v="1"/>
    <n v="3"/>
  </r>
  <r>
    <s v="Guest 99"/>
    <s v="Guest99@gmail%2Ecom"/>
    <x v="2"/>
    <d v="2020-08-01T00:00:00"/>
    <d v="2020-08-02T00:00:00"/>
    <d v="2020-07-06T00:00:00"/>
    <d v="1899-12-30T08:00:00"/>
    <d v="1899-12-31T00:00:00"/>
    <s v="tokeet"/>
    <x v="1"/>
    <n v="4"/>
    <n v="0"/>
    <s v="GBP"/>
    <n v="135"/>
    <n v="4"/>
    <n v="1"/>
  </r>
  <r>
    <s v="Guest 462"/>
    <s v="Guest462@gmail.com"/>
    <x v="3"/>
    <d v="2020-08-01T00:00:00"/>
    <d v="2020-08-02T00:00:00"/>
    <d v="2020-07-24T00:00:00"/>
    <d v="1899-12-30T08:00:00"/>
    <d v="1899-12-31T00:00:00"/>
    <s v="tokeet"/>
    <x v="1"/>
    <n v="5"/>
    <n v="0"/>
    <s v="GBP"/>
    <n v="110"/>
    <n v="5"/>
    <n v="1"/>
  </r>
  <r>
    <s v="Guest 452"/>
    <s v="Guest452@gmail.com"/>
    <x v="6"/>
    <d v="2020-08-01T00:00:00"/>
    <d v="2020-08-02T00:00:00"/>
    <d v="2020-07-29T00:00:00"/>
    <d v="1899-12-30T14:00:00"/>
    <d v="1899-12-30T11:00:00"/>
    <s v="tokeet"/>
    <x v="0"/>
    <n v="4"/>
    <n v="0"/>
    <s v="GBP"/>
    <n v="110"/>
    <n v="4"/>
    <n v="1"/>
  </r>
  <r>
    <s v="Guest 574"/>
    <s v="Guest574@gmail.com"/>
    <x v="1"/>
    <d v="2020-08-01T00:00:00"/>
    <d v="2020-08-02T00:00:00"/>
    <d v="2020-07-23T00:00:00"/>
    <d v="1899-12-30T14:00:00"/>
    <d v="1899-12-30T11:00:00"/>
    <s v="tokeet"/>
    <x v="1"/>
    <n v="10"/>
    <n v="0"/>
    <s v="GBP"/>
    <n v="190"/>
    <n v="10"/>
    <n v="1"/>
  </r>
  <r>
    <s v="Guest 246"/>
    <s v="Guest246@airbnb.com"/>
    <x v="4"/>
    <d v="2020-08-02T00:00:00"/>
    <d v="2020-08-05T00:00:00"/>
    <d v="2020-06-28T00:00:00"/>
    <d v="1899-12-30T08:00:00"/>
    <d v="1899-12-31T00:00:00"/>
    <s v="airbnb"/>
    <x v="0"/>
    <n v="1"/>
    <n v="0"/>
    <s v="GBP"/>
    <n v="319"/>
    <n v="1"/>
    <n v="3"/>
  </r>
  <r>
    <s v="Guest 174"/>
    <s v="Guest174@airbnb.com"/>
    <x v="2"/>
    <d v="2020-08-02T00:00:00"/>
    <d v="2020-08-07T00:00:00"/>
    <d v="2020-07-19T00:00:00"/>
    <d v="1899-12-30T08:00:00"/>
    <d v="1899-12-31T00:00:00"/>
    <s v="airbnb"/>
    <x v="0"/>
    <n v="5"/>
    <n v="0"/>
    <s v="GBP"/>
    <n v="651"/>
    <n v="5"/>
    <n v="5"/>
  </r>
  <r>
    <s v="Guest 328"/>
    <s v="Guest328@gmail.com"/>
    <x v="3"/>
    <d v="2020-08-02T00:00:00"/>
    <d v="2020-08-03T00:00:00"/>
    <d v="2020-07-27T00:00:00"/>
    <d v="1899-12-30T08:00:00"/>
    <d v="1899-12-31T00:00:00"/>
    <s v="tokeet"/>
    <x v="1"/>
    <n v="6"/>
    <n v="0"/>
    <s v="GBP"/>
    <n v="110"/>
    <n v="6"/>
    <n v="1"/>
  </r>
  <r>
    <s v="Guest 184"/>
    <s v="Guest184@yahoo.co.uk"/>
    <x v="2"/>
    <d v="2020-08-02T00:00:00"/>
    <d v="2020-08-03T00:00:00"/>
    <d v="2020-07-28T00:00:00"/>
    <d v="1899-12-30T08:00:00"/>
    <d v="1899-12-31T00:00:00"/>
    <s v="tokeet"/>
    <x v="1"/>
    <n v="5"/>
    <n v="0"/>
    <s v="GBP"/>
    <n v="110"/>
    <n v="5"/>
    <n v="1"/>
  </r>
  <r>
    <s v="Guest 498"/>
    <s v="Guest498@yahoo.com"/>
    <x v="6"/>
    <d v="2020-08-02T00:00:00"/>
    <d v="2020-08-05T00:00:00"/>
    <d v="2020-07-25T00:00:00"/>
    <d v="1899-12-30T14:00:00"/>
    <d v="1899-12-30T11:00:00"/>
    <s v="tokeet"/>
    <x v="1"/>
    <n v="8"/>
    <n v="0"/>
    <s v="GBP"/>
    <n v="450"/>
    <n v="8"/>
    <n v="3"/>
  </r>
  <r>
    <s v="Guest 483"/>
    <s v="Guest483@gmail.com"/>
    <x v="1"/>
    <d v="2020-08-02T00:00:00"/>
    <d v="2020-08-03T00:00:00"/>
    <d v="2020-08-02T00:00:00"/>
    <d v="1899-12-30T14:00:00"/>
    <d v="1899-12-30T11:00:00"/>
    <s v="tokeet"/>
    <x v="1"/>
    <n v="6"/>
    <n v="0"/>
    <s v="GBP"/>
    <n v="110"/>
    <n v="6"/>
    <n v="1"/>
  </r>
  <r>
    <s v="Guest 423"/>
    <s v="Guest423@airbnb.com"/>
    <x v="1"/>
    <d v="2020-08-03T00:00:00"/>
    <d v="2020-08-10T00:00:00"/>
    <d v="2020-05-08T00:00:00"/>
    <d v="1899-12-30T08:00:00"/>
    <d v="1899-12-31T00:00:00"/>
    <s v="airbnb"/>
    <x v="0"/>
    <n v="1"/>
    <n v="0"/>
    <s v="GBP"/>
    <n v="720"/>
    <n v="1"/>
    <n v="7"/>
  </r>
  <r>
    <s v="Guest 328"/>
    <s v="Guest328@gmail.com"/>
    <x v="4"/>
    <d v="2020-08-03T00:00:00"/>
    <d v="2020-08-04T00:00:00"/>
    <d v="2020-07-27T00:00:00"/>
    <d v="1899-12-30T08:00:00"/>
    <d v="1899-12-31T00:00:00"/>
    <s v="tokeet"/>
    <x v="1"/>
    <n v="6"/>
    <n v="0"/>
    <s v="GBP"/>
    <n v="110"/>
    <n v="6"/>
    <n v="1"/>
  </r>
  <r>
    <s v="Guest 5"/>
    <s v="Guest5@gmail.com"/>
    <x v="3"/>
    <d v="2020-08-03T00:00:00"/>
    <d v="2020-08-04T00:00:00"/>
    <d v="2020-07-26T00:00:00"/>
    <d v="1899-12-30T08:00:00"/>
    <d v="1899-12-31T00:00:00"/>
    <s v="tokeet"/>
    <x v="0"/>
    <n v="4"/>
    <n v="0"/>
    <s v="GBP"/>
    <n v="110"/>
    <n v="4"/>
    <n v="1"/>
  </r>
  <r>
    <s v="Guest 442"/>
    <s v="Guest442@gmail.com"/>
    <x v="3"/>
    <d v="2020-08-03T00:00:00"/>
    <d v="2020-08-06T00:00:00"/>
    <d v="2020-07-29T00:00:00"/>
    <d v="1899-12-30T08:00:00"/>
    <d v="1899-12-31T00:00:00"/>
    <s v="tokeet"/>
    <x v="1"/>
    <n v="6"/>
    <n v="0"/>
    <s v="GBP"/>
    <n v="330"/>
    <n v="6"/>
    <n v="3"/>
  </r>
  <r>
    <s v="Guest 387"/>
    <s v="Guest387@gmail.com"/>
    <x v="2"/>
    <d v="2020-08-03T00:00:00"/>
    <d v="2020-08-05T00:00:00"/>
    <d v="2020-08-02T00:00:00"/>
    <d v="1899-12-30T08:00:00"/>
    <d v="1899-12-31T00:00:00"/>
    <s v="tokeet"/>
    <x v="1"/>
    <n v="6"/>
    <n v="0"/>
    <s v="GBP"/>
    <n v="220"/>
    <n v="6"/>
    <n v="2"/>
  </r>
  <r>
    <s v="Guest 188"/>
    <s v="Guest188@gmail.com"/>
    <x v="4"/>
    <d v="2020-08-04T00:00:00"/>
    <d v="2020-08-07T00:00:00"/>
    <d v="2020-07-06T00:00:00"/>
    <d v="1899-12-30T08:00:00"/>
    <d v="1899-12-31T00:00:00"/>
    <s v="tokeet"/>
    <x v="1"/>
    <n v="7"/>
    <n v="0"/>
    <s v="GBP"/>
    <n v="465"/>
    <n v="7"/>
    <n v="3"/>
  </r>
  <r>
    <s v="Guest 560"/>
    <s v="Guest560@gmail.com"/>
    <x v="6"/>
    <d v="2020-08-05T00:00:00"/>
    <d v="2020-08-07T00:00:00"/>
    <d v="2020-08-01T00:00:00"/>
    <d v="1899-12-30T14:00:00"/>
    <d v="1899-12-30T11:00:00"/>
    <s v="tokeet"/>
    <x v="1"/>
    <n v="4"/>
    <n v="0"/>
    <s v="GBP"/>
    <n v="220"/>
    <n v="4"/>
    <n v="2"/>
  </r>
  <r>
    <s v="Guest 560"/>
    <s v="Guest560@gmail.com"/>
    <x v="2"/>
    <d v="2020-08-05T00:00:00"/>
    <d v="2020-08-07T00:00:00"/>
    <d v="2020-07-31T00:00:00"/>
    <d v="1899-12-30T08:00:00"/>
    <d v="1899-12-31T00:00:00"/>
    <s v="tokeet"/>
    <x v="0"/>
    <n v="4"/>
    <n v="0"/>
    <s v="GBP"/>
    <n v="220"/>
    <n v="4"/>
    <n v="2"/>
  </r>
  <r>
    <s v="Guest 277"/>
    <s v="Guest277@yahoo.com"/>
    <x v="2"/>
    <d v="2020-08-05T00:00:00"/>
    <d v="2020-08-06T00:00:00"/>
    <d v="2020-08-01T00:00:00"/>
    <d v="1899-12-30T08:00:00"/>
    <d v="1899-12-31T00:00:00"/>
    <s v="tokeet"/>
    <x v="1"/>
    <n v="6"/>
    <n v="0"/>
    <s v="GBP"/>
    <n v="110"/>
    <n v="6"/>
    <n v="1"/>
  </r>
  <r>
    <s v="Guest 68"/>
    <s v="Guest68@airbnb.com"/>
    <x v="2"/>
    <d v="2020-08-06T00:00:00"/>
    <d v="2020-08-15T00:00:00"/>
    <d v="2020-07-05T00:00:00"/>
    <d v="1899-12-30T08:00:00"/>
    <d v="1899-12-31T00:00:00"/>
    <s v="airbnb"/>
    <x v="0"/>
    <n v="1"/>
    <n v="0"/>
    <s v="GBP"/>
    <n v="1101"/>
    <n v="1"/>
    <n v="9"/>
  </r>
  <r>
    <s v="Guest 508"/>
    <s v="Guest508@gmail.com"/>
    <x v="3"/>
    <d v="2020-08-06T00:00:00"/>
    <d v="2020-08-08T00:00:00"/>
    <d v="2020-07-29T00:00:00"/>
    <d v="1899-12-30T08:00:00"/>
    <d v="1899-12-31T00:00:00"/>
    <s v="tokeet"/>
    <x v="0"/>
    <n v="5"/>
    <n v="0"/>
    <s v="GBP"/>
    <n v="220"/>
    <n v="5"/>
    <n v="2"/>
  </r>
  <r>
    <s v="Guest 452"/>
    <s v="Guest452@gmail.com"/>
    <x v="1"/>
    <d v="2020-08-06T00:00:00"/>
    <d v="2020-08-07T00:00:00"/>
    <d v="2020-08-05T00:00:00"/>
    <d v="1899-12-30T14:00:00"/>
    <d v="1899-12-30T11:00:00"/>
    <s v="tokeet"/>
    <x v="0"/>
    <n v="4"/>
    <n v="0"/>
    <s v="GBP"/>
    <n v="110"/>
    <n v="4"/>
    <n v="1"/>
  </r>
  <r>
    <s v="Guest 452"/>
    <s v="Guest452@gmail.com"/>
    <x v="2"/>
    <d v="2020-08-06T00:00:00"/>
    <d v="2020-08-07T00:00:00"/>
    <d v="2020-08-05T00:00:00"/>
    <d v="1899-12-30T08:00:00"/>
    <d v="1899-12-31T00:00:00"/>
    <s v="tokeet"/>
    <x v="0"/>
    <n v="4"/>
    <n v="0"/>
    <s v="GBP"/>
    <n v="110"/>
    <n v="4"/>
    <n v="1"/>
  </r>
  <r>
    <s v="Guest 50"/>
    <s v="Guest50@gmail%2Ecom"/>
    <x v="3"/>
    <d v="2020-08-06T00:00:00"/>
    <d v="2020-08-07T00:00:00"/>
    <d v="2020-08-02T00:00:00"/>
    <d v="1899-12-30T08:00:00"/>
    <d v="1899-12-31T00:00:00"/>
    <s v="tokeet"/>
    <x v="0"/>
    <n v="5"/>
    <n v="0"/>
    <s v="GBP"/>
    <n v="220"/>
    <n v="5"/>
    <n v="1"/>
  </r>
  <r>
    <s v="Guest 452"/>
    <s v="Guest452@gmail.com"/>
    <x v="3"/>
    <d v="2020-08-06T00:00:00"/>
    <d v="2020-08-07T00:00:00"/>
    <d v="2020-08-06T00:00:00"/>
    <d v="1899-12-30T08:00:00"/>
    <d v="1899-12-31T00:00:00"/>
    <s v="tokeet"/>
    <x v="1"/>
    <n v="4"/>
    <n v="0"/>
    <s v="GBP"/>
    <n v="110"/>
    <n v="4"/>
    <n v="1"/>
  </r>
  <r>
    <s v="Guest 295"/>
    <s v="Guest295@gmail.com"/>
    <x v="2"/>
    <d v="2020-08-06T00:00:00"/>
    <d v="2020-08-07T00:00:00"/>
    <d v="2020-08-06T00:00:00"/>
    <d v="1899-12-30T08:00:00"/>
    <d v="1899-12-31T00:00:00"/>
    <s v="tokeet"/>
    <x v="1"/>
    <n v="5"/>
    <n v="0"/>
    <s v="GBP"/>
    <n v="110"/>
    <n v="5"/>
    <n v="1"/>
  </r>
  <r>
    <s v="Guest 72"/>
    <s v="Guest72@gmail%2Ecom"/>
    <x v="2"/>
    <d v="2020-08-07T00:00:00"/>
    <d v="2020-08-09T00:00:00"/>
    <d v="2020-07-14T00:00:00"/>
    <d v="1899-12-30T08:00:00"/>
    <d v="1899-12-31T00:00:00"/>
    <s v="tokeet"/>
    <x v="1"/>
    <n v="1"/>
    <n v="0"/>
    <s v="GBP"/>
    <n v="103"/>
    <n v="1"/>
    <n v="2"/>
  </r>
  <r>
    <s v="Guest 201"/>
    <s v="Guest201@gmail.com"/>
    <x v="4"/>
    <d v="2020-08-07T00:00:00"/>
    <d v="2020-08-08T00:00:00"/>
    <d v="2020-07-14T00:00:00"/>
    <d v="1899-12-30T08:00:00"/>
    <d v="1899-12-31T00:00:00"/>
    <s v="tokeet"/>
    <x v="0"/>
    <n v="6"/>
    <n v="0"/>
    <s v="GBP"/>
    <n v="135"/>
    <n v="6"/>
    <n v="1"/>
  </r>
  <r>
    <s v="Guest 282"/>
    <s v="Guest282@yahoo.com"/>
    <x v="6"/>
    <d v="2020-08-07T00:00:00"/>
    <d v="2020-08-09T00:00:00"/>
    <d v="2020-07-27T00:00:00"/>
    <d v="1899-12-30T14:00:00"/>
    <d v="1899-12-30T11:00:00"/>
    <s v="tokeet"/>
    <x v="0"/>
    <n v="4"/>
    <n v="0"/>
    <s v="GBP"/>
    <n v="220"/>
    <n v="4"/>
    <n v="2"/>
  </r>
  <r>
    <s v="Guest 201"/>
    <s v="Guest201@gmail.com"/>
    <x v="6"/>
    <d v="2020-08-07T00:00:00"/>
    <d v="2020-08-08T00:00:00"/>
    <d v="2020-08-02T00:00:00"/>
    <d v="1899-12-30T14:00:00"/>
    <d v="1899-12-30T11:00:00"/>
    <s v="tokeet"/>
    <x v="1"/>
    <n v="4"/>
    <n v="0"/>
    <s v="GBP"/>
    <n v="110"/>
    <n v="4"/>
    <n v="1"/>
  </r>
  <r>
    <s v="Guest 50"/>
    <s v="Guest50@gmail%2Ecom"/>
    <x v="3"/>
    <d v="2020-08-07T00:00:00"/>
    <d v="2020-08-08T00:00:00"/>
    <d v="2020-08-06T00:00:00"/>
    <d v="1899-12-30T08:00:00"/>
    <d v="1899-12-31T00:00:00"/>
    <s v="tokeet"/>
    <x v="0"/>
    <n v="5"/>
    <n v="0"/>
    <s v="GBP"/>
    <n v="110"/>
    <n v="5"/>
    <n v="1"/>
  </r>
  <r>
    <s v="Guest 507"/>
    <s v="Guest507@gmail.com"/>
    <x v="3"/>
    <d v="2020-08-07T00:00:00"/>
    <d v="2020-08-08T00:00:00"/>
    <d v="2020-08-08T00:00:00"/>
    <d v="1899-12-30T08:00:00"/>
    <d v="1899-12-31T00:00:00"/>
    <s v="tokeet"/>
    <x v="1"/>
    <n v="5"/>
    <n v="0"/>
    <s v="GBP"/>
    <n v="110"/>
    <n v="5"/>
    <n v="1"/>
  </r>
  <r>
    <s v="Guest 119"/>
    <s v="Guest119@gmail.com"/>
    <x v="3"/>
    <d v="2020-08-08T00:00:00"/>
    <d v="2020-08-09T00:00:00"/>
    <d v="2020-07-15T00:00:00"/>
    <d v="1899-12-30T08:00:00"/>
    <d v="1899-12-31T00:00:00"/>
    <s v="tokeet"/>
    <x v="1"/>
    <n v="6"/>
    <n v="0"/>
    <s v="GBP"/>
    <n v="110"/>
    <n v="6"/>
    <n v="1"/>
  </r>
  <r>
    <s v="Guest 119"/>
    <s v="Guest119@gmail.com"/>
    <x v="6"/>
    <d v="2020-08-08T00:00:00"/>
    <d v="2020-08-09T00:00:00"/>
    <d v="2020-07-15T00:00:00"/>
    <d v="1899-12-30T14:00:00"/>
    <d v="1899-12-30T11:00:00"/>
    <s v="tokeet"/>
    <x v="0"/>
    <n v="6"/>
    <n v="0"/>
    <s v="GBP"/>
    <n v="135"/>
    <n v="6"/>
    <n v="1"/>
  </r>
  <r>
    <s v="Guest 119"/>
    <s v="Guest119@gmail.com"/>
    <x v="1"/>
    <d v="2020-08-08T00:00:00"/>
    <d v="2020-08-09T00:00:00"/>
    <d v="2020-07-15T00:00:00"/>
    <d v="1899-12-30T14:00:00"/>
    <d v="1899-12-30T11:00:00"/>
    <s v="tokeet"/>
    <x v="0"/>
    <n v="6"/>
    <n v="0"/>
    <s v="GBP"/>
    <n v="135"/>
    <n v="6"/>
    <n v="1"/>
  </r>
  <r>
    <s v="Guest 232"/>
    <s v="Guest232@gmail.com"/>
    <x v="1"/>
    <d v="2020-08-08T00:00:00"/>
    <d v="2020-08-09T00:00:00"/>
    <d v="2020-07-15T00:00:00"/>
    <d v="1899-12-30T14:00:00"/>
    <d v="1899-12-30T11:00:00"/>
    <s v="tokeet"/>
    <x v="0"/>
    <n v="2"/>
    <n v="0"/>
    <s v="GBP"/>
    <n v="135"/>
    <n v="2"/>
    <n v="1"/>
  </r>
  <r>
    <s v="Guest 192"/>
    <s v="Guest192@yahoo.com"/>
    <x v="6"/>
    <d v="2020-08-08T00:00:00"/>
    <d v="2020-08-09T00:00:00"/>
    <d v="2020-07-28T00:00:00"/>
    <d v="1899-12-30T14:00:00"/>
    <d v="1899-12-30T11:00:00"/>
    <s v="tokeet"/>
    <x v="1"/>
    <n v="4"/>
    <n v="0"/>
    <s v="GBP"/>
    <n v="110"/>
    <n v="4"/>
    <n v="1"/>
  </r>
  <r>
    <s v="Guest 508"/>
    <s v="Guest508@gmail.com"/>
    <x v="1"/>
    <d v="2020-08-08T00:00:00"/>
    <d v="2020-08-10T00:00:00"/>
    <d v="2020-08-02T00:00:00"/>
    <d v="1899-12-30T14:00:00"/>
    <d v="1899-12-30T11:00:00"/>
    <s v="tokeet"/>
    <x v="1"/>
    <n v="6"/>
    <n v="0"/>
    <s v="GBP"/>
    <n v="220"/>
    <n v="6"/>
    <n v="2"/>
  </r>
  <r>
    <s v="Guest 371"/>
    <s v="Guest371@gmail.com"/>
    <x v="2"/>
    <d v="2020-08-09T00:00:00"/>
    <d v="2020-08-10T00:00:00"/>
    <d v="2020-07-20T00:00:00"/>
    <d v="1899-12-30T08:00:00"/>
    <d v="1899-12-31T00:00:00"/>
    <s v="tokeet"/>
    <x v="1"/>
    <n v="6"/>
    <n v="0"/>
    <s v="GBP"/>
    <n v="110"/>
    <n v="6"/>
    <n v="1"/>
  </r>
  <r>
    <s v="Guest 385"/>
    <s v="Guest385@gmail.com"/>
    <x v="6"/>
    <d v="2020-08-09T00:00:00"/>
    <d v="2020-08-10T00:00:00"/>
    <d v="2020-07-29T00:00:00"/>
    <d v="1899-12-30T14:00:00"/>
    <d v="1899-12-30T11:00:00"/>
    <s v="tokeet"/>
    <x v="1"/>
    <n v="4"/>
    <n v="0"/>
    <s v="GBP"/>
    <n v="110"/>
    <n v="4"/>
    <n v="1"/>
  </r>
  <r>
    <s v="Guest 496"/>
    <s v="Guest496@airbnb.com"/>
    <x v="1"/>
    <d v="2020-08-09T00:00:00"/>
    <d v="2020-08-15T00:00:00"/>
    <d v="2020-07-31T00:00:00"/>
    <d v="1899-12-30T14:00:00"/>
    <d v="1899-12-30T11:00:00"/>
    <s v="airbnb"/>
    <x v="0"/>
    <n v="1"/>
    <n v="0"/>
    <s v="GBP"/>
    <n v="637"/>
    <n v="1"/>
    <n v="6"/>
  </r>
  <r>
    <s v="Guest 421"/>
    <s v="Guest421@hotmail.com"/>
    <x v="3"/>
    <d v="2020-08-09T00:00:00"/>
    <d v="2020-08-10T00:00:00"/>
    <d v="2020-08-03T00:00:00"/>
    <d v="1899-12-30T08:00:00"/>
    <d v="1899-12-31T00:00:00"/>
    <s v="tokeet"/>
    <x v="1"/>
    <n v="5"/>
    <n v="0"/>
    <s v="GBP"/>
    <n v="110"/>
    <n v="5"/>
    <n v="1"/>
  </r>
  <r>
    <s v="Guest 182"/>
    <s v="Guest182@gmail.com"/>
    <x v="6"/>
    <d v="2020-08-10T00:00:00"/>
    <d v="2020-08-11T00:00:00"/>
    <d v="2020-08-06T00:00:00"/>
    <d v="1899-12-30T14:00:00"/>
    <d v="1899-12-30T11:00:00"/>
    <s v="tokeet"/>
    <x v="1"/>
    <n v="6"/>
    <n v="0"/>
    <s v="GBP"/>
    <n v="110"/>
    <n v="6"/>
    <n v="1"/>
  </r>
  <r>
    <s v="Guest 29"/>
    <s v="Guest29@gmail.com"/>
    <x v="1"/>
    <d v="2020-08-10T00:00:00"/>
    <d v="2020-08-11T00:00:00"/>
    <d v="2020-08-06T00:00:00"/>
    <d v="1899-12-30T14:00:00"/>
    <d v="1899-12-30T11:00:00"/>
    <s v="tokeet"/>
    <x v="1"/>
    <n v="6"/>
    <n v="0"/>
    <s v="GBP"/>
    <n v="131.62"/>
    <n v="6"/>
    <n v="1"/>
  </r>
  <r>
    <s v="Guest 1"/>
    <s v="Guest1@gmail%2Ecom"/>
    <x v="3"/>
    <d v="2020-08-10T00:00:00"/>
    <d v="2020-08-11T00:00:00"/>
    <d v="2020-08-04T00:00:00"/>
    <d v="1899-12-30T08:00:00"/>
    <d v="1899-12-31T00:00:00"/>
    <s v="tokeet"/>
    <x v="1"/>
    <n v="6"/>
    <n v="0"/>
    <s v="GBP"/>
    <n v="110"/>
    <n v="6"/>
    <n v="1"/>
  </r>
  <r>
    <s v="Guest 103"/>
    <s v="Guest103@gmail%2Ecom"/>
    <x v="2"/>
    <d v="2020-08-10T00:00:00"/>
    <d v="2020-08-11T00:00:00"/>
    <d v="2020-08-07T00:00:00"/>
    <d v="1899-12-30T08:00:00"/>
    <d v="1899-12-31T00:00:00"/>
    <s v="tokeet"/>
    <x v="1"/>
    <n v="4"/>
    <n v="0"/>
    <s v="GBP"/>
    <n v="110"/>
    <n v="4"/>
    <n v="1"/>
  </r>
  <r>
    <s v="Guest 274"/>
    <s v="Guest274@airbnb.com"/>
    <x v="2"/>
    <d v="2020-08-11T00:00:00"/>
    <d v="2020-08-14T00:00:00"/>
    <d v="2020-07-24T00:00:00"/>
    <d v="1899-12-30T08:00:00"/>
    <d v="1899-12-31T00:00:00"/>
    <s v="tokeet"/>
    <x v="1"/>
    <n v="3"/>
    <n v="0"/>
    <s v="GBP"/>
    <n v="330"/>
    <n v="3"/>
    <n v="3"/>
  </r>
  <r>
    <s v="Guest 452"/>
    <s v="Guest452@gmail.com"/>
    <x v="4"/>
    <d v="2020-08-11T00:00:00"/>
    <d v="2020-08-12T00:00:00"/>
    <d v="2020-08-05T00:00:00"/>
    <d v="1899-12-30T08:00:00"/>
    <d v="1899-12-31T00:00:00"/>
    <s v="tokeet"/>
    <x v="1"/>
    <n v="4"/>
    <n v="0"/>
    <s v="GBP"/>
    <n v="110"/>
    <n v="4"/>
    <n v="1"/>
  </r>
  <r>
    <s v="Guest 114"/>
    <s v="Guest114@yahoo.com"/>
    <x v="1"/>
    <d v="2020-08-11T00:00:00"/>
    <d v="2020-08-13T00:00:00"/>
    <d v="2020-08-07T00:00:00"/>
    <d v="1899-12-30T14:00:00"/>
    <d v="1899-12-30T11:00:00"/>
    <s v="tokeet"/>
    <x v="0"/>
    <n v="3"/>
    <n v="0"/>
    <s v="GBP"/>
    <n v="220"/>
    <n v="3"/>
    <n v="2"/>
  </r>
  <r>
    <s v="Guest 425"/>
    <s v="Guest425@gmail.com"/>
    <x v="1"/>
    <d v="2020-08-11T00:00:00"/>
    <d v="2020-08-12T00:00:00"/>
    <d v="2020-08-07T00:00:00"/>
    <d v="1899-12-30T14:00:00"/>
    <d v="1899-12-30T11:00:00"/>
    <s v="tokeet"/>
    <x v="1"/>
    <n v="2"/>
    <n v="0"/>
    <s v="GBP"/>
    <n v="110"/>
    <n v="2"/>
    <n v="1"/>
  </r>
  <r>
    <s v="Guest 103"/>
    <s v="Guest103@gmail%2Ecom"/>
    <x v="6"/>
    <d v="2020-08-11T00:00:00"/>
    <d v="2020-08-12T00:00:00"/>
    <d v="2020-08-11T00:00:00"/>
    <d v="1899-12-30T14:00:00"/>
    <d v="1899-12-30T11:00:00"/>
    <s v="tokeet"/>
    <x v="1"/>
    <n v="4"/>
    <n v="0"/>
    <s v="GBP"/>
    <n v="110"/>
    <n v="4"/>
    <n v="1"/>
  </r>
  <r>
    <s v="Guest 537"/>
    <s v="Guest537@gmail.com"/>
    <x v="3"/>
    <d v="2020-08-11T00:00:00"/>
    <d v="2020-08-12T00:00:00"/>
    <d v="2020-08-11T00:00:00"/>
    <d v="1899-12-30T08:00:00"/>
    <d v="1899-12-31T00:00:00"/>
    <s v="tokeet"/>
    <x v="1"/>
    <n v="4"/>
    <n v="0"/>
    <s v="GBP"/>
    <n v="110"/>
    <n v="4"/>
    <n v="1"/>
  </r>
  <r>
    <s v="Guest 398"/>
    <s v="Guest398@gmail.com"/>
    <x v="3"/>
    <d v="2020-08-12T00:00:00"/>
    <d v="2020-08-15T00:00:00"/>
    <d v="2020-08-05T00:00:00"/>
    <d v="1899-12-30T08:00:00"/>
    <d v="1899-12-31T00:00:00"/>
    <s v="tokeet"/>
    <x v="1"/>
    <n v="6"/>
    <n v="0"/>
    <s v="GBP"/>
    <n v="330"/>
    <n v="6"/>
    <n v="3"/>
  </r>
  <r>
    <s v="Guest 497"/>
    <s v="Guest497@yahoo.com"/>
    <x v="4"/>
    <d v="2020-08-12T00:00:00"/>
    <d v="2020-08-15T00:00:00"/>
    <d v="2020-08-05T00:00:00"/>
    <d v="1899-12-30T08:00:00"/>
    <d v="1899-12-31T00:00:00"/>
    <s v="tokeet"/>
    <x v="0"/>
    <n v="8"/>
    <n v="0"/>
    <s v="GBP"/>
    <n v="450"/>
    <n v="8"/>
    <n v="3"/>
  </r>
  <r>
    <s v="Guest 113"/>
    <s v="Guest113@gmail.com"/>
    <x v="6"/>
    <d v="2020-08-12T00:00:00"/>
    <d v="2020-08-13T00:00:00"/>
    <d v="2020-08-06T00:00:00"/>
    <d v="1899-12-30T14:00:00"/>
    <d v="1899-12-30T11:00:00"/>
    <s v="tokeet"/>
    <x v="0"/>
    <n v="6"/>
    <n v="0"/>
    <s v="GBP"/>
    <n v="131"/>
    <n v="6"/>
    <n v="1"/>
  </r>
  <r>
    <s v="Guest 134"/>
    <s v="Guest134@yahoo.com"/>
    <x v="6"/>
    <d v="2020-08-12T00:00:00"/>
    <d v="2020-08-14T00:00:00"/>
    <d v="2020-08-10T00:00:00"/>
    <d v="1899-12-30T14:00:00"/>
    <d v="1899-12-30T11:00:00"/>
    <s v="tokeet"/>
    <x v="1"/>
    <n v="5"/>
    <n v="0"/>
    <s v="GBP"/>
    <n v="220"/>
    <n v="5"/>
    <n v="2"/>
  </r>
  <r>
    <s v="Guest 537"/>
    <s v="Guest537@gmail.com"/>
    <x v="4"/>
    <d v="2020-08-12T00:00:00"/>
    <d v="2020-08-13T00:00:00"/>
    <d v="2020-08-10T00:00:00"/>
    <d v="1899-12-30T08:00:00"/>
    <d v="1899-12-31T00:00:00"/>
    <s v="tokeet"/>
    <x v="1"/>
    <n v="4"/>
    <n v="0"/>
    <s v="GBP"/>
    <n v="110"/>
    <n v="4"/>
    <n v="1"/>
  </r>
  <r>
    <s v="Guest 343"/>
    <s v="Guest343@gmail%2Ecom"/>
    <x v="1"/>
    <d v="2020-08-12T00:00:00"/>
    <d v="2020-08-13T00:00:00"/>
    <d v="2020-08-09T00:00:00"/>
    <d v="1899-12-30T14:00:00"/>
    <d v="1899-12-30T11:00:00"/>
    <s v="tokeet"/>
    <x v="1"/>
    <n v="5"/>
    <n v="0"/>
    <s v="GBP"/>
    <n v="110"/>
    <n v="5"/>
    <n v="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39"/>
    <s v="Guest39@sdf.fsd"/>
    <x v="4"/>
    <d v="2020-08-12T00:00:00"/>
    <d v="2020-09-12T00:00:00"/>
    <d v="2020-10-22T00:00:00"/>
    <d v="1899-12-30T12:00:00"/>
    <d v="1899-12-30T14:00:00"/>
    <s v="tokeet"/>
    <x v="0"/>
    <n v="1"/>
    <n v="0"/>
    <s v="GBP"/>
    <n v="75000"/>
    <n v="1"/>
    <n v="31"/>
  </r>
  <r>
    <s v="Guest 151"/>
    <s v="Guest151@careerinsights.tv"/>
    <x v="4"/>
    <d v="2020-08-12T00:00:00"/>
    <d v="2020-09-12T00:00:00"/>
    <d v="2020-10-28T00:00:00"/>
    <d v="1899-12-30T12:00:00"/>
    <d v="1899-12-30T14:00:00"/>
    <s v="tokeet"/>
    <x v="0"/>
    <n v="1"/>
    <n v="0"/>
    <s v="GBP"/>
    <n v="75000"/>
    <n v="1"/>
    <n v="31"/>
  </r>
  <r>
    <s v="Guest 187"/>
    <s v="Guest187@gmail.com"/>
    <x v="1"/>
    <d v="2020-08-13T00:00:00"/>
    <d v="2020-08-15T00:00:00"/>
    <d v="2020-07-31T00:00:00"/>
    <d v="1899-12-30T14:00:00"/>
    <d v="1899-12-30T11:00:00"/>
    <s v="tokeet"/>
    <x v="1"/>
    <n v="6"/>
    <n v="2"/>
    <s v="GBP"/>
    <n v="300"/>
    <n v="8"/>
    <n v="2"/>
  </r>
  <r>
    <s v="Guest 343"/>
    <s v="Guest343@gmail%2Ecom"/>
    <x v="4"/>
    <d v="2020-08-13T00:00:00"/>
    <d v="2020-08-15T00:00:00"/>
    <d v="2020-08-10T00:00:00"/>
    <d v="1899-12-30T08:00:00"/>
    <d v="1899-12-31T00:00:00"/>
    <s v="tokeet"/>
    <x v="0"/>
    <n v="4"/>
    <n v="0"/>
    <s v="GBP"/>
    <n v="220"/>
    <n v="4"/>
    <n v="2"/>
  </r>
  <r>
    <s v="Guest 452"/>
    <s v="Guest452@gmail.com"/>
    <x v="4"/>
    <d v="2020-08-13T00:00:00"/>
    <d v="2020-08-14T00:00:00"/>
    <d v="2020-08-12T00:00:00"/>
    <d v="1899-12-30T08:00:00"/>
    <d v="1899-12-31T00:00:00"/>
    <s v="tokeet"/>
    <x v="1"/>
    <n v="5"/>
    <n v="0"/>
    <s v="GBP"/>
    <n v="110"/>
    <n v="5"/>
    <n v="1"/>
  </r>
  <r>
    <s v="Guest 303"/>
    <s v="Guest303@gmail.com"/>
    <x v="6"/>
    <d v="2020-08-14T00:00:00"/>
    <d v="2020-08-16T00:00:00"/>
    <d v="2020-07-28T00:00:00"/>
    <d v="1899-12-30T14:00:00"/>
    <d v="1899-12-30T11:00:00"/>
    <s v="tokeet"/>
    <x v="1"/>
    <n v="5"/>
    <n v="0"/>
    <s v="GBP"/>
    <n v="220"/>
    <n v="5"/>
    <n v="2"/>
  </r>
  <r>
    <s v="Guest 201"/>
    <s v="Guest201@gmail.com"/>
    <x v="4"/>
    <d v="2020-08-14T00:00:00"/>
    <d v="2020-08-15T00:00:00"/>
    <d v="2020-07-14T00:00:00"/>
    <d v="1899-12-30T08:00:00"/>
    <d v="1899-12-31T00:00:00"/>
    <s v="tokeet"/>
    <x v="0"/>
    <n v="7"/>
    <n v="0"/>
    <s v="GBP"/>
    <n v="155"/>
    <n v="7"/>
    <n v="1"/>
  </r>
  <r>
    <s v="Guest 380"/>
    <s v="Guest380@gmail.com"/>
    <x v="4"/>
    <d v="2020-08-14T00:00:00"/>
    <d v="2020-08-15T00:00:00"/>
    <d v="2020-08-10T00:00:00"/>
    <d v="1899-12-30T08:00:00"/>
    <d v="1899-12-31T00:00:00"/>
    <s v="tokeet"/>
    <x v="1"/>
    <n v="5"/>
    <n v="0"/>
    <s v="GBP"/>
    <n v="110"/>
    <n v="5"/>
    <n v="1"/>
  </r>
  <r>
    <s v="Guest 405"/>
    <s v="Guest405@gmail.com"/>
    <x v="4"/>
    <d v="2020-08-15T00:00:00"/>
    <d v="2020-08-17T00:00:00"/>
    <d v="2020-07-07T00:00:00"/>
    <d v="1899-12-30T08:00:00"/>
    <d v="1899-12-31T00:00:00"/>
    <s v="tokeet"/>
    <x v="0"/>
    <n v="3"/>
    <n v="0"/>
    <s v="GBP"/>
    <n v="270"/>
    <n v="3"/>
    <n v="2"/>
  </r>
  <r>
    <s v="Guest 450"/>
    <s v="Guest450@gmail.com"/>
    <x v="4"/>
    <d v="2020-08-15T00:00:00"/>
    <d v="2020-08-17T00:00:00"/>
    <d v="2020-07-09T00:00:00"/>
    <d v="1899-12-30T08:00:00"/>
    <d v="1899-12-31T00:00:00"/>
    <s v="tokeet"/>
    <x v="1"/>
    <n v="4"/>
    <n v="0"/>
    <s v="GBP"/>
    <n v="270"/>
    <n v="4"/>
    <n v="2"/>
  </r>
  <r>
    <s v="Guest 11"/>
    <s v="Guest11@encry.com"/>
    <x v="1"/>
    <d v="2020-08-15T00:00:00"/>
    <d v="2020-08-16T00:00:00"/>
    <d v="2020-07-09T00:00:00"/>
    <d v="1899-12-30T08:00:00"/>
    <d v="1899-12-31T00:00:00"/>
    <s v="tokeet"/>
    <x v="0"/>
    <n v="6"/>
    <n v="0"/>
    <s v="GBP"/>
    <n v="135"/>
    <n v="6"/>
    <n v="1"/>
  </r>
  <r>
    <s v="Guest 199"/>
    <s v="Guest199@encry.com"/>
    <x v="1"/>
    <d v="2020-08-15T00:00:00"/>
    <d v="2020-08-16T00:00:00"/>
    <d v="2020-07-10T00:00:00"/>
    <d v="1899-12-30T08:00:00"/>
    <d v="1899-12-31T00:00:00"/>
    <s v="tokeet"/>
    <x v="1"/>
    <n v="6"/>
    <n v="0"/>
    <s v="GBP"/>
    <n v="135"/>
    <n v="6"/>
    <n v="1"/>
  </r>
  <r>
    <s v="Guest 562"/>
    <s v="Guest562@"/>
    <x v="2"/>
    <d v="2020-08-15T00:00:00"/>
    <d v="2020-08-20T00:00:00"/>
    <d v="2020-03-15T00:00:00"/>
    <d v="1899-12-30T08:00:00"/>
    <d v="1899-12-31T00:00:00"/>
    <s v="Agoda.com"/>
    <x v="0"/>
    <n v="2"/>
    <n v="3"/>
    <s v="GBP"/>
    <n v="536"/>
    <n v="5"/>
    <n v="5"/>
  </r>
  <r>
    <s v="Guest 405"/>
    <s v="Guest405@gmail.com"/>
    <x v="3"/>
    <d v="2020-08-15T00:00:00"/>
    <d v="2020-08-17T00:00:00"/>
    <d v="2020-07-08T00:00:00"/>
    <d v="1899-12-30T08:00:00"/>
    <d v="1899-12-31T00:00:00"/>
    <s v="tokeet"/>
    <x v="1"/>
    <n v="5"/>
    <n v="0"/>
    <s v="GBP"/>
    <n v="220"/>
    <n v="5"/>
    <n v="2"/>
  </r>
  <r>
    <s v="Guest 63"/>
    <s v="Guest63@airbnb.com"/>
    <x v="2"/>
    <d v="2020-08-16T00:00:00"/>
    <d v="2020-08-20T00:00:00"/>
    <d v="2020-07-28T00:00:00"/>
    <d v="1899-12-30T08:00:00"/>
    <d v="1899-12-31T00:00:00"/>
    <s v="airbnb"/>
    <x v="0"/>
    <n v="1"/>
    <n v="0"/>
    <s v="GBP"/>
    <n v="521"/>
    <n v="1"/>
    <n v="4"/>
  </r>
  <r>
    <s v="Guest 247"/>
    <s v="Guest247@gmail.com"/>
    <x v="2"/>
    <d v="2020-08-16T00:00:00"/>
    <d v="2020-08-21T00:00:00"/>
    <d v="2020-07-29T00:00:00"/>
    <d v="1899-12-30T08:00:00"/>
    <d v="1899-12-31T00:00:00"/>
    <s v="tokeet"/>
    <x v="1"/>
    <n v="6"/>
    <n v="0"/>
    <s v="GBP"/>
    <n v="550"/>
    <n v="6"/>
    <n v="5"/>
  </r>
  <r>
    <s v="Guest 408"/>
    <s v="Guest408@yahoo.com"/>
    <x v="1"/>
    <d v="2020-08-16T00:00:00"/>
    <d v="2020-08-17T00:00:00"/>
    <d v="2020-08-07T00:00:00"/>
    <d v="1899-12-30T14:00:00"/>
    <d v="1899-12-30T11:00:00"/>
    <s v="tokeet"/>
    <x v="1"/>
    <n v="5"/>
    <n v="0"/>
    <s v="GBP"/>
    <n v="110"/>
    <n v="5"/>
    <n v="1"/>
  </r>
  <r>
    <s v="Guest 497"/>
    <s v="Guest497@yahoo.com"/>
    <x v="6"/>
    <d v="2020-08-16T00:00:00"/>
    <d v="2020-08-17T00:00:00"/>
    <d v="2020-08-12T00:00:00"/>
    <d v="1899-12-30T14:00:00"/>
    <d v="1899-12-30T11:00:00"/>
    <s v="tokeet"/>
    <x v="1"/>
    <n v="5"/>
    <n v="0"/>
    <s v="GBP"/>
    <n v="110"/>
    <n v="5"/>
    <n v="1"/>
  </r>
  <r>
    <s v="Guest 452"/>
    <s v="Guest452@gmail.com"/>
    <x v="4"/>
    <d v="2020-08-17T00:00:00"/>
    <d v="2020-08-22T00:00:00"/>
    <d v="2020-08-07T00:00:00"/>
    <d v="1899-12-30T08:00:00"/>
    <d v="1899-12-31T00:00:00"/>
    <s v="tokeet"/>
    <x v="1"/>
    <n v="4"/>
    <n v="0"/>
    <s v="GBP"/>
    <n v="550"/>
    <n v="4"/>
    <n v="5"/>
  </r>
  <r>
    <s v="Guest 41"/>
    <s v="Guest41@gmail.com"/>
    <x v="1"/>
    <d v="2020-08-17T00:00:00"/>
    <d v="2020-08-22T00:00:00"/>
    <d v="2020-08-13T00:00:00"/>
    <d v="1899-12-30T14:00:00"/>
    <d v="1899-12-30T11:00:00"/>
    <s v="tokeet"/>
    <x v="1"/>
    <n v="6"/>
    <n v="0"/>
    <s v="GBP"/>
    <n v="110"/>
    <n v="6"/>
    <n v="5"/>
  </r>
  <r>
    <s v="Guest 497"/>
    <s v="Guest497@yahoo.com"/>
    <x v="3"/>
    <d v="2020-08-17T00:00:00"/>
    <d v="2020-08-20T00:00:00"/>
    <d v="2020-08-12T00:00:00"/>
    <d v="1899-12-30T08:00:00"/>
    <d v="1899-12-31T00:00:00"/>
    <s v="tokeet"/>
    <x v="1"/>
    <n v="6"/>
    <n v="0"/>
    <s v="GBP"/>
    <n v="330"/>
    <n v="6"/>
    <n v="3"/>
  </r>
  <r>
    <s v="Guest 308"/>
    <s v="Guest308@guest.booking.com"/>
    <x v="3"/>
    <d v="2020-08-18T00:00:00"/>
    <d v="2020-09-02T00:00:00"/>
    <d v="2020-05-07T00:00:00"/>
    <d v="1899-12-30T08:00:00"/>
    <d v="1899-12-31T00:00:00"/>
    <s v="Booking.com"/>
    <x v="0"/>
    <n v="2"/>
    <n v="0"/>
    <s v="GBP"/>
    <n v="1917"/>
    <n v="2"/>
    <n v="15"/>
  </r>
  <r>
    <s v="Guest 343"/>
    <s v="Guest343@gmail%2Ecom"/>
    <x v="6"/>
    <d v="2020-08-18T00:00:00"/>
    <d v="2020-08-20T00:00:00"/>
    <d v="2020-06-16T00:00:00"/>
    <d v="1899-12-30T14:00:00"/>
    <d v="1899-12-30T11:00:00"/>
    <s v="tokeet"/>
    <x v="1"/>
    <n v="5"/>
    <n v="0"/>
    <s v="GBP"/>
    <n v="220"/>
    <n v="5"/>
    <n v="2"/>
  </r>
  <r>
    <s v="Guest 571"/>
    <s v="Guest571@airbnb.com"/>
    <x v="1"/>
    <d v="2020-08-19T00:00:00"/>
    <d v="2020-09-02T00:00:00"/>
    <d v="2020-06-08T00:00:00"/>
    <d v="1899-12-30T08:00:00"/>
    <d v="1899-12-31T00:00:00"/>
    <s v="airbnb"/>
    <x v="0"/>
    <n v="2"/>
    <n v="0"/>
    <s v="GBP"/>
    <n v="1440"/>
    <n v="2"/>
    <n v="14"/>
  </r>
  <r>
    <s v="Guest 497"/>
    <s v="Guest497@yahoo.com"/>
    <x v="3"/>
    <d v="2020-08-19T00:00:00"/>
    <d v="2020-08-20T00:00:00"/>
    <d v="2020-08-12T00:00:00"/>
    <d v="1899-12-30T08:00:00"/>
    <d v="1899-12-31T00:00:00"/>
    <s v="tokeet"/>
    <x v="0"/>
    <n v="5"/>
    <n v="0"/>
    <s v="GBP"/>
    <n v="110"/>
    <n v="5"/>
    <n v="1"/>
  </r>
  <r>
    <s v="Guest 66"/>
    <s v="Guest66@gmail%2Ecom"/>
    <x v="6"/>
    <d v="2020-08-20T00:00:00"/>
    <d v="2020-08-21T00:00:00"/>
    <d v="2020-08-12T00:00:00"/>
    <d v="1899-12-30T14:00:00"/>
    <d v="1899-12-30T11:00:00"/>
    <s v="tokeet"/>
    <x v="1"/>
    <n v="5"/>
    <n v="0"/>
    <s v="GBP"/>
    <n v="110"/>
    <n v="5"/>
    <n v="1"/>
  </r>
  <r>
    <s v="Guest 402"/>
    <s v="Guest402@gmail.com"/>
    <x v="3"/>
    <d v="2020-08-20T00:00:00"/>
    <d v="2020-08-21T00:00:00"/>
    <d v="2020-08-13T00:00:00"/>
    <d v="1899-12-30T08:00:00"/>
    <d v="1899-12-31T00:00:00"/>
    <s v="tokeet"/>
    <x v="1"/>
    <n v="5"/>
    <n v="0"/>
    <s v="GBP"/>
    <n v="110"/>
    <n v="5"/>
    <n v="1"/>
  </r>
  <r>
    <s v="Guest 171"/>
    <s v="Guest171@airbnb.com"/>
    <x v="2"/>
    <d v="2020-08-21T00:00:00"/>
    <d v="2020-08-24T00:00:00"/>
    <d v="2020-07-31T00:00:00"/>
    <d v="1899-12-30T08:00:00"/>
    <d v="1899-12-31T00:00:00"/>
    <s v="airbnb"/>
    <x v="0"/>
    <n v="6"/>
    <n v="0"/>
    <s v="GBP"/>
    <n v="318"/>
    <n v="6"/>
    <n v="3"/>
  </r>
  <r>
    <s v="Guest 339"/>
    <s v="Guest339@yahoo.co.uk"/>
    <x v="6"/>
    <d v="2020-08-21T00:00:00"/>
    <d v="2020-08-23T00:00:00"/>
    <d v="2020-08-09T00:00:00"/>
    <d v="1899-12-30T14:00:00"/>
    <d v="1899-12-30T11:00:00"/>
    <s v="tokeet"/>
    <x v="1"/>
    <n v="4"/>
    <n v="0"/>
    <s v="GBP"/>
    <n v="220"/>
    <n v="4"/>
    <n v="2"/>
  </r>
  <r>
    <s v="Guest 14"/>
    <s v="Guest14@guest.airbnb.com"/>
    <x v="3"/>
    <d v="2020-08-21T00:00:00"/>
    <d v="2020-08-24T00:00:00"/>
    <d v="2020-08-13T00:00:00"/>
    <d v="1899-12-30T08:00:00"/>
    <d v="1899-12-31T00:00:00"/>
    <s v="tokeet"/>
    <x v="0"/>
    <n v="6"/>
    <n v="0"/>
    <s v="GBP"/>
    <n v="330"/>
    <n v="6"/>
    <n v="3"/>
  </r>
  <r>
    <s v="Guest 433"/>
    <s v="Guest433@gmail.com"/>
    <x v="3"/>
    <d v="2020-08-21T00:00:00"/>
    <d v="2020-08-22T00:00:00"/>
    <d v="2020-08-18T00:00:00"/>
    <d v="1899-12-30T08:00:00"/>
    <d v="1899-12-31T00:00:00"/>
    <s v="tokeet"/>
    <x v="1"/>
    <n v="2"/>
    <n v="0"/>
    <s v="GBP"/>
    <n v="110"/>
    <n v="2"/>
    <n v="1"/>
  </r>
  <r>
    <s v="Guest 351"/>
    <s v="Guest351@gmail.com"/>
    <x v="2"/>
    <d v="2020-08-21T00:00:00"/>
    <d v="2020-08-25T00:00:00"/>
    <d v="2020-08-01T00:00:00"/>
    <d v="1899-12-30T08:00:00"/>
    <d v="1899-12-31T00:00:00"/>
    <s v="tokeet"/>
    <x v="1"/>
    <n v="4"/>
    <n v="3"/>
    <s v="GBP"/>
    <n v="520"/>
    <n v="7"/>
    <n v="4"/>
  </r>
  <r>
    <s v="Guest 510"/>
    <s v="Guest510@yahoo.com"/>
    <x v="5"/>
    <d v="2020-08-21T00:00:00"/>
    <d v="2020-09-20T00:00:00"/>
    <d v="2020-08-23T00:00:00"/>
    <d v="1899-12-30T14:00:00"/>
    <d v="1899-12-30T11:00:00"/>
    <s v="tokeet"/>
    <x v="1"/>
    <n v="1"/>
    <n v="0"/>
    <s v="GBP"/>
    <n v="4031.25"/>
    <n v="1"/>
    <n v="30"/>
  </r>
  <r>
    <s v="Guest 389"/>
    <s v="Guest389@yahoo%2Ecom"/>
    <x v="4"/>
    <d v="2020-08-22T00:00:00"/>
    <d v="2020-08-23T00:00:00"/>
    <d v="2020-07-09T00:00:00"/>
    <d v="1899-12-30T08:00:00"/>
    <d v="1899-12-31T00:00:00"/>
    <s v="tokeet"/>
    <x v="0"/>
    <n v="5"/>
    <n v="0"/>
    <s v="GBP"/>
    <n v="135"/>
    <n v="5"/>
    <n v="1"/>
  </r>
  <r>
    <s v="Guest 57"/>
    <s v="Guest57@gmail.com"/>
    <x v="4"/>
    <d v="2020-08-22T00:00:00"/>
    <d v="2020-08-23T00:00:00"/>
    <d v="2020-07-29T00:00:00"/>
    <d v="1899-12-30T08:00:00"/>
    <d v="1899-12-31T00:00:00"/>
    <s v="tokeet"/>
    <x v="1"/>
    <n v="2"/>
    <n v="0"/>
    <s v="GBP"/>
    <n v="110"/>
    <n v="2"/>
    <n v="1"/>
  </r>
  <r>
    <s v="Guest 172"/>
    <s v="Guest172@gmail.com"/>
    <x v="6"/>
    <d v="2020-08-22T00:00:00"/>
    <d v="2020-08-25T00:00:00"/>
    <d v="2020-08-01T00:00:00"/>
    <d v="1899-12-30T14:00:00"/>
    <d v="1899-12-30T11:00:00"/>
    <s v="tokeet"/>
    <x v="0"/>
    <n v="5"/>
    <n v="0"/>
    <s v="GBP"/>
    <n v="330"/>
    <n v="5"/>
    <n v="3"/>
  </r>
  <r>
    <s v="Guest 173"/>
    <s v="Guest173@gmail.com"/>
    <x v="6"/>
    <d v="2020-08-22T00:00:00"/>
    <d v="2020-08-23T00:00:00"/>
    <d v="2020-08-08T00:00:00"/>
    <d v="1899-12-30T14:00:00"/>
    <d v="1899-12-30T11:00:00"/>
    <s v="tokeet"/>
    <x v="0"/>
    <n v="1"/>
    <n v="0"/>
    <s v="GBP"/>
    <n v="110"/>
    <n v="1"/>
    <n v="1"/>
  </r>
  <r>
    <s v="Guest 389"/>
    <s v="Guest389@yahoo%2Ecom"/>
    <x v="1"/>
    <d v="2020-08-22T00:00:00"/>
    <d v="2020-08-23T00:00:00"/>
    <d v="2020-07-29T00:00:00"/>
    <d v="1899-12-30T14:00:00"/>
    <d v="1899-12-30T11:00:00"/>
    <s v="tokeet"/>
    <x v="1"/>
    <n v="2"/>
    <n v="0"/>
    <s v="GBP"/>
    <n v="110"/>
    <n v="2"/>
    <n v="1"/>
  </r>
  <r>
    <s v="Guest 554"/>
    <s v="Guest554@gmail.com"/>
    <x v="3"/>
    <d v="2020-08-22T00:00:00"/>
    <d v="2020-08-25T00:00:00"/>
    <d v="2020-08-17T00:00:00"/>
    <d v="1899-12-30T08:00:00"/>
    <d v="1899-12-31T00:00:00"/>
    <s v="tokeet"/>
    <x v="1"/>
    <n v="6"/>
    <n v="0"/>
    <s v="GBP"/>
    <n v="330"/>
    <n v="6"/>
    <n v="3"/>
  </r>
  <r>
    <s v="Guest 192"/>
    <s v="Guest192@yahoo.com"/>
    <x v="1"/>
    <d v="2020-08-23T00:00:00"/>
    <d v="2020-08-24T00:00:00"/>
    <d v="2020-08-12T00:00:00"/>
    <d v="1899-12-30T14:00:00"/>
    <d v="1899-12-30T11:00:00"/>
    <s v="tokeet"/>
    <x v="1"/>
    <n v="5"/>
    <n v="0"/>
    <s v="GBP"/>
    <n v="110"/>
    <n v="5"/>
    <n v="1"/>
  </r>
  <r>
    <s v="Guest 340"/>
    <s v="Guest340@encry.com"/>
    <x v="6"/>
    <d v="2020-08-23T00:00:00"/>
    <d v="2020-08-24T00:00:00"/>
    <d v="2020-08-14T00:00:00"/>
    <d v="1899-12-30T14:00:00"/>
    <d v="1899-12-30T11:00:00"/>
    <s v="tokeet"/>
    <x v="1"/>
    <n v="2"/>
    <n v="0"/>
    <s v="GBP"/>
    <n v="110"/>
    <n v="2"/>
    <n v="1"/>
  </r>
  <r>
    <s v="Guest 64"/>
    <s v="Guest64@gmail.com"/>
    <x v="4"/>
    <d v="2020-08-23T00:00:00"/>
    <d v="2020-08-24T00:00:00"/>
    <d v="2020-07-18T00:00:00"/>
    <d v="1899-12-30T08:00:00"/>
    <d v="1899-12-31T00:00:00"/>
    <s v="tokeet"/>
    <x v="1"/>
    <n v="3"/>
    <n v="0"/>
    <s v="GBP"/>
    <n v="110"/>
    <n v="3"/>
    <n v="1"/>
  </r>
  <r>
    <s v="Guest 524"/>
    <s v="Guest524@airbnb.com"/>
    <x v="4"/>
    <d v="2020-08-24T00:00:00"/>
    <d v="2020-08-27T00:00:00"/>
    <d v="2020-07-24T00:00:00"/>
    <d v="1899-12-30T08:00:00"/>
    <d v="1899-12-31T00:00:00"/>
    <s v="airbnb"/>
    <x v="0"/>
    <n v="1"/>
    <n v="0"/>
    <s v="GBP"/>
    <n v="313"/>
    <n v="1"/>
    <n v="3"/>
  </r>
  <r>
    <s v="Guest 391"/>
    <s v="Guest391@gmail.com"/>
    <x v="4"/>
    <d v="2020-08-24T00:00:00"/>
    <d v="2020-08-26T00:00:00"/>
    <d v="2020-07-28T00:00:00"/>
    <d v="1899-12-30T08:00:00"/>
    <d v="1899-12-31T00:00:00"/>
    <s v="tokeet"/>
    <x v="1"/>
    <n v="5"/>
    <n v="0"/>
    <s v="GBP"/>
    <n v="220"/>
    <n v="5"/>
    <n v="2"/>
  </r>
  <r>
    <s v="Guest 537"/>
    <s v="Guest537@gmail.com"/>
    <x v="6"/>
    <d v="2020-08-24T00:00:00"/>
    <d v="2020-08-25T00:00:00"/>
    <d v="2020-08-17T00:00:00"/>
    <d v="1899-12-30T14:00:00"/>
    <d v="1899-12-30T11:00:00"/>
    <s v="tokeet"/>
    <x v="1"/>
    <n v="6"/>
    <n v="0"/>
    <s v="GBP"/>
    <n v="110"/>
    <n v="6"/>
    <n v="1"/>
  </r>
  <r>
    <s v="Guest 71"/>
    <s v="Guest71@airbnb.com"/>
    <x v="2"/>
    <d v="2020-08-24T00:00:00"/>
    <d v="2020-08-27T00:00:00"/>
    <d v="2020-08-18T00:00:00"/>
    <d v="1899-12-30T08:00:00"/>
    <d v="1899-12-31T00:00:00"/>
    <s v="airbnb"/>
    <x v="0"/>
    <n v="1"/>
    <n v="0"/>
    <s v="GBP"/>
    <n v="319"/>
    <n v="1"/>
    <n v="3"/>
  </r>
  <r>
    <s v="Guest 295"/>
    <s v="Guest295@gmail.com"/>
    <x v="1"/>
    <d v="2020-08-24T00:00:00"/>
    <d v="2020-08-25T00:00:00"/>
    <d v="2020-08-21T00:00:00"/>
    <d v="1899-12-30T14:00:00"/>
    <d v="1899-12-30T11:00:00"/>
    <s v="tokeet"/>
    <x v="0"/>
    <n v="6"/>
    <n v="0"/>
    <s v="GBP"/>
    <n v="110"/>
    <n v="6"/>
    <n v="1"/>
  </r>
  <r>
    <s v="Guest 1"/>
    <s v="Guest1@gmail%2Ecom"/>
    <x v="6"/>
    <d v="2020-08-25T00:00:00"/>
    <d v="2020-08-26T00:00:00"/>
    <d v="2020-08-08T00:00:00"/>
    <d v="1899-12-30T14:00:00"/>
    <d v="1899-12-30T11:00:00"/>
    <s v="tokeet"/>
    <x v="0"/>
    <n v="5"/>
    <n v="0"/>
    <s v="GBP"/>
    <n v="110"/>
    <n v="5"/>
    <n v="1"/>
  </r>
  <r>
    <s v="Guest 110"/>
    <s v="Guest110@gmail.com"/>
    <x v="1"/>
    <d v="2020-08-25T00:00:00"/>
    <d v="2020-08-26T00:00:00"/>
    <d v="2020-08-09T00:00:00"/>
    <d v="1899-12-30T14:00:00"/>
    <d v="1899-12-30T11:00:00"/>
    <s v="tokeet"/>
    <x v="0"/>
    <n v="4"/>
    <n v="0"/>
    <s v="GBP"/>
    <n v="110"/>
    <n v="4"/>
    <n v="1"/>
  </r>
  <r>
    <s v="Guest 537"/>
    <s v="Guest537@gmail.com"/>
    <x v="6"/>
    <d v="2020-08-25T00:00:00"/>
    <d v="2020-08-26T00:00:00"/>
    <d v="2020-08-17T00:00:00"/>
    <d v="1899-12-30T14:00:00"/>
    <d v="1899-12-30T11:00:00"/>
    <s v="tokeet"/>
    <x v="1"/>
    <n v="6"/>
    <n v="0"/>
    <s v="GBP"/>
    <n v="110"/>
    <n v="6"/>
    <n v="1"/>
  </r>
  <r>
    <s v="Guest 104"/>
    <s v="Guest104@yahoo.com"/>
    <x v="1"/>
    <d v="2020-08-25T00:00:00"/>
    <d v="2020-08-26T00:00:00"/>
    <d v="2020-08-20T00:00:00"/>
    <d v="1899-12-30T14:00:00"/>
    <d v="1899-12-30T11:00:00"/>
    <s v="tokeet"/>
    <x v="1"/>
    <n v="5"/>
    <n v="0"/>
    <s v="GBP"/>
    <n v="110"/>
    <n v="5"/>
    <n v="1"/>
  </r>
  <r>
    <s v="Guest 294"/>
    <s v="Guest294@gmail.com"/>
    <x v="2"/>
    <d v="2020-08-25T00:00:00"/>
    <d v="2020-08-28T00:00:00"/>
    <d v="2020-08-18T00:00:00"/>
    <d v="1899-12-30T08:00:00"/>
    <d v="1899-12-31T00:00:00"/>
    <s v="tokeet"/>
    <x v="1"/>
    <n v="3"/>
    <n v="0"/>
    <s v="GBP"/>
    <n v="330"/>
    <n v="3"/>
    <n v="3"/>
  </r>
  <r>
    <s v="Guest 25"/>
    <s v="Guest25@gmail%2Ecom"/>
    <x v="3"/>
    <d v="2020-08-25T00:00:00"/>
    <d v="2020-08-26T00:00:00"/>
    <d v="2020-08-22T00:00:00"/>
    <d v="1899-12-30T08:00:00"/>
    <d v="1899-12-31T00:00:00"/>
    <s v="tokeet"/>
    <x v="1"/>
    <n v="5"/>
    <n v="0"/>
    <s v="GBP"/>
    <n v="110"/>
    <n v="5"/>
    <n v="1"/>
  </r>
  <r>
    <s v="Guest 537"/>
    <s v="Guest537@gmail.com"/>
    <x v="4"/>
    <d v="2020-08-26T00:00:00"/>
    <d v="2020-08-27T00:00:00"/>
    <d v="2020-08-17T00:00:00"/>
    <d v="1899-12-30T08:00:00"/>
    <d v="1899-12-31T00:00:00"/>
    <s v="tokeet"/>
    <x v="1"/>
    <n v="6"/>
    <n v="0"/>
    <s v="GBP"/>
    <n v="110"/>
    <n v="6"/>
    <n v="1"/>
  </r>
  <r>
    <s v="Guest 1"/>
    <s v="Guest1@gmail%2Ecom"/>
    <x v="3"/>
    <d v="2020-08-26T00:00:00"/>
    <d v="2020-08-27T00:00:00"/>
    <d v="2020-08-22T00:00:00"/>
    <d v="1899-12-30T08:00:00"/>
    <d v="1899-12-31T00:00:00"/>
    <s v="tokeet"/>
    <x v="0"/>
    <n v="5"/>
    <n v="0"/>
    <s v="GBP"/>
    <n v="110"/>
    <n v="5"/>
    <n v="1"/>
  </r>
  <r>
    <s v="Guest 89"/>
    <s v="Guest89@gmail%2Ecom"/>
    <x v="1"/>
    <d v="2020-08-26T00:00:00"/>
    <d v="2020-08-28T00:00:00"/>
    <d v="2020-08-15T00:00:00"/>
    <d v="1899-12-30T14:00:00"/>
    <d v="1899-12-30T11:00:00"/>
    <s v="tokeet"/>
    <x v="1"/>
    <n v="4"/>
    <n v="0"/>
    <s v="GBP"/>
    <n v="220"/>
    <n v="4"/>
    <n v="2"/>
  </r>
  <r>
    <s v="Guest 540"/>
    <s v="Guest540@airbnb.com"/>
    <x v="3"/>
    <d v="2020-08-27T00:00:00"/>
    <d v="2020-08-29T00:00:00"/>
    <d v="2020-08-08T00:00:00"/>
    <d v="1899-12-30T08:00:00"/>
    <d v="1899-12-31T00:00:00"/>
    <s v="airbnb"/>
    <x v="0"/>
    <n v="1"/>
    <n v="0"/>
    <s v="GBP"/>
    <n v="232"/>
    <n v="1"/>
    <n v="2"/>
  </r>
  <r>
    <s v="Guest 291"/>
    <s v="Guest291@yahoo.com"/>
    <x v="4"/>
    <d v="2020-08-27T00:00:00"/>
    <d v="2020-08-28T00:00:00"/>
    <d v="2020-08-12T00:00:00"/>
    <d v="1899-12-30T08:00:00"/>
    <d v="1899-12-31T00:00:00"/>
    <s v="tokeet"/>
    <x v="1"/>
    <n v="5"/>
    <n v="0"/>
    <s v="GBP"/>
    <n v="110"/>
    <n v="5"/>
    <n v="1"/>
  </r>
  <r>
    <s v="Guest 501"/>
    <s v="Guest501@airbnb.com"/>
    <x v="1"/>
    <d v="2020-08-27T00:00:00"/>
    <d v="2020-08-29T00:00:00"/>
    <d v="2020-08-12T00:00:00"/>
    <d v="1899-12-30T14:00:00"/>
    <d v="1899-12-30T11:00:00"/>
    <s v="airbnb"/>
    <x v="0"/>
    <n v="1"/>
    <n v="0"/>
    <s v="GBP"/>
    <n v="212"/>
    <n v="1"/>
    <n v="2"/>
  </r>
  <r>
    <s v="Guest 13"/>
    <s v="Guest13@gmail.com"/>
    <x v="6"/>
    <d v="2020-08-27T00:00:00"/>
    <d v="2020-08-28T00:00:00"/>
    <d v="2020-08-21T00:00:00"/>
    <d v="1899-12-30T14:00:00"/>
    <d v="1899-12-30T11:00:00"/>
    <s v="tokeet"/>
    <x v="1"/>
    <n v="5"/>
    <n v="0"/>
    <s v="GBP"/>
    <n v="110"/>
    <n v="5"/>
    <n v="1"/>
  </r>
  <r>
    <s v="Guest 156"/>
    <s v="Guest156@slh%2Ecom"/>
    <x v="3"/>
    <d v="2020-08-27T00:00:00"/>
    <d v="2020-08-28T00:00:00"/>
    <d v="2020-08-26T00:00:00"/>
    <d v="1899-12-30T08:00:00"/>
    <d v="1899-12-31T00:00:00"/>
    <s v="tokeet"/>
    <x v="0"/>
    <n v="3"/>
    <n v="0"/>
    <s v="GBP"/>
    <n v="118.25"/>
    <n v="3"/>
    <n v="1"/>
  </r>
  <r>
    <s v="Guest 264"/>
    <s v="Guest264@yahoo.co.uk"/>
    <x v="4"/>
    <d v="2020-08-28T00:00:00"/>
    <d v="2020-08-30T00:00:00"/>
    <d v="2020-07-26T00:00:00"/>
    <d v="1899-12-30T08:00:00"/>
    <d v="1899-12-31T00:00:00"/>
    <s v="tokeet"/>
    <x v="1"/>
    <n v="8"/>
    <n v="0"/>
    <s v="GBP"/>
    <n v="300"/>
    <n v="8"/>
    <n v="2"/>
  </r>
  <r>
    <s v="Guest 264"/>
    <s v="Guest264@yahoo.co.uk"/>
    <x v="6"/>
    <d v="2020-08-28T00:00:00"/>
    <d v="2020-08-30T00:00:00"/>
    <d v="2020-07-26T00:00:00"/>
    <d v="1899-12-30T14:00:00"/>
    <d v="1899-12-30T11:00:00"/>
    <s v="tokeet"/>
    <x v="1"/>
    <n v="5"/>
    <n v="0"/>
    <s v="GBP"/>
    <n v="220"/>
    <n v="5"/>
    <n v="2"/>
  </r>
  <r>
    <s v="Guest 415"/>
    <s v="Guest415@gmail%2Ecom"/>
    <x v="2"/>
    <d v="2020-08-28T00:00:00"/>
    <d v="2020-08-31T00:00:00"/>
    <d v="2020-08-02T00:00:00"/>
    <d v="1899-12-30T08:00:00"/>
    <d v="1899-12-31T00:00:00"/>
    <s v="tokeet"/>
    <x v="0"/>
    <n v="4"/>
    <n v="0"/>
    <s v="GBP"/>
    <n v="330"/>
    <n v="4"/>
    <n v="3"/>
  </r>
  <r>
    <s v="Guest 403"/>
    <s v="Guest403@gmail.com"/>
    <x v="3"/>
    <d v="2020-08-28T00:00:00"/>
    <d v="2020-08-30T00:00:00"/>
    <d v="2020-08-13T00:00:00"/>
    <d v="1899-12-30T08:00:00"/>
    <d v="1899-12-31T00:00:00"/>
    <s v="tokeet"/>
    <x v="1"/>
    <n v="5"/>
    <n v="0"/>
    <s v="GBP"/>
    <n v="220"/>
    <n v="5"/>
    <n v="2"/>
  </r>
  <r>
    <s v="Guest 538"/>
    <s v="Guest538@gmail.com"/>
    <x v="2"/>
    <d v="2020-08-28T00:00:00"/>
    <d v="2020-08-30T00:00:00"/>
    <d v="2020-08-03T00:00:00"/>
    <d v="1899-12-30T08:00:00"/>
    <d v="1899-12-31T00:00:00"/>
    <s v="tokeet"/>
    <x v="0"/>
    <n v="4"/>
    <n v="0"/>
    <s v="GBP"/>
    <n v="220"/>
    <n v="4"/>
    <n v="2"/>
  </r>
  <r>
    <s v="Guest 294"/>
    <s v="Guest294@gmail.com"/>
    <x v="1"/>
    <d v="2020-08-28T00:00:00"/>
    <d v="2020-09-01T00:00:00"/>
    <d v="2020-08-18T00:00:00"/>
    <d v="1899-12-30T14:00:00"/>
    <d v="1899-12-30T11:00:00"/>
    <s v="tokeet"/>
    <x v="1"/>
    <n v="3"/>
    <n v="0"/>
    <s v="GBP"/>
    <n v="473"/>
    <n v="3"/>
    <n v="4"/>
  </r>
  <r>
    <s v="Guest 570"/>
    <s v="Guest570@guest.airbnb.com"/>
    <x v="2"/>
    <d v="2020-08-28T00:00:00"/>
    <d v="2020-08-29T00:00:00"/>
    <d v="2020-08-28T00:00:00"/>
    <d v="1899-12-30T08:00:00"/>
    <d v="1899-12-31T00:00:00"/>
    <s v="tokeet"/>
    <x v="1"/>
    <n v="4"/>
    <n v="0"/>
    <s v="GBP"/>
    <n v="118.25"/>
    <n v="4"/>
    <n v="1"/>
  </r>
  <r>
    <s v="Guest 318"/>
    <s v="Guest318@gmail.com"/>
    <x v="1"/>
    <d v="2020-08-29T00:00:00"/>
    <d v="2020-08-30T00:00:00"/>
    <d v="2020-07-07T00:00:00"/>
    <d v="1899-12-30T08:00:00"/>
    <d v="1899-12-31T00:00:00"/>
    <s v="tokeet"/>
    <x v="0"/>
    <n v="4"/>
    <n v="0"/>
    <s v="GBP"/>
    <n v="135"/>
    <n v="4"/>
    <n v="1"/>
  </r>
  <r>
    <s v="Guest 318"/>
    <s v="Guest318@gmail.com"/>
    <x v="2"/>
    <d v="2020-08-29T00:00:00"/>
    <d v="2020-08-30T00:00:00"/>
    <d v="2020-08-28T00:00:00"/>
    <d v="1899-12-30T08:00:00"/>
    <d v="1899-12-31T00:00:00"/>
    <s v="tokeet"/>
    <x v="1"/>
    <n v="4"/>
    <n v="0"/>
    <s v="GBP"/>
    <n v="118.25"/>
    <n v="4"/>
    <n v="1"/>
  </r>
  <r>
    <s v="Guest 445"/>
    <s v="Guest445@gmail.com"/>
    <x v="4"/>
    <d v="2020-08-30T00:00:00"/>
    <d v="2020-09-02T00:00:00"/>
    <d v="2020-08-06T00:00:00"/>
    <d v="1899-12-30T08:00:00"/>
    <d v="1899-12-31T00:00:00"/>
    <s v="tokeet"/>
    <x v="1"/>
    <n v="6"/>
    <n v="0"/>
    <s v="GBP"/>
    <n v="330"/>
    <n v="6"/>
    <n v="3"/>
  </r>
  <r>
    <s v="Guest 445"/>
    <s v="Guest445@gmail.com"/>
    <x v="6"/>
    <d v="2020-08-30T00:00:00"/>
    <d v="2020-09-02T00:00:00"/>
    <d v="2020-08-06T00:00:00"/>
    <d v="1899-12-30T14:00:00"/>
    <d v="1899-12-30T11:00:00"/>
    <s v="tokeet"/>
    <x v="1"/>
    <n v="4"/>
    <n v="0"/>
    <s v="GBP"/>
    <n v="330"/>
    <n v="4"/>
    <n v="3"/>
  </r>
  <r>
    <s v="Guest 445"/>
    <s v="Guest445@gmail.com"/>
    <x v="3"/>
    <d v="2020-08-30T00:00:00"/>
    <d v="2020-09-02T00:00:00"/>
    <d v="2020-08-08T00:00:00"/>
    <d v="1899-12-30T08:00:00"/>
    <d v="1899-12-31T00:00:00"/>
    <s v="tokeet"/>
    <x v="1"/>
    <n v="6"/>
    <n v="0"/>
    <s v="GBP"/>
    <n v="330"/>
    <n v="6"/>
    <n v="3"/>
  </r>
  <r>
    <s v="Guest 3"/>
    <s v="Guest3@gmail.com"/>
    <x v="2"/>
    <d v="2020-08-30T00:00:00"/>
    <d v="2020-09-01T00:00:00"/>
    <d v="2020-08-25T00:00:00"/>
    <d v="1899-12-30T08:00:00"/>
    <d v="1899-12-31T00:00:00"/>
    <s v="tokeet"/>
    <x v="1"/>
    <n v="1"/>
    <n v="0"/>
    <s v="GBP"/>
    <n v="236.5"/>
    <n v="1"/>
    <n v="2"/>
  </r>
  <r>
    <s v="Guest 156"/>
    <s v="Guest156@slh%2Ecom"/>
    <x v="1"/>
    <d v="2020-08-30T00:00:00"/>
    <d v="2020-09-01T00:00:00"/>
    <d v="2020-08-24T00:00:00"/>
    <d v="1899-12-30T14:00:00"/>
    <d v="1899-12-30T11:00:00"/>
    <s v="tokeet"/>
    <x v="0"/>
    <n v="4"/>
    <n v="0"/>
    <s v="GBP"/>
    <n v="236.5"/>
    <n v="4"/>
    <n v="2"/>
  </r>
  <r>
    <s v="Guest 156"/>
    <s v="Guest156@slh%2Ecom"/>
    <x v="1"/>
    <d v="2020-08-31T00:00:00"/>
    <d v="2020-09-01T00:00:00"/>
    <d v="2020-08-24T00:00:00"/>
    <d v="1899-12-30T14:00:00"/>
    <d v="1899-12-30T11:00:00"/>
    <s v="tokeet"/>
    <x v="0"/>
    <n v="4"/>
    <n v="0"/>
    <s v="GBP"/>
    <n v="118.25"/>
    <n v="4"/>
    <n v="1"/>
  </r>
  <r>
    <s v="Guest 399"/>
    <s v="Guest399@airbnb.com"/>
    <x v="6"/>
    <d v="2020-09-01T00:00:00"/>
    <d v="2020-09-08T00:00:00"/>
    <d v="2020-06-23T00:00:00"/>
    <d v="1899-12-30T14:00:00"/>
    <d v="1899-12-30T11:00:00"/>
    <s v="airbnb"/>
    <x v="0"/>
    <n v="4"/>
    <n v="0"/>
    <s v="GBP"/>
    <n v="720"/>
    <n v="4"/>
    <n v="7"/>
  </r>
  <r>
    <s v="Guest 166"/>
    <s v="Guest166@airbnb.com"/>
    <x v="2"/>
    <d v="2020-09-01T00:00:00"/>
    <d v="2020-09-04T00:00:00"/>
    <d v="2020-08-03T00:00:00"/>
    <d v="1899-12-30T08:00:00"/>
    <d v="1899-12-31T00:00:00"/>
    <s v="airbnb"/>
    <x v="0"/>
    <n v="1"/>
    <n v="0"/>
    <s v="GBP"/>
    <n v="312"/>
    <n v="1"/>
    <n v="3"/>
  </r>
  <r>
    <s v="Guest 146"/>
    <s v="Guest146@yahoo.com"/>
    <x v="1"/>
    <d v="2020-09-01T00:00:00"/>
    <d v="2020-09-02T00:00:00"/>
    <d v="2020-08-13T00:00:00"/>
    <d v="1899-12-30T14:00:00"/>
    <d v="1899-12-30T11:00:00"/>
    <s v="tokeet"/>
    <x v="1"/>
    <n v="6"/>
    <n v="0"/>
    <s v="GBP"/>
    <n v="110"/>
    <n v="6"/>
    <n v="1"/>
  </r>
  <r>
    <s v="Guest 146"/>
    <s v="Guest146@yahoo.com"/>
    <x v="2"/>
    <d v="2020-09-01T00:00:00"/>
    <d v="2020-09-02T00:00:00"/>
    <d v="2020-08-13T00:00:00"/>
    <d v="1899-12-30T08:00:00"/>
    <d v="1899-12-31T00:00:00"/>
    <s v="tokeet"/>
    <x v="1"/>
    <n v="6"/>
    <n v="0"/>
    <s v="GBP"/>
    <n v="110"/>
    <n v="6"/>
    <n v="1"/>
  </r>
  <r>
    <s v="Guest 344"/>
    <s v="Guest344@gmail.com"/>
    <x v="5"/>
    <d v="2020-09-01T00:00:00"/>
    <d v="2020-10-01T00:00:00"/>
    <d v="2020-08-06T00:00:00"/>
    <d v="1899-12-30T14:00:00"/>
    <d v="1899-12-30T11:00:00"/>
    <s v="tokeet"/>
    <x v="0"/>
    <n v="5"/>
    <n v="0"/>
    <s v="GBP"/>
    <n v="4500"/>
    <n v="5"/>
    <n v="30"/>
  </r>
  <r>
    <s v="Guest 160"/>
    <s v="Guest160@airbnb.com"/>
    <x v="1"/>
    <d v="2020-09-02T00:00:00"/>
    <d v="2020-09-10T00:00:00"/>
    <d v="2020-07-23T00:00:00"/>
    <d v="1899-12-30T14:00:00"/>
    <d v="1899-12-30T11:00:00"/>
    <s v="airbnb"/>
    <x v="0"/>
    <n v="2"/>
    <n v="0"/>
    <s v="GBP"/>
    <n v="806"/>
    <n v="2"/>
    <n v="8"/>
  </r>
  <r>
    <s v="Guest 352"/>
    <s v="Guest352@yahoo.com"/>
    <x v="2"/>
    <d v="2020-09-02T00:00:00"/>
    <d v="2020-09-04T00:00:00"/>
    <d v="2020-08-13T00:00:00"/>
    <d v="1899-12-30T08:00:00"/>
    <d v="1899-12-31T00:00:00"/>
    <s v="tokeet"/>
    <x v="1"/>
    <n v="4"/>
    <n v="0"/>
    <s v="GBP"/>
    <n v="220"/>
    <n v="4"/>
    <n v="2"/>
  </r>
  <r>
    <s v="Guest 134"/>
    <s v="Guest134@yahoo.com"/>
    <x v="3"/>
    <d v="2020-09-02T00:00:00"/>
    <d v="2020-09-03T00:00:00"/>
    <d v="2020-08-31T00:00:00"/>
    <d v="1899-12-30T08:00:00"/>
    <d v="1899-12-31T00:00:00"/>
    <s v="tokeet"/>
    <x v="0"/>
    <n v="6"/>
    <n v="0"/>
    <s v="GBP"/>
    <n v="118.25"/>
    <n v="6"/>
    <n v="1"/>
  </r>
  <r>
    <s v="Guest 120"/>
    <s v="Guest120@airbnb.com"/>
    <x v="1"/>
    <d v="2020-09-02T00:00:00"/>
    <d v="2020-09-03T00:00:00"/>
    <d v="2020-08-29T00:00:00"/>
    <d v="1899-12-30T14:00:00"/>
    <d v="1899-12-30T11:00:00"/>
    <s v="tokeet"/>
    <x v="0"/>
    <n v="4"/>
    <n v="0"/>
    <s v="GBP"/>
    <n v="118.25"/>
    <n v="4"/>
    <n v="1"/>
  </r>
  <r>
    <s v="Guest 134"/>
    <s v="Guest134@yahoo.com"/>
    <x v="6"/>
    <d v="2020-09-02T00:00:00"/>
    <d v="2020-09-03T00:00:00"/>
    <d v="2020-08-31T00:00:00"/>
    <d v="1899-12-30T14:00:00"/>
    <d v="1899-12-30T11:00:00"/>
    <s v="tokeet"/>
    <x v="0"/>
    <n v="5"/>
    <n v="0"/>
    <s v="GBP"/>
    <n v="118.25"/>
    <n v="5"/>
    <n v="1"/>
  </r>
  <r>
    <s v="Guest 46"/>
    <s v="Guest46@encry.com"/>
    <x v="6"/>
    <d v="2020-09-02T00:00:00"/>
    <d v="2020-09-06T00:00:00"/>
    <d v="2020-08-31T00:00:00"/>
    <d v="1899-12-30T14:00:00"/>
    <d v="1899-12-30T11:00:00"/>
    <s v="tokeet"/>
    <x v="0"/>
    <n v="4"/>
    <n v="0"/>
    <s v="GBP"/>
    <n v="473"/>
    <n v="4"/>
    <n v="4"/>
  </r>
  <r>
    <s v="Guest 123"/>
    <s v="Guest123@gmail.com"/>
    <x v="1"/>
    <d v="2020-09-02T00:00:00"/>
    <d v="2020-09-04T00:00:00"/>
    <d v="2020-08-31T00:00:00"/>
    <d v="1899-12-30T14:00:00"/>
    <d v="1899-12-30T11:00:00"/>
    <s v="tokeet"/>
    <x v="0"/>
    <n v="3"/>
    <n v="0"/>
    <s v="GBP"/>
    <n v="236.5"/>
    <n v="3"/>
    <n v="2"/>
  </r>
  <r>
    <s v="Guest 46"/>
    <s v="Guest46@encry.com"/>
    <x v="1"/>
    <d v="2020-09-02T00:00:00"/>
    <d v="2020-09-04T00:00:00"/>
    <d v="2020-09-02T00:00:00"/>
    <d v="1899-12-30T14:00:00"/>
    <d v="1899-12-30T11:00:00"/>
    <s v="tokeet"/>
    <x v="0"/>
    <n v="3"/>
    <n v="0"/>
    <s v="GBP"/>
    <n v="118.25"/>
    <n v="3"/>
    <n v="2"/>
  </r>
  <r>
    <s v="Guest 46"/>
    <s v="Guest46@encry.com"/>
    <x v="1"/>
    <d v="2020-09-02T00:00:00"/>
    <d v="2020-09-04T00:00:00"/>
    <d v="2020-09-02T00:00:00"/>
    <d v="1899-12-30T14:00:00"/>
    <d v="1899-12-30T11:00:00"/>
    <s v="tokeet"/>
    <x v="1"/>
    <n v="3"/>
    <n v="0"/>
    <s v="GBP"/>
    <n v="236.5"/>
    <n v="3"/>
    <n v="2"/>
  </r>
  <r>
    <s v="Guest 397"/>
    <s v="Guest397@yahoo.com"/>
    <x v="3"/>
    <d v="2020-09-02T00:00:00"/>
    <d v="2020-09-03T00:00:00"/>
    <d v="2020-09-02T00:00:00"/>
    <d v="1899-12-30T08:00:00"/>
    <d v="1899-12-31T00:00:00"/>
    <s v="tokeet"/>
    <x v="1"/>
    <n v="4"/>
    <n v="0"/>
    <s v="GBP"/>
    <n v="118.25"/>
    <n v="4"/>
    <n v="1"/>
  </r>
  <r>
    <s v="Guest 452"/>
    <s v="Guest452@gmail.com"/>
    <x v="4"/>
    <d v="2020-09-02T00:00:00"/>
    <d v="2020-09-06T00:00:00"/>
    <d v="2020-08-20T00:00:00"/>
    <d v="1899-12-30T08:00:00"/>
    <d v="1899-12-31T00:00:00"/>
    <s v="tokeet"/>
    <x v="1"/>
    <n v="5"/>
    <n v="0"/>
    <s v="GBP"/>
    <n v="473"/>
    <n v="5"/>
    <n v="4"/>
  </r>
  <r>
    <s v="Guest 396"/>
    <s v="Guest396@yahoo.com"/>
    <x v="6"/>
    <d v="2020-09-02T00:00:00"/>
    <d v="2020-09-03T00:00:00"/>
    <d v="2020-09-07T00:00:00"/>
    <d v="1899-12-30T14:00:00"/>
    <d v="1899-12-30T11:00:00"/>
    <s v="tokeet"/>
    <x v="0"/>
    <n v="3"/>
    <n v="0"/>
    <s v="GBP"/>
    <n v="118.25"/>
    <n v="3"/>
    <n v="1"/>
  </r>
  <r>
    <s v="Guest 295"/>
    <s v="Guest295@gmail.com"/>
    <x v="6"/>
    <d v="2020-09-02T00:00:00"/>
    <d v="2020-09-11T00:00:00"/>
    <d v="2020-08-27T00:00:00"/>
    <d v="1899-12-30T14:00:00"/>
    <d v="1899-12-30T11:00:00"/>
    <s v="tokeet"/>
    <x v="1"/>
    <n v="4"/>
    <n v="0"/>
    <s v="GBP"/>
    <n v="1064.25"/>
    <n v="4"/>
    <n v="9"/>
  </r>
  <r>
    <s v="Guest 120"/>
    <s v="Guest120@airbnb.com"/>
    <x v="1"/>
    <d v="2020-09-03T00:00:00"/>
    <d v="2020-09-04T00:00:00"/>
    <d v="2020-08-29T00:00:00"/>
    <d v="1899-12-30T14:00:00"/>
    <d v="1899-12-30T11:00:00"/>
    <s v="tokeet"/>
    <x v="0"/>
    <n v="4"/>
    <n v="0"/>
    <s v="GBP"/>
    <n v="118.25"/>
    <n v="4"/>
    <n v="1"/>
  </r>
  <r>
    <s v="Guest 229"/>
    <s v="Guest229@airbnb%2Ecom"/>
    <x v="1"/>
    <d v="2020-09-03T00:00:00"/>
    <d v="2020-09-04T00:00:00"/>
    <d v="2020-09-02T00:00:00"/>
    <d v="1899-12-30T14:00:00"/>
    <d v="1899-12-30T11:00:00"/>
    <s v="tokeet"/>
    <x v="0"/>
    <n v="3"/>
    <n v="0"/>
    <s v="GBP"/>
    <n v="118.25"/>
    <n v="3"/>
    <n v="1"/>
  </r>
  <r>
    <s v="Guest 392"/>
    <s v="Guest392@gmail.com"/>
    <x v="3"/>
    <d v="2020-09-03T00:00:00"/>
    <d v="2020-09-04T00:00:00"/>
    <d v="2020-09-03T00:00:00"/>
    <d v="1899-12-30T08:00:00"/>
    <d v="1899-12-31T00:00:00"/>
    <s v="tokeet"/>
    <x v="1"/>
    <n v="4"/>
    <n v="0"/>
    <s v="GBP"/>
    <n v="118.25"/>
    <n v="4"/>
    <n v="1"/>
  </r>
  <r>
    <s v="Guest 215"/>
    <s v="Guest215@airbnb.com"/>
    <x v="2"/>
    <d v="2020-09-04T00:00:00"/>
    <d v="2020-09-06T00:00:00"/>
    <d v="2020-06-18T00:00:00"/>
    <d v="1899-12-30T08:00:00"/>
    <d v="1899-12-31T00:00:00"/>
    <s v="airbnb"/>
    <x v="0"/>
    <n v="4"/>
    <n v="0"/>
    <s v="GBP"/>
    <n v="213"/>
    <n v="4"/>
    <n v="2"/>
  </r>
  <r>
    <s v="Guest 337"/>
    <s v="Guest337@gmail.com"/>
    <x v="1"/>
    <d v="2020-09-04T00:00:00"/>
    <d v="2020-09-06T00:00:00"/>
    <d v="2020-07-26T00:00:00"/>
    <d v="1899-12-30T14:00:00"/>
    <d v="1899-12-30T11:00:00"/>
    <s v="tokeet"/>
    <x v="1"/>
    <n v="3"/>
    <n v="0"/>
    <s v="GBP"/>
    <n v="220"/>
    <n v="3"/>
    <n v="2"/>
  </r>
  <r>
    <s v="Guest 24"/>
    <s v="Guest24@gmail.com"/>
    <x v="3"/>
    <d v="2020-09-04T00:00:00"/>
    <d v="2020-09-05T00:00:00"/>
    <d v="2020-08-23T00:00:00"/>
    <d v="1899-12-30T08:00:00"/>
    <d v="1899-12-31T00:00:00"/>
    <s v="tokeet"/>
    <x v="0"/>
    <n v="5"/>
    <n v="0"/>
    <s v="GBP"/>
    <n v="110"/>
    <n v="5"/>
    <n v="1"/>
  </r>
  <r>
    <s v="Guest 25"/>
    <s v="Guest25@gmail%2Ecom"/>
    <x v="6"/>
    <d v="2020-09-04T00:00:00"/>
    <d v="2020-09-05T00:00:00"/>
    <d v="2020-08-23T00:00:00"/>
    <d v="1899-12-30T14:00:00"/>
    <d v="1899-12-30T11:00:00"/>
    <s v="tokeet"/>
    <x v="0"/>
    <n v="5"/>
    <n v="0"/>
    <s v="GBP"/>
    <n v="110"/>
    <n v="5"/>
    <n v="1"/>
  </r>
  <r>
    <s v="Guest 443"/>
    <s v="Guest443@airbnb.com"/>
    <x v="3"/>
    <d v="2020-09-04T00:00:00"/>
    <d v="2020-09-06T00:00:00"/>
    <d v="2020-08-31T00:00:00"/>
    <d v="1899-12-30T08:00:00"/>
    <d v="1899-12-31T00:00:00"/>
    <s v="airbnb"/>
    <x v="0"/>
    <n v="4"/>
    <n v="0"/>
    <s v="GBP"/>
    <n v="232"/>
    <n v="4"/>
    <n v="2"/>
  </r>
  <r>
    <s v="Guest 24"/>
    <s v="Guest24@gmail.com"/>
    <x v="2"/>
    <d v="2020-09-04T00:00:00"/>
    <d v="2020-09-05T00:00:00"/>
    <d v="2020-08-14T00:00:00"/>
    <d v="1899-12-30T08:00:00"/>
    <d v="1899-12-31T00:00:00"/>
    <s v="tokeet"/>
    <x v="1"/>
    <n v="4"/>
    <n v="0"/>
    <s v="GBP"/>
    <n v="118.25"/>
    <n v="4"/>
    <n v="1"/>
  </r>
  <r>
    <s v="Guest 366"/>
    <s v="Guest366@gmail.com"/>
    <x v="3"/>
    <d v="2020-09-04T00:00:00"/>
    <d v="2020-09-08T00:00:00"/>
    <d v="2020-08-31T00:00:00"/>
    <d v="1899-12-30T08:00:00"/>
    <d v="1899-12-31T00:00:00"/>
    <s v="tokeet"/>
    <x v="0"/>
    <n v="4"/>
    <n v="0"/>
    <s v="GBP"/>
    <n v="473"/>
    <n v="4"/>
    <n v="4"/>
  </r>
  <r>
    <s v="Guest 366"/>
    <s v="Guest366@gmail.com"/>
    <x v="3"/>
    <d v="2020-09-04T00:00:00"/>
    <d v="2020-09-08T00:00:00"/>
    <d v="2020-09-02T00:00:00"/>
    <d v="1899-12-30T08:00:00"/>
    <d v="1899-12-31T00:00:00"/>
    <s v="tokeet"/>
    <x v="1"/>
    <n v="4"/>
    <n v="0"/>
    <s v="GBP"/>
    <n v="473"/>
    <n v="4"/>
    <n v="4"/>
  </r>
  <r>
    <s v="Guest 388"/>
    <s v="Guest388@airbnb.com"/>
    <x v="4"/>
    <d v="2020-09-05T00:00:00"/>
    <d v="2020-09-08T00:00:00"/>
    <d v="2020-08-21T00:00:00"/>
    <d v="1899-12-30T08:00:00"/>
    <d v="1899-12-31T00:00:00"/>
    <s v="airbnb"/>
    <x v="0"/>
    <n v="1"/>
    <n v="0"/>
    <s v="GBP"/>
    <n v="319"/>
    <n v="1"/>
    <n v="3"/>
  </r>
  <r>
    <s v="Guest 220"/>
    <s v="Guest220@airbnb.com"/>
    <x v="4"/>
    <d v="2020-09-05T00:00:00"/>
    <d v="2020-09-08T00:00:00"/>
    <d v="2020-08-21T00:00:00"/>
    <d v="1899-12-30T08:00:00"/>
    <d v="1899-12-31T00:00:00"/>
    <s v="airbnb"/>
    <x v="0"/>
    <n v="1"/>
    <n v="0"/>
    <s v="GBP"/>
    <n v="319"/>
    <n v="1"/>
    <n v="3"/>
  </r>
  <r>
    <s v="Guest 404"/>
    <s v="Guest404@airbnb.com"/>
    <x v="4"/>
    <d v="2020-09-05T00:00:00"/>
    <d v="2020-09-08T00:00:00"/>
    <d v="2020-08-21T00:00:00"/>
    <d v="1899-12-30T08:00:00"/>
    <d v="1899-12-31T00:00:00"/>
    <s v="airbnb"/>
    <x v="0"/>
    <n v="6"/>
    <n v="0"/>
    <s v="GBP"/>
    <n v="319"/>
    <n v="6"/>
    <n v="3"/>
  </r>
  <r>
    <s v="Guest 27"/>
    <s v="Guest27@airbnb.com"/>
    <x v="3"/>
    <d v="2020-09-05T00:00:00"/>
    <d v="2020-09-07T00:00:00"/>
    <d v="2020-08-30T00:00:00"/>
    <d v="1899-12-30T08:00:00"/>
    <d v="1899-12-31T00:00:00"/>
    <s v="airbnb"/>
    <x v="0"/>
    <n v="4"/>
    <n v="0"/>
    <s v="GBP"/>
    <n v="232"/>
    <n v="4"/>
    <n v="2"/>
  </r>
  <r>
    <s v="Guest 248"/>
    <s v="Guest248@encry.com"/>
    <x v="2"/>
    <d v="2020-09-05T00:00:00"/>
    <d v="2020-09-06T00:00:00"/>
    <d v="2020-09-01T00:00:00"/>
    <d v="1899-12-30T08:00:00"/>
    <d v="1899-12-31T00:00:00"/>
    <s v="Agoda.com"/>
    <x v="0"/>
    <n v="6"/>
    <n v="0"/>
    <s v="GBP"/>
    <n v="65000"/>
    <n v="6"/>
    <n v="1"/>
  </r>
  <r>
    <s v="Guest 289"/>
    <s v="Guest289@yahoo%2Ecom"/>
    <x v="2"/>
    <d v="2020-09-05T00:00:00"/>
    <d v="2020-09-06T00:00:00"/>
    <d v="2020-09-03T00:00:00"/>
    <d v="1899-12-30T08:00:00"/>
    <d v="1899-12-31T00:00:00"/>
    <s v="tokeet"/>
    <x v="0"/>
    <n v="6"/>
    <n v="0"/>
    <s v="GBP"/>
    <n v="118.25"/>
    <n v="6"/>
    <n v="1"/>
  </r>
  <r>
    <s v="Guest 232"/>
    <s v="Guest232@gmail.com"/>
    <x v="4"/>
    <d v="2020-09-05T00:00:00"/>
    <d v="2020-09-06T00:00:00"/>
    <d v="2020-09-01T00:00:00"/>
    <d v="1899-12-30T08:00:00"/>
    <d v="1899-12-31T00:00:00"/>
    <s v="tokeet"/>
    <x v="0"/>
    <n v="5"/>
    <n v="0"/>
    <s v="GBP"/>
    <n v="118.25"/>
    <n v="5"/>
    <n v="1"/>
  </r>
  <r>
    <s v="Guest 248"/>
    <s v="Guest248@encry.com"/>
    <x v="2"/>
    <d v="2020-09-05T00:00:00"/>
    <d v="2020-09-06T00:00:00"/>
    <d v="2020-09-03T00:00:00"/>
    <d v="1899-12-30T08:00:00"/>
    <d v="1899-12-31T00:00:00"/>
    <s v="tokeet"/>
    <x v="1"/>
    <n v="6"/>
    <n v="0"/>
    <s v="GBP"/>
    <n v="118.25"/>
    <n v="6"/>
    <n v="1"/>
  </r>
  <r>
    <s v="Guest 25"/>
    <s v="Guest25@gmail%2Ecom"/>
    <x v="1"/>
    <d v="2020-09-06T00:00:00"/>
    <d v="2020-09-07T00:00:00"/>
    <d v="2020-09-04T00:00:00"/>
    <d v="1899-12-30T14:00:00"/>
    <d v="1899-12-30T11:00:00"/>
    <s v="tokeet"/>
    <x v="0"/>
    <n v="6"/>
    <n v="0"/>
    <s v="GBP"/>
    <n v="118.25"/>
    <n v="6"/>
    <n v="1"/>
  </r>
  <r>
    <s v="Guest 123"/>
    <s v="Guest123@gmail.com"/>
    <x v="2"/>
    <d v="2020-09-06T00:00:00"/>
    <d v="2020-09-08T00:00:00"/>
    <d v="2020-09-03T00:00:00"/>
    <d v="1899-12-30T08:00:00"/>
    <d v="1899-12-31T00:00:00"/>
    <s v="tokeet"/>
    <x v="1"/>
    <n v="5"/>
    <n v="0"/>
    <s v="GBP"/>
    <n v="236.5"/>
    <n v="5"/>
    <n v="2"/>
  </r>
  <r>
    <s v="Guest 436"/>
    <s v="Guest436@yahoo.com"/>
    <x v="1"/>
    <d v="2020-09-06T00:00:00"/>
    <d v="2020-09-07T00:00:00"/>
    <d v="2020-09-06T00:00:00"/>
    <d v="1899-12-30T14:00:00"/>
    <d v="1899-12-30T11:00:00"/>
    <s v="tokeet"/>
    <x v="1"/>
    <n v="5"/>
    <n v="0"/>
    <s v="GBP"/>
    <n v="118.25"/>
    <n v="5"/>
    <n v="1"/>
  </r>
  <r>
    <s v="Guest 470"/>
    <s v="Guest470@yahoo.co.uk"/>
    <x v="3"/>
    <d v="2020-09-06T00:00:00"/>
    <d v="2020-09-07T00:00:00"/>
    <d v="2020-09-21T00:00:00"/>
    <d v="1899-12-30T08:00:00"/>
    <d v="1899-12-31T00:00:00"/>
    <s v="tokeet"/>
    <x v="0"/>
    <n v="1"/>
    <n v="0"/>
    <s v="GBP"/>
    <n v="129"/>
    <n v="1"/>
    <n v="1"/>
  </r>
  <r>
    <s v="Guest 487"/>
    <s v="Guest487@gmail.com"/>
    <x v="4"/>
    <d v="2020-09-07T00:00:00"/>
    <d v="2020-09-08T00:00:00"/>
    <d v="2020-08-30T00:00:00"/>
    <d v="1899-12-30T08:00:00"/>
    <d v="1899-12-31T00:00:00"/>
    <s v="tokeet"/>
    <x v="1"/>
    <n v="6"/>
    <n v="0"/>
    <s v="GBP"/>
    <n v="118.25"/>
    <n v="6"/>
    <n v="1"/>
  </r>
  <r>
    <s v="Guest 338"/>
    <s v="Guest338@gmail.com"/>
    <x v="1"/>
    <d v="2020-09-07T00:00:00"/>
    <d v="2020-09-08T00:00:00"/>
    <d v="2020-09-01T00:00:00"/>
    <d v="1899-12-30T14:00:00"/>
    <d v="1899-12-30T11:00:00"/>
    <s v="tokeet"/>
    <x v="1"/>
    <n v="7"/>
    <n v="0"/>
    <s v="GBP"/>
    <n v="134.38"/>
    <n v="7"/>
    <n v="1"/>
  </r>
  <r>
    <s v="Guest 123"/>
    <s v="Guest123@gmail.com"/>
    <x v="3"/>
    <d v="2020-09-07T00:00:00"/>
    <d v="2020-09-08T00:00:00"/>
    <d v="2020-09-03T00:00:00"/>
    <d v="1899-12-30T08:00:00"/>
    <d v="1899-12-31T00:00:00"/>
    <s v="tokeet"/>
    <x v="0"/>
    <n v="5"/>
    <n v="0"/>
    <s v="GBP"/>
    <n v="118.25"/>
    <n v="5"/>
    <n v="1"/>
  </r>
  <r>
    <s v="Guest 487"/>
    <s v="Guest487@gmail.com"/>
    <x v="3"/>
    <d v="2020-09-08T00:00:00"/>
    <d v="2020-09-10T00:00:00"/>
    <d v="2020-08-30T00:00:00"/>
    <d v="1899-12-30T08:00:00"/>
    <d v="1899-12-31T00:00:00"/>
    <s v="tokeet"/>
    <x v="1"/>
    <n v="6"/>
    <n v="0"/>
    <s v="GBP"/>
    <n v="236.5"/>
    <n v="6"/>
    <n v="2"/>
  </r>
  <r>
    <s v="Guest 1"/>
    <s v="Guest1@gmail%2Ecom"/>
    <x v="2"/>
    <d v="2020-09-08T00:00:00"/>
    <d v="2020-09-13T00:00:00"/>
    <d v="2020-08-30T00:00:00"/>
    <d v="1899-12-30T08:00:00"/>
    <d v="1899-12-31T00:00:00"/>
    <s v="tokeet"/>
    <x v="0"/>
    <n v="6"/>
    <n v="0"/>
    <s v="GBP"/>
    <n v="591.25"/>
    <n v="6"/>
    <n v="5"/>
  </r>
  <r>
    <s v="Guest 99"/>
    <s v="Guest99@gmail%2Ecom"/>
    <x v="1"/>
    <d v="2020-09-08T00:00:00"/>
    <d v="2020-09-09T00:00:00"/>
    <d v="2020-09-01T00:00:00"/>
    <d v="1899-12-30T14:00:00"/>
    <d v="1899-12-30T11:00:00"/>
    <s v="tokeet"/>
    <x v="0"/>
    <n v="6"/>
    <n v="0"/>
    <s v="GBP"/>
    <n v="118.25"/>
    <n v="6"/>
    <n v="1"/>
  </r>
  <r>
    <s v="Guest 364"/>
    <s v="Guest364@gmail.com"/>
    <x v="4"/>
    <d v="2020-09-08T00:00:00"/>
    <d v="2020-09-11T00:00:00"/>
    <d v="2020-09-03T00:00:00"/>
    <d v="1899-12-30T08:00:00"/>
    <d v="1899-12-31T00:00:00"/>
    <s v="tokeet"/>
    <x v="1"/>
    <n v="4"/>
    <n v="0"/>
    <s v="GBP"/>
    <n v="354.75"/>
    <n v="4"/>
    <n v="3"/>
  </r>
  <r>
    <s v="Guest 338"/>
    <s v="Guest338@gmail.com"/>
    <x v="2"/>
    <d v="2020-09-08T00:00:00"/>
    <d v="2020-09-13T00:00:00"/>
    <d v="2020-08-31T00:00:00"/>
    <d v="1899-12-30T08:00:00"/>
    <d v="1899-12-31T00:00:00"/>
    <s v="tokeet"/>
    <x v="1"/>
    <n v="6"/>
    <n v="0"/>
    <s v="GBP"/>
    <n v="591.25"/>
    <n v="6"/>
    <n v="5"/>
  </r>
  <r>
    <s v="Guest 323"/>
    <s v="Guest323@airbnb.com"/>
    <x v="2"/>
    <d v="2020-09-08T00:00:00"/>
    <d v="2020-09-10T00:00:00"/>
    <d v="2020-08-28T00:00:00"/>
    <d v="1899-12-30T08:00:00"/>
    <d v="1899-12-31T00:00:00"/>
    <s v="airbnb"/>
    <x v="0"/>
    <n v="1"/>
    <n v="0"/>
    <s v="GBP"/>
    <n v="212"/>
    <n v="1"/>
    <n v="2"/>
  </r>
  <r>
    <s v="Guest 52"/>
    <s v="Guest52@yahoo%2Ecom"/>
    <x v="3"/>
    <d v="2020-09-10T00:00:00"/>
    <d v="2020-09-13T00:00:00"/>
    <d v="2020-09-09T00:00:00"/>
    <d v="1899-12-30T08:00:00"/>
    <d v="1899-12-31T00:00:00"/>
    <s v="tokeet"/>
    <x v="1"/>
    <n v="6"/>
    <n v="0"/>
    <s v="GBP"/>
    <n v="354.75"/>
    <n v="6"/>
    <n v="3"/>
  </r>
  <r>
    <s v="Guest 418"/>
    <s v="Guest418@gmail.com"/>
    <x v="1"/>
    <d v="2020-09-10T00:00:00"/>
    <d v="2020-09-11T00:00:00"/>
    <d v="2020-09-10T00:00:00"/>
    <d v="1899-12-30T14:00:00"/>
    <d v="1899-12-30T11:00:00"/>
    <s v="tokeet"/>
    <x v="1"/>
    <n v="4"/>
    <n v="0"/>
    <s v="GBP"/>
    <n v="118.25"/>
    <n v="4"/>
    <n v="1"/>
  </r>
  <r>
    <s v="Guest 121"/>
    <s v="Guest121@airbnb.com"/>
    <x v="2"/>
    <d v="2020-09-11T00:00:00"/>
    <d v="2020-09-15T00:00:00"/>
    <d v="2020-06-27T00:00:00"/>
    <d v="1899-12-30T08:00:00"/>
    <d v="1899-12-31T00:00:00"/>
    <s v="airbnb"/>
    <x v="0"/>
    <n v="3"/>
    <n v="0"/>
    <s v="GBP"/>
    <n v="425"/>
    <n v="3"/>
    <n v="4"/>
  </r>
  <r>
    <s v="Guest 94"/>
    <s v="Guest94@airbnb.com"/>
    <x v="2"/>
    <d v="2020-09-11T00:00:00"/>
    <d v="2020-09-13T00:00:00"/>
    <d v="2020-08-28T00:00:00"/>
    <d v="1899-12-30T08:00:00"/>
    <d v="1899-12-31T00:00:00"/>
    <s v="airbnb"/>
    <x v="0"/>
    <n v="4"/>
    <n v="0"/>
    <s v="GBP"/>
    <n v="212"/>
    <n v="4"/>
    <n v="2"/>
  </r>
  <r>
    <s v="Guest 212"/>
    <s v="Guest212@gmail.com"/>
    <x v="6"/>
    <d v="2020-09-11T00:00:00"/>
    <d v="2020-09-13T00:00:00"/>
    <d v="2020-08-31T00:00:00"/>
    <d v="1899-12-30T14:00:00"/>
    <d v="1899-12-30T11:00:00"/>
    <s v="tokeet"/>
    <x v="1"/>
    <n v="5"/>
    <n v="0"/>
    <s v="GBP"/>
    <n v="236.5"/>
    <n v="5"/>
    <n v="2"/>
  </r>
  <r>
    <s v="Guest 24"/>
    <s v="Guest24@gmail.com"/>
    <x v="3"/>
    <d v="2020-09-11T00:00:00"/>
    <d v="2020-09-12T00:00:00"/>
    <d v="2020-08-28T00:00:00"/>
    <d v="1899-12-30T08:00:00"/>
    <d v="1899-12-31T00:00:00"/>
    <s v="tokeet"/>
    <x v="0"/>
    <n v="4"/>
    <n v="0"/>
    <s v="GBP"/>
    <n v="118.25"/>
    <n v="4"/>
    <n v="1"/>
  </r>
  <r>
    <s v="Guest 75"/>
    <s v="Guest75@gmail.com"/>
    <x v="3"/>
    <d v="2020-09-11T00:00:00"/>
    <d v="2020-09-13T00:00:00"/>
    <d v="2020-09-02T00:00:00"/>
    <d v="1899-12-30T08:00:00"/>
    <d v="1899-12-31T00:00:00"/>
    <s v="tokeet"/>
    <x v="0"/>
    <n v="4"/>
    <n v="0"/>
    <s v="GBP"/>
    <n v="236.5"/>
    <n v="4"/>
    <n v="2"/>
  </r>
  <r>
    <s v="Guest 87"/>
    <s v="Guest87@yahoo.com"/>
    <x v="1"/>
    <d v="2020-09-11T00:00:00"/>
    <d v="2020-09-13T00:00:00"/>
    <d v="2020-08-01T00:00:00"/>
    <d v="1899-12-30T14:00:00"/>
    <d v="1899-12-30T11:00:00"/>
    <s v="tokeet"/>
    <x v="1"/>
    <n v="4"/>
    <n v="0"/>
    <s v="GBP"/>
    <n v="258"/>
    <n v="4"/>
    <n v="2"/>
  </r>
  <r>
    <s v="Guest 17"/>
    <s v="Guest17@gmail.com"/>
    <x v="4"/>
    <d v="2020-09-11T00:00:00"/>
    <d v="2020-09-12T00:00:00"/>
    <d v="2020-08-02T00:00:00"/>
    <d v="1899-12-30T08:00:00"/>
    <d v="1899-12-31T00:00:00"/>
    <s v="tokeet"/>
    <x v="1"/>
    <n v="5"/>
    <n v="0"/>
    <s v="GBP"/>
    <n v="129"/>
    <n v="5"/>
    <n v="1"/>
  </r>
  <r>
    <s v="Guest 412"/>
    <s v="Guest412@airbnb.com"/>
    <x v="2"/>
    <d v="2020-09-12T00:00:00"/>
    <d v="2020-09-14T00:00:00"/>
    <d v="2020-08-23T00:00:00"/>
    <d v="1899-12-30T08:00:00"/>
    <d v="1899-12-31T00:00:00"/>
    <s v="airbnb"/>
    <x v="0"/>
    <n v="2"/>
    <n v="0"/>
    <s v="GBP"/>
    <n v="212"/>
    <n v="2"/>
    <n v="2"/>
  </r>
  <r>
    <s v="Guest 270"/>
    <s v="Guest270@airbnb.com"/>
    <x v="7"/>
    <d v="2020-09-12T00:00:00"/>
    <d v="2020-09-13T00:00:00"/>
    <d v="2020-09-05T00:00:00"/>
    <d v="1899-12-30T11:00:00"/>
    <d v="1899-12-30T10:00:00"/>
    <s v="airbnb"/>
    <x v="0"/>
    <n v="7"/>
    <n v="0"/>
    <s v="GBP"/>
    <n v="123"/>
    <n v="7"/>
    <n v="1"/>
  </r>
  <r>
    <s v="Guest 415"/>
    <s v="Guest415@gmail%2Ecom"/>
    <x v="5"/>
    <d v="2020-09-13T00:00:00"/>
    <d v="2020-09-18T00:00:00"/>
    <d v="2020-08-04T00:00:00"/>
    <d v="1899-12-30T14:00:00"/>
    <d v="1899-12-30T11:00:00"/>
    <s v="tokeet"/>
    <x v="0"/>
    <n v="5"/>
    <n v="0"/>
    <s v="GBP"/>
    <n v="750"/>
    <n v="5"/>
    <n v="5"/>
  </r>
  <r>
    <s v="Guest 305"/>
    <s v="Guest305@airbnb.com"/>
    <x v="2"/>
    <d v="2020-09-13T00:00:00"/>
    <d v="2020-09-15T00:00:00"/>
    <d v="2020-09-01T00:00:00"/>
    <d v="1899-12-30T08:00:00"/>
    <d v="1899-12-31T00:00:00"/>
    <s v="airbnb"/>
    <x v="0"/>
    <n v="5"/>
    <n v="0"/>
    <s v="GBP"/>
    <n v="213"/>
    <n v="5"/>
    <n v="2"/>
  </r>
  <r>
    <s v="Guest 452"/>
    <s v="Guest452@gmail.com"/>
    <x v="4"/>
    <d v="2020-09-13T00:00:00"/>
    <d v="2020-09-15T00:00:00"/>
    <d v="2020-08-20T00:00:00"/>
    <d v="1899-12-30T08:00:00"/>
    <d v="1899-12-31T00:00:00"/>
    <s v="tokeet"/>
    <x v="1"/>
    <n v="6"/>
    <n v="0"/>
    <s v="GBP"/>
    <n v="236.5"/>
    <n v="6"/>
    <n v="2"/>
  </r>
  <r>
    <s v="Guest 175"/>
    <s v="Guest175@gmail.com"/>
    <x v="2"/>
    <d v="2020-09-13T00:00:00"/>
    <d v="2020-09-16T00:00:00"/>
    <d v="2020-09-05T00:00:00"/>
    <d v="1899-12-30T08:00:00"/>
    <d v="1899-12-31T00:00:00"/>
    <s v="tokeet"/>
    <x v="1"/>
    <n v="4"/>
    <n v="0"/>
    <s v="GBP"/>
    <n v="354.75"/>
    <n v="4"/>
    <n v="3"/>
  </r>
  <r>
    <s v="Guest 52"/>
    <s v="Guest52@yahoo%2Ecom"/>
    <x v="6"/>
    <d v="2020-09-13T00:00:00"/>
    <d v="2020-09-14T00:00:00"/>
    <d v="2020-09-09T00:00:00"/>
    <d v="1899-12-30T14:00:00"/>
    <d v="1899-12-30T11:00:00"/>
    <s v="tokeet"/>
    <x v="1"/>
    <n v="4"/>
    <n v="0"/>
    <s v="GBP"/>
    <n v="118.25"/>
    <n v="4"/>
    <n v="1"/>
  </r>
  <r>
    <s v="Guest 160"/>
    <s v="Guest160@airbnb.com"/>
    <x v="3"/>
    <d v="2020-09-14T00:00:00"/>
    <d v="2020-09-21T00:00:00"/>
    <d v="2020-08-20T00:00:00"/>
    <d v="1899-12-30T08:00:00"/>
    <d v="1899-12-31T00:00:00"/>
    <s v="airbnb"/>
    <x v="0"/>
    <n v="5"/>
    <n v="0"/>
    <s v="GBP"/>
    <n v="745"/>
    <n v="5"/>
    <n v="7"/>
  </r>
  <r>
    <s v="Guest 4"/>
    <s v="Guest4@airbnb.com"/>
    <x v="1"/>
    <d v="2020-09-14T00:00:00"/>
    <d v="2020-09-15T00:00:00"/>
    <d v="2020-09-01T00:00:00"/>
    <d v="1899-12-30T14:00:00"/>
    <d v="1899-12-30T11:00:00"/>
    <s v="tokeet"/>
    <x v="0"/>
    <n v="6"/>
    <n v="0"/>
    <s v="GBP"/>
    <n v="118.25"/>
    <n v="6"/>
    <n v="1"/>
  </r>
  <r>
    <s v="Guest 342"/>
    <s v="Guest342@gmail.com"/>
    <x v="6"/>
    <d v="2020-09-14T00:00:00"/>
    <d v="2020-09-15T00:00:00"/>
    <d v="2020-09-12T00:00:00"/>
    <d v="1899-12-30T14:00:00"/>
    <d v="1899-12-30T11:00:00"/>
    <s v="tokeet"/>
    <x v="1"/>
    <n v="6"/>
    <n v="0"/>
    <s v="GBP"/>
    <n v="118.25"/>
    <n v="6"/>
    <n v="1"/>
  </r>
  <r>
    <s v="Guest 493"/>
    <s v="Guest493@gmail.com"/>
    <x v="3"/>
    <d v="2020-09-14T00:00:00"/>
    <d v="2020-09-15T00:00:00"/>
    <d v="2020-09-07T00:00:00"/>
    <d v="1899-12-30T08:00:00"/>
    <d v="1899-12-31T00:00:00"/>
    <s v="tokeet"/>
    <x v="0"/>
    <n v="4"/>
    <n v="0"/>
    <s v="GBP"/>
    <n v="129"/>
    <n v="4"/>
    <n v="1"/>
  </r>
  <r>
    <s v="Guest 437"/>
    <s v="Guest437@gmail.com"/>
    <x v="3"/>
    <d v="2020-09-14T00:00:00"/>
    <d v="2020-09-17T00:00:00"/>
    <d v="2020-09-14T00:00:00"/>
    <d v="1899-12-30T08:00:00"/>
    <d v="1899-12-31T00:00:00"/>
    <s v="tokeet"/>
    <x v="1"/>
    <n v="6"/>
    <n v="0"/>
    <s v="GBP"/>
    <n v="387"/>
    <n v="6"/>
    <n v="3"/>
  </r>
  <r>
    <s v="Guest 472"/>
    <s v="Guest472@airbnb.com"/>
    <x v="2"/>
    <d v="2020-09-15T00:00:00"/>
    <d v="2020-09-17T00:00:00"/>
    <d v="2020-08-19T00:00:00"/>
    <d v="1899-12-30T08:00:00"/>
    <d v="1899-12-31T00:00:00"/>
    <s v="airbnb"/>
    <x v="0"/>
    <n v="4"/>
    <n v="0"/>
    <s v="GBP"/>
    <n v="212"/>
    <n v="4"/>
    <n v="2"/>
  </r>
  <r>
    <s v="Guest 452"/>
    <s v="Guest452@gmail.com"/>
    <x v="4"/>
    <d v="2020-09-15T00:00:00"/>
    <d v="2020-09-18T00:00:00"/>
    <d v="2020-08-20T00:00:00"/>
    <d v="1899-12-30T08:00:00"/>
    <d v="1899-12-31T00:00:00"/>
    <s v="tokeet"/>
    <x v="1"/>
    <n v="5"/>
    <n v="0"/>
    <s v="GBP"/>
    <n v="330"/>
    <n v="5"/>
    <n v="3"/>
  </r>
  <r>
    <s v="Guest 452"/>
    <s v="Guest452@gmail.com"/>
    <x v="6"/>
    <d v="2020-09-15T00:00:00"/>
    <d v="2020-09-17T00:00:00"/>
    <d v="2020-09-14T00:00:00"/>
    <d v="1899-12-30T14:00:00"/>
    <d v="1899-12-30T11:00:00"/>
    <s v="tokeet"/>
    <x v="1"/>
    <n v="4"/>
    <n v="0"/>
    <s v="GBP"/>
    <n v="258"/>
    <n v="4"/>
    <n v="2"/>
  </r>
  <r>
    <s v="Guest 463"/>
    <s v="Guest463@yahoo.com"/>
    <x v="1"/>
    <d v="2020-09-15T00:00:00"/>
    <d v="2020-09-16T00:00:00"/>
    <d v="2020-09-14T00:00:00"/>
    <d v="1899-12-30T14:00:00"/>
    <d v="1899-12-30T11:00:00"/>
    <s v="tokeet"/>
    <x v="1"/>
    <n v="4"/>
    <n v="0"/>
    <s v="GBP"/>
    <n v="129"/>
    <n v="4"/>
    <n v="1"/>
  </r>
  <r>
    <s v="Guest 106"/>
    <s v="Guest106@airbnb.com"/>
    <x v="2"/>
    <d v="2020-09-16T00:00:00"/>
    <d v="2020-09-18T00:00:00"/>
    <d v="2020-08-29T00:00:00"/>
    <d v="1899-12-30T08:00:00"/>
    <d v="1899-12-31T00:00:00"/>
    <s v="airbnb"/>
    <x v="0"/>
    <n v="1"/>
    <n v="0"/>
    <s v="GBP"/>
    <n v="212"/>
    <n v="1"/>
    <n v="2"/>
  </r>
  <r>
    <s v="Guest 331"/>
    <s v="Guest331@gmail.com"/>
    <x v="2"/>
    <d v="2020-09-16T00:00:00"/>
    <d v="2020-09-18T00:00:00"/>
    <d v="2020-09-08T00:00:00"/>
    <d v="1899-12-30T08:00:00"/>
    <d v="1899-12-31T00:00:00"/>
    <s v="tokeet"/>
    <x v="1"/>
    <n v="4"/>
    <n v="0"/>
    <s v="GBP"/>
    <n v="236.5"/>
    <n v="4"/>
    <n v="2"/>
  </r>
  <r>
    <s v="Guest 449"/>
    <s v="Guest449@gmail.com"/>
    <x v="1"/>
    <d v="2020-09-16T00:00:00"/>
    <d v="2020-09-17T00:00:00"/>
    <d v="2020-09-15T00:00:00"/>
    <d v="1899-12-30T14:00:00"/>
    <d v="1899-12-30T11:00:00"/>
    <s v="tokeet"/>
    <x v="1"/>
    <n v="6"/>
    <n v="0"/>
    <s v="GBP"/>
    <n v="129"/>
    <n v="6"/>
    <n v="1"/>
  </r>
  <r>
    <s v="Guest 249"/>
    <s v="Guest249@gmail.com"/>
    <x v="1"/>
    <d v="2020-09-17T00:00:00"/>
    <d v="2020-09-18T00:00:00"/>
    <d v="2020-09-11T00:00:00"/>
    <d v="1899-12-30T14:00:00"/>
    <d v="1899-12-30T11:00:00"/>
    <s v="tokeet"/>
    <x v="1"/>
    <n v="4"/>
    <n v="0"/>
    <s v="GBP"/>
    <n v="118.25"/>
    <n v="4"/>
    <n v="1"/>
  </r>
  <r>
    <s v="Guest 494"/>
    <s v="Guest494@gmail.com"/>
    <x v="3"/>
    <d v="2020-09-17T00:00:00"/>
    <d v="2020-09-18T00:00:00"/>
    <d v="2020-09-14T00:00:00"/>
    <d v="1899-12-30T08:00:00"/>
    <d v="1899-12-31T00:00:00"/>
    <s v="tokeet"/>
    <x v="1"/>
    <n v="5"/>
    <n v="0"/>
    <s v="GBP"/>
    <n v="129"/>
    <n v="5"/>
    <n v="1"/>
  </r>
  <r>
    <s v="Guest 415"/>
    <s v="Guest415@gmail%2Ecom"/>
    <x v="6"/>
    <d v="2020-09-17T00:00:00"/>
    <d v="2020-09-24T00:00:00"/>
    <d v="2020-08-02T00:00:00"/>
    <d v="1899-12-30T14:00:00"/>
    <d v="1899-12-30T11:00:00"/>
    <s v="tokeet"/>
    <x v="1"/>
    <n v="5"/>
    <n v="0"/>
    <s v="GBP"/>
    <n v="903"/>
    <n v="5"/>
    <n v="7"/>
  </r>
  <r>
    <s v="Guest 196"/>
    <s v="Guest196@gmail.com"/>
    <x v="4"/>
    <d v="2020-09-18T00:00:00"/>
    <d v="2020-09-21T00:00:00"/>
    <d v="2020-08-06T00:00:00"/>
    <d v="1899-12-30T08:00:00"/>
    <d v="1899-12-31T00:00:00"/>
    <s v="tokeet"/>
    <x v="1"/>
    <n v="2"/>
    <n v="0"/>
    <s v="GBP"/>
    <n v="110"/>
    <n v="2"/>
    <n v="3"/>
  </r>
  <r>
    <s v="Guest 373"/>
    <s v="Guest373@yahoo.co.uk"/>
    <x v="2"/>
    <d v="2020-09-18T00:00:00"/>
    <d v="2020-09-20T00:00:00"/>
    <d v="2020-08-13T00:00:00"/>
    <d v="1899-12-30T08:00:00"/>
    <d v="1899-12-31T00:00:00"/>
    <s v="tokeet"/>
    <x v="1"/>
    <n v="6"/>
    <n v="0"/>
    <s v="GBP"/>
    <n v="110"/>
    <n v="6"/>
    <n v="2"/>
  </r>
  <r>
    <s v="Guest 373"/>
    <s v="Guest373@yahoo.co.uk"/>
    <x v="1"/>
    <d v="2020-09-18T00:00:00"/>
    <d v="2020-09-20T00:00:00"/>
    <d v="2020-08-14T00:00:00"/>
    <d v="1899-12-30T14:00:00"/>
    <d v="1899-12-30T11:00:00"/>
    <s v="tokeet"/>
    <x v="1"/>
    <n v="6"/>
    <n v="0"/>
    <s v="GBP"/>
    <n v="220"/>
    <n v="6"/>
    <n v="2"/>
  </r>
  <r>
    <s v="Guest 378"/>
    <s v="Guest378@gmail.com"/>
    <x v="3"/>
    <d v="2020-09-18T00:00:00"/>
    <d v="2020-09-20T00:00:00"/>
    <d v="2020-08-31T00:00:00"/>
    <d v="1899-12-30T08:00:00"/>
    <d v="1899-12-31T00:00:00"/>
    <s v="tokeet"/>
    <x v="0"/>
    <n v="6"/>
    <n v="0"/>
    <s v="GBP"/>
    <n v="236.5"/>
    <n v="6"/>
    <n v="2"/>
  </r>
  <r>
    <s v="Guest 375"/>
    <s v="Guest375@gmail.com"/>
    <x v="3"/>
    <d v="2020-09-18T00:00:00"/>
    <d v="2020-09-19T00:00:00"/>
    <d v="2020-09-04T00:00:00"/>
    <d v="1899-12-30T08:00:00"/>
    <d v="1899-12-31T00:00:00"/>
    <s v="tokeet"/>
    <x v="1"/>
    <n v="4"/>
    <n v="0"/>
    <s v="GBP"/>
    <n v="118.25"/>
    <n v="4"/>
    <n v="1"/>
  </r>
  <r>
    <s v="Guest 20"/>
    <s v="Guest20@airbnb.com"/>
    <x v="4"/>
    <d v="2020-09-18T00:00:00"/>
    <d v="2020-09-19T00:00:00"/>
    <d v="2020-09-12T00:00:00"/>
    <d v="1899-12-30T08:00:00"/>
    <d v="1899-12-31T00:00:00"/>
    <s v="airbnb"/>
    <x v="0"/>
    <n v="1"/>
    <n v="0"/>
    <s v="GBP"/>
    <n v="91.58"/>
    <n v="1"/>
    <n v="1"/>
  </r>
  <r>
    <s v="Guest 495"/>
    <s v="Guest495@airbnb.com"/>
    <x v="2"/>
    <d v="2020-09-19T00:00:00"/>
    <d v="2020-09-20T00:00:00"/>
    <d v="2020-06-25T00:00:00"/>
    <d v="1899-12-30T08:00:00"/>
    <d v="1899-12-31T00:00:00"/>
    <s v="airbnb"/>
    <x v="0"/>
    <n v="4"/>
    <n v="0"/>
    <s v="GBP"/>
    <n v="107"/>
    <n v="4"/>
    <n v="1"/>
  </r>
  <r>
    <s v="Guest 435"/>
    <s v="Guest435@airbnb.com"/>
    <x v="7"/>
    <d v="2020-09-19T00:00:00"/>
    <d v="2020-09-20T00:00:00"/>
    <d v="2020-08-22T00:00:00"/>
    <d v="1899-12-30T11:00:00"/>
    <d v="1899-12-30T10:00:00"/>
    <s v="airbnb"/>
    <x v="0"/>
    <n v="8"/>
    <n v="0"/>
    <s v="GBP"/>
    <n v="107"/>
    <n v="8"/>
    <n v="1"/>
  </r>
  <r>
    <s v="Guest 241"/>
    <s v="Guest241@gmail.com"/>
    <x v="3"/>
    <d v="2020-09-19T00:00:00"/>
    <d v="2020-09-20T00:00:00"/>
    <d v="2020-09-01T00:00:00"/>
    <d v="1899-12-30T08:00:00"/>
    <d v="1899-12-31T00:00:00"/>
    <s v="tokeet"/>
    <x v="1"/>
    <n v="4"/>
    <n v="0"/>
    <s v="GBP"/>
    <n v="118.25"/>
    <n v="4"/>
    <n v="1"/>
  </r>
  <r>
    <s v="Guest 46"/>
    <s v="Guest46@encry.com"/>
    <x v="6"/>
    <d v="2020-09-20T00:00:00"/>
    <d v="2020-09-24T00:00:00"/>
    <d v="2020-09-01T00:00:00"/>
    <d v="1899-12-30T14:00:00"/>
    <d v="1899-12-30T11:00:00"/>
    <s v="tokeet"/>
    <x v="0"/>
    <n v="4"/>
    <n v="0"/>
    <s v="GBP"/>
    <n v="473"/>
    <n v="4"/>
    <n v="4"/>
  </r>
  <r>
    <s v="Guest 98"/>
    <s v="Guest98@gmail.com"/>
    <x v="2"/>
    <d v="2020-09-20T00:00:00"/>
    <d v="2020-09-21T00:00:00"/>
    <d v="2020-09-09T00:00:00"/>
    <d v="1899-12-30T08:00:00"/>
    <d v="1899-12-31T00:00:00"/>
    <s v="tokeet"/>
    <x v="1"/>
    <n v="4"/>
    <n v="0"/>
    <s v="GBP"/>
    <n v="118.25"/>
    <n v="4"/>
    <n v="1"/>
  </r>
  <r>
    <s v="Guest 204"/>
    <s v="Guest204@gmail.com"/>
    <x v="1"/>
    <d v="2020-09-20T00:00:00"/>
    <d v="2020-09-26T00:00:00"/>
    <d v="2020-09-09T00:00:00"/>
    <d v="1899-12-30T14:00:00"/>
    <d v="1899-12-30T11:00:00"/>
    <s v="tokeet"/>
    <x v="1"/>
    <n v="3"/>
    <n v="0"/>
    <s v="GBP"/>
    <n v="709.5"/>
    <n v="3"/>
    <n v="6"/>
  </r>
  <r>
    <s v="Guest 286"/>
    <s v="Guest286@airbnb.com"/>
    <x v="3"/>
    <d v="2020-09-20T00:00:00"/>
    <d v="2020-09-22T00:00:00"/>
    <d v="2020-09-15T00:00:00"/>
    <d v="1899-12-30T08:00:00"/>
    <d v="1899-12-31T00:00:00"/>
    <s v="airbnb"/>
    <x v="0"/>
    <n v="2"/>
    <n v="0"/>
    <s v="GBP"/>
    <n v="251"/>
    <n v="2"/>
    <n v="2"/>
  </r>
  <r>
    <s v="Guest 8"/>
    <s v="Guest8@gmail.com"/>
    <x v="3"/>
    <d v="2020-09-20T00:00:00"/>
    <d v="2020-09-22T00:00:00"/>
    <d v="2020-09-17T00:00:00"/>
    <d v="1899-12-30T08:00:00"/>
    <d v="1899-12-31T00:00:00"/>
    <s v="tokeet"/>
    <x v="1"/>
    <n v="4"/>
    <n v="0"/>
    <s v="GBP"/>
    <n v="258"/>
    <n v="4"/>
    <n v="2"/>
  </r>
  <r>
    <s v="Guest 452"/>
    <s v="Guest452@gmail.com"/>
    <x v="4"/>
    <d v="2020-09-21T00:00:00"/>
    <d v="2020-09-27T00:00:00"/>
    <d v="2020-08-20T00:00:00"/>
    <d v="1899-12-30T08:00:00"/>
    <d v="1899-12-31T00:00:00"/>
    <s v="tokeet"/>
    <x v="0"/>
    <n v="4"/>
    <n v="0"/>
    <s v="GBP"/>
    <n v="660"/>
    <n v="4"/>
    <n v="6"/>
  </r>
  <r>
    <s v="Guest 452"/>
    <s v="Guest452@gmail.com"/>
    <x v="4"/>
    <d v="2020-09-21T00:00:00"/>
    <d v="2020-09-27T00:00:00"/>
    <d v="2020-09-05T00:00:00"/>
    <d v="1899-12-30T08:00:00"/>
    <d v="1899-12-31T00:00:00"/>
    <s v="tokeet"/>
    <x v="1"/>
    <n v="4"/>
    <n v="0"/>
    <s v="GBP"/>
    <n v="709.5"/>
    <n v="4"/>
    <n v="6"/>
  </r>
  <r>
    <s v="Guest 196"/>
    <s v="Guest196@gmail.com"/>
    <x v="6"/>
    <d v="2020-09-21T00:00:00"/>
    <d v="2020-09-22T00:00:00"/>
    <d v="2020-09-07T00:00:00"/>
    <d v="1899-12-30T14:00:00"/>
    <d v="1899-12-30T11:00:00"/>
    <s v="tokeet"/>
    <x v="0"/>
    <n v="4"/>
    <n v="0"/>
    <s v="GBP"/>
    <n v="118.25"/>
    <n v="4"/>
    <n v="1"/>
  </r>
  <r>
    <s v="Guest 196"/>
    <s v="Guest196@gmail.com"/>
    <x v="2"/>
    <d v="2020-09-21T00:00:00"/>
    <d v="2020-09-22T00:00:00"/>
    <d v="2020-09-20T00:00:00"/>
    <d v="1899-12-30T08:00:00"/>
    <d v="1899-12-31T00:00:00"/>
    <s v="tokeet"/>
    <x v="1"/>
    <n v="4"/>
    <n v="0"/>
    <s v="GBP"/>
    <n v="129"/>
    <n v="4"/>
    <n v="1"/>
  </r>
  <r>
    <s v="Guest 53"/>
    <s v="Guest53@gmail%2Ecom"/>
    <x v="2"/>
    <d v="2020-09-22T00:00:00"/>
    <d v="2020-09-23T00:00:00"/>
    <d v="2020-09-10T00:00:00"/>
    <d v="1899-12-30T08:00:00"/>
    <d v="1899-12-31T00:00:00"/>
    <s v="tokeet"/>
    <x v="0"/>
    <n v="5"/>
    <n v="0"/>
    <s v="GBP"/>
    <n v="118.25"/>
    <n v="5"/>
    <n v="1"/>
  </r>
  <r>
    <s v="Guest 53"/>
    <s v="Guest53@gmail%2Ecom"/>
    <x v="3"/>
    <d v="2020-09-22T00:00:00"/>
    <d v="2020-09-24T00:00:00"/>
    <d v="2020-09-10T00:00:00"/>
    <d v="1899-12-30T08:00:00"/>
    <d v="1899-12-31T00:00:00"/>
    <s v="tokeet"/>
    <x v="1"/>
    <n v="6"/>
    <n v="0"/>
    <s v="GBP"/>
    <n v="236.5"/>
    <n v="6"/>
    <n v="2"/>
  </r>
  <r>
    <s v="Guest 156"/>
    <s v="Guest156@slh%2Ecom"/>
    <x v="2"/>
    <d v="2020-09-22T00:00:00"/>
    <d v="2020-09-23T00:00:00"/>
    <d v="2020-09-12T00:00:00"/>
    <d v="1899-12-30T08:00:00"/>
    <d v="1899-12-31T00:00:00"/>
    <s v="tokeet"/>
    <x v="0"/>
    <n v="4"/>
    <n v="0"/>
    <s v="GBP"/>
    <n v="118.25"/>
    <n v="4"/>
    <n v="1"/>
  </r>
  <r>
    <s v="Guest 183"/>
    <s v="Guest183@airbnb.com"/>
    <x v="2"/>
    <d v="2020-09-24T00:00:00"/>
    <d v="2020-10-04T00:00:00"/>
    <d v="2020-06-18T00:00:00"/>
    <d v="1899-12-30T08:00:00"/>
    <d v="1899-12-31T00:00:00"/>
    <s v="airbnb"/>
    <x v="0"/>
    <n v="1"/>
    <n v="0"/>
    <s v="GBP"/>
    <n v="1029"/>
    <n v="1"/>
    <n v="10"/>
  </r>
  <r>
    <s v="Guest 66"/>
    <s v="Guest66@gmail%2Ecom"/>
    <x v="3"/>
    <d v="2020-09-24T00:00:00"/>
    <d v="2020-09-25T00:00:00"/>
    <d v="2020-09-22T00:00:00"/>
    <d v="1899-12-30T08:00:00"/>
    <d v="1899-12-31T00:00:00"/>
    <s v="tokeet"/>
    <x v="1"/>
    <n v="10"/>
    <n v="0"/>
    <s v="GBP"/>
    <n v="215"/>
    <n v="10"/>
    <n v="1"/>
  </r>
  <r>
    <s v="Guest 213"/>
    <s v="Guest213@gmail.com"/>
    <x v="2"/>
    <d v="2020-09-24T00:00:00"/>
    <d v="2020-09-25T00:00:00"/>
    <d v="2020-09-22T00:00:00"/>
    <d v="1899-12-30T08:00:00"/>
    <d v="1899-12-31T00:00:00"/>
    <s v="tokeet"/>
    <x v="1"/>
    <n v="3"/>
    <n v="0"/>
    <s v="GBP"/>
    <n v="129"/>
    <n v="3"/>
    <n v="1"/>
  </r>
  <r>
    <s v="Guest 553"/>
    <s v="Guest553@gmail.com"/>
    <x v="6"/>
    <d v="2020-09-25T00:00:00"/>
    <d v="2020-09-29T00:00:00"/>
    <d v="2020-08-24T00:00:00"/>
    <d v="1899-12-30T14:00:00"/>
    <d v="1899-12-30T11:00:00"/>
    <s v="tokeet"/>
    <x v="1"/>
    <n v="6"/>
    <n v="0"/>
    <s v="GBP"/>
    <n v="473"/>
    <n v="6"/>
    <n v="4"/>
  </r>
  <r>
    <s v="Guest 378"/>
    <s v="Guest378@gmail.com"/>
    <x v="2"/>
    <d v="2020-09-25T00:00:00"/>
    <d v="2020-09-27T00:00:00"/>
    <d v="2020-09-01T00:00:00"/>
    <d v="1899-12-30T08:00:00"/>
    <d v="1899-12-31T00:00:00"/>
    <s v="tokeet"/>
    <x v="1"/>
    <n v="6"/>
    <n v="0"/>
    <s v="GBP"/>
    <n v="236.5"/>
    <n v="6"/>
    <n v="2"/>
  </r>
  <r>
    <s v="Guest 378"/>
    <s v="Guest378@gmail.com"/>
    <x v="3"/>
    <d v="2020-09-25T00:00:00"/>
    <d v="2020-09-27T00:00:00"/>
    <d v="2020-09-01T00:00:00"/>
    <d v="1899-12-30T08:00:00"/>
    <d v="1899-12-31T00:00:00"/>
    <s v="tokeet"/>
    <x v="0"/>
    <n v="6"/>
    <n v="0"/>
    <s v="GBP"/>
    <n v="236.5"/>
    <n v="6"/>
    <n v="2"/>
  </r>
  <r>
    <s v="Guest 467"/>
    <s v="Guest467@gmail.com"/>
    <x v="5"/>
    <d v="2020-09-25T00:00:00"/>
    <d v="2020-09-30T00:00:00"/>
    <d v="2020-09-09T00:00:00"/>
    <d v="1899-12-30T14:00:00"/>
    <d v="1899-12-30T11:00:00"/>
    <s v="tokeet"/>
    <x v="1"/>
    <n v="6"/>
    <n v="0"/>
    <s v="GBP"/>
    <n v="940.62"/>
    <n v="6"/>
    <n v="5"/>
  </r>
  <r>
    <s v="Guest 275"/>
    <s v="Guest275@airbnb.com"/>
    <x v="3"/>
    <d v="2020-09-26T00:00:00"/>
    <d v="2020-09-29T00:00:00"/>
    <d v="2020-08-27T00:00:00"/>
    <d v="1899-12-30T08:00:00"/>
    <d v="1899-12-31T00:00:00"/>
    <s v="tokeet"/>
    <x v="0"/>
    <n v="4"/>
    <n v="0"/>
    <s v="GBP"/>
    <n v="354.75"/>
    <n v="4"/>
    <n v="3"/>
  </r>
  <r>
    <s v="Guest 275"/>
    <s v="Guest275@airbnb.com"/>
    <x v="1"/>
    <d v="2020-09-26T00:00:00"/>
    <d v="2020-09-29T00:00:00"/>
    <d v="2020-08-30T00:00:00"/>
    <d v="1899-12-30T14:00:00"/>
    <d v="1899-12-30T11:00:00"/>
    <s v="tokeet"/>
    <x v="1"/>
    <n v="6"/>
    <n v="0"/>
    <s v="GBP"/>
    <n v="354.75"/>
    <n v="6"/>
    <n v="3"/>
  </r>
  <r>
    <s v="Guest 195"/>
    <s v="Guest195@airbnb.com"/>
    <x v="3"/>
    <d v="2020-09-27T00:00:00"/>
    <d v="2020-09-30T00:00:00"/>
    <d v="2020-05-19T00:00:00"/>
    <d v="1899-12-30T08:00:00"/>
    <d v="1899-12-31T00:00:00"/>
    <s v="airbnb"/>
    <x v="0"/>
    <n v="1"/>
    <n v="0"/>
    <s v="GBP"/>
    <n v="338"/>
    <n v="1"/>
    <n v="3"/>
  </r>
  <r>
    <s v="Guest 452"/>
    <s v="Guest452@gmail.com"/>
    <x v="4"/>
    <d v="2020-09-27T00:00:00"/>
    <d v="2020-09-30T00:00:00"/>
    <d v="2020-09-05T00:00:00"/>
    <d v="1899-12-30T08:00:00"/>
    <d v="1899-12-31T00:00:00"/>
    <s v="tokeet"/>
    <x v="0"/>
    <n v="4"/>
    <n v="0"/>
    <s v="GBP"/>
    <n v="354.75"/>
    <n v="4"/>
    <n v="3"/>
  </r>
  <r>
    <s v="Guest 383"/>
    <s v="Guest383@gmail.com"/>
    <x v="3"/>
    <d v="2020-09-27T00:00:00"/>
    <d v="2020-10-02T00:00:00"/>
    <d v="2020-09-10T00:00:00"/>
    <d v="1899-12-30T08:00:00"/>
    <d v="1899-12-31T00:00:00"/>
    <s v="tokeet"/>
    <x v="1"/>
    <n v="3"/>
    <n v="0"/>
    <s v="GBP"/>
    <n v="591.25"/>
    <n v="3"/>
    <n v="5"/>
  </r>
  <r>
    <s v="Guest 504"/>
    <s v="Guest504@airbnb.com"/>
    <x v="1"/>
    <d v="2020-09-29T00:00:00"/>
    <d v="2020-10-02T00:00:00"/>
    <d v="2020-09-10T00:00:00"/>
    <d v="1899-12-30T14:00:00"/>
    <d v="1899-12-30T11:00:00"/>
    <s v="airbnb"/>
    <x v="0"/>
    <n v="1"/>
    <n v="0"/>
    <s v="GBP"/>
    <n v="324"/>
    <n v="1"/>
    <n v="3"/>
  </r>
  <r>
    <s v="Guest 178"/>
    <s v="Guest178@yahoo.com"/>
    <x v="6"/>
    <d v="2020-09-29T00:00:00"/>
    <d v="2020-10-01T00:00:00"/>
    <d v="2020-09-22T00:00:00"/>
    <d v="1899-12-30T14:00:00"/>
    <d v="1899-12-30T11:00:00"/>
    <s v="tokeet"/>
    <x v="1"/>
    <n v="4"/>
    <n v="0"/>
    <s v="GBP"/>
    <n v="258"/>
    <n v="4"/>
    <n v="2"/>
  </r>
  <r>
    <s v="Guest 205"/>
    <s v="Guest205@gmail.com"/>
    <x v="2"/>
    <d v="2020-09-29T00:00:00"/>
    <d v="2020-10-01T00:00:00"/>
    <d v="2020-09-23T00:00:00"/>
    <d v="1899-12-30T08:00:00"/>
    <d v="1899-12-31T00:00:00"/>
    <s v="tokeet"/>
    <x v="1"/>
    <n v="3"/>
    <n v="0"/>
    <s v="GBP"/>
    <n v="258"/>
    <n v="3"/>
    <n v="2"/>
  </r>
  <r>
    <s v="Guest 157"/>
    <s v="Guest157@airbnb.com"/>
    <x v="7"/>
    <d v="2020-10-01T00:00:00"/>
    <d v="2020-10-03T00:00:00"/>
    <d v="2020-09-11T00:00:00"/>
    <d v="1899-12-30T11:00:00"/>
    <d v="1899-12-30T10:00:00"/>
    <s v="airbnb"/>
    <x v="0"/>
    <n v="3"/>
    <n v="0"/>
    <s v="GBP"/>
    <n v="247"/>
    <n v="3"/>
    <n v="2"/>
  </r>
  <r>
    <s v="Guest 355"/>
    <s v="Guest355@yahoo.com"/>
    <x v="1"/>
    <d v="2020-10-01T00:00:00"/>
    <d v="2020-10-02T00:00:00"/>
    <d v="2020-09-24T00:00:00"/>
    <d v="1899-12-30T14:00:00"/>
    <d v="1899-12-30T11:00:00"/>
    <s v="tokeet"/>
    <x v="1"/>
    <n v="4"/>
    <n v="0"/>
    <s v="GBP"/>
    <n v="129"/>
    <n v="4"/>
    <n v="1"/>
  </r>
  <r>
    <s v="Guest 132"/>
    <s v="Guest132@airbnb.com"/>
    <x v="6"/>
    <d v="2020-10-01T00:00:00"/>
    <d v="2020-10-03T00:00:00"/>
    <d v="2020-10-01T00:00:00"/>
    <d v="1899-12-30T14:00:00"/>
    <d v="1899-12-30T11:00:00"/>
    <s v="tokeet"/>
    <x v="0"/>
    <n v="4"/>
    <n v="0"/>
    <s v="GBP"/>
    <n v="258"/>
    <n v="4"/>
    <n v="2"/>
  </r>
  <r>
    <s v="Guest 132"/>
    <s v="Guest132@airbnb.com"/>
    <x v="6"/>
    <d v="2020-10-01T00:00:00"/>
    <d v="2020-10-03T00:00:00"/>
    <d v="2020-10-01T00:00:00"/>
    <d v="1899-12-30T14:00:00"/>
    <d v="1899-12-30T11:00:00"/>
    <s v="airbnb"/>
    <x v="1"/>
    <n v="4"/>
    <n v="0"/>
    <s v="GBP"/>
    <n v="258"/>
    <n v="4"/>
    <n v="2"/>
  </r>
  <r>
    <s v="Guest 572"/>
    <s v="Guest572@yahoo.com"/>
    <x v="3"/>
    <d v="2020-10-02T00:00:00"/>
    <d v="2020-10-03T00:00:00"/>
    <d v="2020-09-25T00:00:00"/>
    <d v="1899-12-30T08:00:00"/>
    <d v="1899-12-31T00:00:00"/>
    <s v="tokeet"/>
    <x v="1"/>
    <n v="6"/>
    <n v="0"/>
    <s v="GBP"/>
    <n v="129"/>
    <n v="6"/>
    <n v="1"/>
  </r>
  <r>
    <s v="Guest 128"/>
    <s v="Guest128@gmail.com"/>
    <x v="4"/>
    <d v="2020-10-02T00:00:00"/>
    <d v="2020-10-04T00:00:00"/>
    <d v="2020-09-02T00:00:00"/>
    <d v="1899-12-30T08:00:00"/>
    <d v="1899-12-31T00:00:00"/>
    <s v="tokeet"/>
    <x v="1"/>
    <n v="4"/>
    <n v="0"/>
    <s v="GBP"/>
    <n v="258"/>
    <n v="4"/>
    <n v="2"/>
  </r>
  <r>
    <s v="Guest 103"/>
    <s v="Guest103@gmail%2Ecom"/>
    <x v="5"/>
    <d v="2020-10-02T00:00:00"/>
    <d v="2020-10-04T00:00:00"/>
    <d v="2020-09-20T00:00:00"/>
    <d v="1899-12-30T14:00:00"/>
    <d v="1899-12-30T11:00:00"/>
    <s v="tokeet"/>
    <x v="1"/>
    <n v="5"/>
    <n v="0"/>
    <s v="GBP"/>
    <n v="376.25"/>
    <n v="5"/>
    <n v="2"/>
  </r>
  <r>
    <s v="Guest 147"/>
    <s v="Guest147@gmail.com"/>
    <x v="3"/>
    <d v="2020-10-03T00:00:00"/>
    <d v="2020-10-05T00:00:00"/>
    <d v="2020-09-17T00:00:00"/>
    <d v="1899-12-30T08:00:00"/>
    <d v="1899-12-31T00:00:00"/>
    <s v="tokeet"/>
    <x v="1"/>
    <n v="5"/>
    <n v="0"/>
    <s v="GBP"/>
    <n v="258"/>
    <n v="5"/>
    <n v="2"/>
  </r>
  <r>
    <s v="Guest 103"/>
    <s v="Guest103@gmail%2Ecom"/>
    <x v="7"/>
    <d v="2020-10-03T00:00:00"/>
    <d v="2020-10-05T00:00:00"/>
    <d v="2020-10-02T00:00:00"/>
    <d v="1899-12-30T14:00:00"/>
    <d v="1899-12-30T12:00:00"/>
    <s v="tokeet"/>
    <x v="1"/>
    <n v="5"/>
    <n v="0"/>
    <s v="GBP"/>
    <n v="376.25"/>
    <n v="5"/>
    <n v="2"/>
  </r>
  <r>
    <s v="Guest 289"/>
    <s v="Guest289@yahoo%2Ecom"/>
    <x v="5"/>
    <d v="2020-10-04T00:00:00"/>
    <d v="2020-10-15T00:00:00"/>
    <d v="2020-09-23T00:00:00"/>
    <d v="1899-12-30T14:00:00"/>
    <d v="1899-12-30T11:00:00"/>
    <s v="tokeet"/>
    <x v="0"/>
    <n v="3"/>
    <n v="0"/>
    <s v="GBP"/>
    <n v="2069.38"/>
    <n v="3"/>
    <n v="11"/>
  </r>
  <r>
    <s v="Guest 235"/>
    <s v="Guest235@yahoo.com"/>
    <x v="1"/>
    <d v="2020-10-04T00:00:00"/>
    <d v="2020-10-05T00:00:00"/>
    <d v="2020-09-30T00:00:00"/>
    <d v="1899-12-30T14:00:00"/>
    <d v="1899-12-30T11:00:00"/>
    <s v="tokeet"/>
    <x v="1"/>
    <n v="4"/>
    <n v="0"/>
    <s v="GBP"/>
    <n v="129"/>
    <n v="4"/>
    <n v="1"/>
  </r>
  <r>
    <s v="Guest 487"/>
    <s v="Guest487@gmail.com"/>
    <x v="4"/>
    <d v="2020-10-04T00:00:00"/>
    <d v="2020-10-05T00:00:00"/>
    <d v="2020-09-13T00:00:00"/>
    <d v="1899-12-30T08:00:00"/>
    <d v="1899-12-31T00:00:00"/>
    <s v="tokeet"/>
    <x v="0"/>
    <n v="5"/>
    <n v="0"/>
    <s v="GBP"/>
    <n v="129"/>
    <n v="5"/>
    <n v="1"/>
  </r>
  <r>
    <s v="Guest 490"/>
    <s v="Guest490@gmail.com"/>
    <x v="4"/>
    <d v="2020-10-04T00:00:00"/>
    <d v="2020-10-05T00:00:00"/>
    <d v="2020-10-02T00:00:00"/>
    <d v="1899-12-30T12:00:00"/>
    <d v="1899-12-30T14:00:00"/>
    <s v="tokeet"/>
    <x v="1"/>
    <n v="4"/>
    <n v="0"/>
    <s v="GBP"/>
    <n v="129"/>
    <n v="4"/>
    <n v="1"/>
  </r>
  <r>
    <s v="Guest 203"/>
    <s v="Guest203@gmail%2Ecom"/>
    <x v="5"/>
    <d v="2020-10-04T00:00:00"/>
    <d v="2020-10-08T00:00:00"/>
    <d v="2020-09-28T00:00:00"/>
    <d v="1899-12-30T14:00:00"/>
    <d v="1899-12-30T11:00:00"/>
    <s v="tokeet"/>
    <x v="1"/>
    <n v="4"/>
    <n v="0"/>
    <s v="GBP"/>
    <n v="752.5"/>
    <n v="4"/>
    <n v="4"/>
  </r>
  <r>
    <s v="Guest 37"/>
    <s v="Guest37@yahoo.com"/>
    <x v="1"/>
    <d v="2020-10-05T00:00:00"/>
    <d v="2020-10-07T00:00:00"/>
    <d v="2020-09-10T00:00:00"/>
    <d v="1899-12-30T14:00:00"/>
    <d v="1899-12-30T11:00:00"/>
    <s v="tokeet"/>
    <x v="1"/>
    <n v="4"/>
    <n v="0"/>
    <s v="GBP"/>
    <n v="236.5"/>
    <n v="4"/>
    <n v="2"/>
  </r>
  <r>
    <s v="Guest 3"/>
    <s v="Guest3@gmail.com"/>
    <x v="3"/>
    <d v="2020-10-05T00:00:00"/>
    <d v="2020-10-09T00:00:00"/>
    <d v="2020-09-17T00:00:00"/>
    <d v="1899-12-30T08:00:00"/>
    <d v="1899-12-31T00:00:00"/>
    <s v="tokeet"/>
    <x v="0"/>
    <n v="3"/>
    <n v="0"/>
    <s v="GBP"/>
    <n v="516"/>
    <n v="3"/>
    <n v="4"/>
  </r>
  <r>
    <s v="Guest 167"/>
    <s v="Guest167@airbnb.com"/>
    <x v="2"/>
    <d v="2020-10-05T00:00:00"/>
    <d v="2020-10-07T00:00:00"/>
    <d v="2020-09-23T00:00:00"/>
    <d v="1899-12-30T08:00:00"/>
    <d v="1899-12-31T00:00:00"/>
    <s v="airbnb"/>
    <x v="0"/>
    <n v="1"/>
    <n v="0"/>
    <s v="GBP"/>
    <n v="235"/>
    <n v="1"/>
    <n v="2"/>
  </r>
  <r>
    <s v="Guest 167"/>
    <s v="Guest167@airbnb.com"/>
    <x v="3"/>
    <d v="2020-10-05T00:00:00"/>
    <d v="2020-10-07T00:00:00"/>
    <d v="2020-09-23T00:00:00"/>
    <d v="1899-12-30T08:00:00"/>
    <d v="1899-12-31T00:00:00"/>
    <s v="airbnb"/>
    <x v="0"/>
    <n v="1"/>
    <n v="0"/>
    <s v="GBP"/>
    <n v="255"/>
    <n v="1"/>
    <n v="2"/>
  </r>
  <r>
    <s v="Guest 224"/>
    <s v="Guest224@airbnb.com"/>
    <x v="2"/>
    <d v="2020-10-05T00:00:00"/>
    <d v="2020-10-16T00:00:00"/>
    <d v="2020-09-27T00:00:00"/>
    <d v="1899-12-30T08:00:00"/>
    <d v="1899-12-31T00:00:00"/>
    <s v="airbnb"/>
    <x v="0"/>
    <n v="2"/>
    <n v="0"/>
    <s v="GBP"/>
    <n v="1268"/>
    <n v="2"/>
    <n v="11"/>
  </r>
  <r>
    <s v="Guest 72"/>
    <s v="Guest72@gmail%2Ecom"/>
    <x v="4"/>
    <d v="2020-10-05T00:00:00"/>
    <d v="2020-10-07T00:00:00"/>
    <d v="2020-09-03T00:00:00"/>
    <d v="1899-12-30T08:00:00"/>
    <d v="1899-12-31T00:00:00"/>
    <s v="tokeet"/>
    <x v="1"/>
    <n v="4"/>
    <n v="0"/>
    <s v="GBP"/>
    <n v="258"/>
    <n v="4"/>
    <n v="2"/>
  </r>
  <r>
    <s v="Guest 289"/>
    <s v="Guest289@yahoo%2Ecom"/>
    <x v="7"/>
    <d v="2020-10-05T00:00:00"/>
    <d v="2020-10-09T00:00:00"/>
    <d v="2020-09-03T00:00:00"/>
    <d v="1899-12-30T14:00:00"/>
    <d v="1899-12-30T12:00:00"/>
    <s v="tokeet"/>
    <x v="0"/>
    <n v="4"/>
    <n v="0"/>
    <s v="GBP"/>
    <n v="752.5"/>
    <n v="4"/>
    <n v="4"/>
  </r>
  <r>
    <s v="Guest 565"/>
    <s v="Guest565@gmail.com"/>
    <x v="3"/>
    <d v="2020-10-05T00:00:00"/>
    <d v="2020-10-06T00:00:00"/>
    <d v="2020-10-06T00:00:00"/>
    <d v="1899-12-30T08:00:00"/>
    <d v="1899-12-31T00:00:00"/>
    <s v="tokeet"/>
    <x v="1"/>
    <n v="2"/>
    <n v="0"/>
    <s v="GBP"/>
    <n v="129"/>
    <n v="2"/>
    <n v="1"/>
  </r>
  <r>
    <s v="Guest 271"/>
    <s v="Guest271@gmail.com"/>
    <x v="7"/>
    <d v="2020-10-06T00:00:00"/>
    <d v="2020-10-09T00:00:00"/>
    <d v="2020-10-05T00:00:00"/>
    <d v="1899-12-30T14:00:00"/>
    <d v="1899-12-30T12:00:00"/>
    <s v="tokeet"/>
    <x v="1"/>
    <n v="6"/>
    <n v="0"/>
    <s v="GBP"/>
    <n v="564.38"/>
    <n v="6"/>
    <n v="3"/>
  </r>
  <r>
    <s v="Guest 91"/>
    <s v="Guest91@yahoo.com"/>
    <x v="2"/>
    <d v="2020-10-06T00:00:00"/>
    <d v="2020-10-07T00:00:00"/>
    <d v="2020-09-30T00:00:00"/>
    <d v="1899-12-30T08:00:00"/>
    <d v="1899-12-31T00:00:00"/>
    <s v="tokeet"/>
    <x v="1"/>
    <n v="6"/>
    <n v="0"/>
    <s v="GBP"/>
    <n v="129"/>
    <n v="6"/>
    <n v="1"/>
  </r>
  <r>
    <s v="Guest 547"/>
    <s v="Guest547@gmail.com"/>
    <x v="4"/>
    <d v="2020-10-07T00:00:00"/>
    <d v="2020-10-13T00:00:00"/>
    <d v="2020-08-27T00:00:00"/>
    <d v="1899-12-30T08:00:00"/>
    <d v="1899-12-31T00:00:00"/>
    <s v="tokeet"/>
    <x v="1"/>
    <n v="6"/>
    <n v="0"/>
    <s v="GBP"/>
    <n v="709.5"/>
    <n v="6"/>
    <n v="6"/>
  </r>
  <r>
    <s v="Guest 189"/>
    <s v="Guest189@airbnb.com"/>
    <x v="7"/>
    <d v="2020-10-07T00:00:00"/>
    <d v="2020-10-08T00:00:00"/>
    <d v="2020-09-29T00:00:00"/>
    <d v="1899-12-30T14:00:00"/>
    <d v="1899-12-30T12:00:00"/>
    <s v="airbnb"/>
    <x v="0"/>
    <n v="1"/>
    <n v="0"/>
    <s v="GBP"/>
    <n v="192"/>
    <n v="1"/>
    <n v="1"/>
  </r>
  <r>
    <s v="Guest 103"/>
    <s v="Guest103@gmail%2Ecom"/>
    <x v="1"/>
    <d v="2020-10-07T00:00:00"/>
    <d v="2020-10-09T00:00:00"/>
    <d v="2020-10-06T00:00:00"/>
    <d v="1899-12-30T14:00:00"/>
    <d v="1899-12-30T11:00:00"/>
    <s v="tokeet"/>
    <x v="1"/>
    <n v="5"/>
    <n v="0"/>
    <s v="GBP"/>
    <n v="258"/>
    <n v="5"/>
    <n v="2"/>
  </r>
  <r>
    <s v="Guest 189"/>
    <s v="Guest189@airbnb.com"/>
    <x v="1"/>
    <d v="2020-10-08T00:00:00"/>
    <d v="2020-10-10T00:00:00"/>
    <d v="2020-10-02T00:00:00"/>
    <d v="1899-12-30T14:00:00"/>
    <d v="1899-12-30T11:00:00"/>
    <s v="airbnb"/>
    <x v="0"/>
    <n v="1"/>
    <n v="0"/>
    <s v="GBP"/>
    <n v="235"/>
    <n v="1"/>
    <n v="2"/>
  </r>
  <r>
    <s v="Guest 457"/>
    <s v="Guest457@gmail.com"/>
    <x v="5"/>
    <d v="2020-10-08T00:00:00"/>
    <d v="2020-10-13T00:00:00"/>
    <d v="2020-10-03T00:00:00"/>
    <d v="1899-12-30T14:00:00"/>
    <d v="1899-12-30T11:00:00"/>
    <s v="tokeet"/>
    <x v="1"/>
    <n v="6"/>
    <n v="0"/>
    <s v="GBP"/>
    <n v="940.62"/>
    <n v="6"/>
    <n v="5"/>
  </r>
  <r>
    <s v="Guest 494"/>
    <s v="Guest494@gmail.com"/>
    <x v="2"/>
    <d v="2020-10-08T00:00:00"/>
    <d v="2020-10-09T00:00:00"/>
    <d v="2020-10-07T00:00:00"/>
    <d v="1899-12-30T08:00:00"/>
    <d v="1899-12-31T00:00:00"/>
    <s v="tokeet"/>
    <x v="1"/>
    <n v="4"/>
    <n v="0"/>
    <s v="GBP"/>
    <n v="129"/>
    <n v="4"/>
    <n v="1"/>
  </r>
  <r>
    <s v="Guest 125"/>
    <s v="Guest125@yahoo.co.uk"/>
    <x v="3"/>
    <d v="2020-10-08T00:00:00"/>
    <d v="2020-10-09T00:00:00"/>
    <d v="2020-10-02T00:00:00"/>
    <d v="1899-12-30T08:00:00"/>
    <d v="1899-12-31T00:00:00"/>
    <s v="tokeet"/>
    <x v="1"/>
    <n v="3"/>
    <n v="0"/>
    <s v="GBP"/>
    <n v="129"/>
    <n v="3"/>
    <n v="1"/>
  </r>
  <r>
    <s v="Guest 236"/>
    <s v="Guest236@airbnb.com"/>
    <x v="5"/>
    <d v="2020-10-09T00:00:00"/>
    <d v="2020-10-19T00:00:00"/>
    <d v="2020-09-07T00:00:00"/>
    <d v="1899-12-30T14:00:00"/>
    <d v="1899-12-30T11:00:00"/>
    <s v="airbnb"/>
    <x v="0"/>
    <n v="1"/>
    <n v="0"/>
    <s v="GBP"/>
    <n v="1111"/>
    <n v="1"/>
    <n v="10"/>
  </r>
  <r>
    <s v="Guest 236"/>
    <s v="Guest236@airbnb.com"/>
    <x v="1"/>
    <d v="2020-10-09T00:00:00"/>
    <d v="2020-10-19T00:00:00"/>
    <d v="2020-09-07T00:00:00"/>
    <d v="1899-12-30T14:00:00"/>
    <d v="1899-12-30T11:00:00"/>
    <s v="airbnb"/>
    <x v="0"/>
    <n v="1"/>
    <n v="0"/>
    <s v="GBP"/>
    <n v="1015"/>
    <n v="1"/>
    <n v="10"/>
  </r>
  <r>
    <s v="Guest 427"/>
    <s v="Guest427@gmail.com"/>
    <x v="3"/>
    <d v="2020-10-09T00:00:00"/>
    <d v="2020-10-11T00:00:00"/>
    <d v="2020-09-05T00:00:00"/>
    <d v="1899-12-30T08:00:00"/>
    <d v="1899-12-31T00:00:00"/>
    <s v="tokeet"/>
    <x v="0"/>
    <n v="5"/>
    <n v="0"/>
    <s v="GBP"/>
    <n v="236.5"/>
    <n v="5"/>
    <n v="2"/>
  </r>
  <r>
    <s v="Guest 427"/>
    <s v="Guest427@gmail.com"/>
    <x v="3"/>
    <d v="2020-10-09T00:00:00"/>
    <d v="2020-10-11T00:00:00"/>
    <d v="2020-09-05T00:00:00"/>
    <d v="1899-12-30T08:00:00"/>
    <d v="1899-12-31T00:00:00"/>
    <s v="tokeet"/>
    <x v="0"/>
    <n v="5"/>
    <n v="0"/>
    <s v="GBP"/>
    <n v="236.5"/>
    <n v="5"/>
    <n v="2"/>
  </r>
  <r>
    <s v="Guest 427"/>
    <s v="Guest427@gmail.com"/>
    <x v="3"/>
    <d v="2020-10-09T00:00:00"/>
    <d v="2020-10-11T00:00:00"/>
    <d v="2020-09-10T00:00:00"/>
    <d v="1899-12-30T08:00:00"/>
    <d v="1899-12-31T00:00:00"/>
    <s v="tokeet"/>
    <x v="0"/>
    <n v="5"/>
    <n v="0"/>
    <s v="GBP"/>
    <n v="236.5"/>
    <n v="5"/>
    <n v="2"/>
  </r>
  <r>
    <s v="Guest 231"/>
    <s v="Guest231@gmail.com"/>
    <x v="2"/>
    <d v="2020-10-09T00:00:00"/>
    <d v="2020-10-11T00:00:00"/>
    <d v="2020-09-28T00:00:00"/>
    <d v="1899-12-30T08:00:00"/>
    <d v="1899-12-31T00:00:00"/>
    <s v="tokeet"/>
    <x v="1"/>
    <n v="4"/>
    <n v="0"/>
    <s v="GBP"/>
    <n v="258"/>
    <n v="4"/>
    <n v="2"/>
  </r>
  <r>
    <s v="Guest 460"/>
    <s v="Guest460@gmail.com"/>
    <x v="3"/>
    <d v="2020-10-09T00:00:00"/>
    <d v="2020-10-20T00:00:00"/>
    <d v="2020-09-10T00:00:00"/>
    <d v="1899-12-30T08:00:00"/>
    <d v="1899-12-31T00:00:00"/>
    <s v="tokeet"/>
    <x v="0"/>
    <n v="5"/>
    <n v="0"/>
    <s v="GBP"/>
    <n v="1419"/>
    <n v="5"/>
    <n v="11"/>
  </r>
  <r>
    <s v="Guest 386"/>
    <s v="Guest386@yahoo.com"/>
    <x v="7"/>
    <d v="2020-10-09T00:00:00"/>
    <d v="2020-10-11T00:00:00"/>
    <d v="2020-09-28T00:00:00"/>
    <d v="1899-12-30T14:00:00"/>
    <d v="1899-12-30T12:00:00"/>
    <s v="tokeet"/>
    <x v="1"/>
    <n v="4"/>
    <n v="0"/>
    <s v="GBP"/>
    <n v="376.25"/>
    <n v="4"/>
    <n v="2"/>
  </r>
  <r>
    <s v="Guest 1"/>
    <s v="Guest1@gmail%2Ecom"/>
    <x v="1"/>
    <d v="2020-10-09T00:00:00"/>
    <d v="2020-10-10T00:00:00"/>
    <d v="2020-10-03T00:00:00"/>
    <d v="1899-12-30T14:00:00"/>
    <d v="1899-12-30T11:00:00"/>
    <s v="tokeet"/>
    <x v="0"/>
    <n v="2"/>
    <n v="0"/>
    <s v="GBP"/>
    <n v="129"/>
    <n v="2"/>
    <n v="1"/>
  </r>
  <r>
    <s v="Guest 559"/>
    <s v="Guest559@airbnb.com"/>
    <x v="1"/>
    <d v="2020-10-09T00:00:00"/>
    <d v="2020-10-11T00:00:00"/>
    <d v="2020-10-06T00:00:00"/>
    <d v="1899-12-30T14:00:00"/>
    <d v="1899-12-30T11:00:00"/>
    <s v="tokeet"/>
    <x v="1"/>
    <n v="4"/>
    <n v="0"/>
    <s v="GBP"/>
    <n v="258"/>
    <n v="4"/>
    <n v="2"/>
  </r>
  <r>
    <s v="Guest 302"/>
    <s v="Guest302@gmail.com"/>
    <x v="3"/>
    <d v="2020-10-09T00:00:00"/>
    <d v="2020-10-14T00:00:00"/>
    <d v="2020-10-02T00:00:00"/>
    <d v="1899-12-30T08:00:00"/>
    <d v="1899-12-31T00:00:00"/>
    <s v="tokeet"/>
    <x v="1"/>
    <n v="4"/>
    <n v="0"/>
    <s v="GBP"/>
    <n v="645"/>
    <n v="4"/>
    <n v="5"/>
  </r>
  <r>
    <s v="Guest 221"/>
    <s v="Guest221@airbnb.com"/>
    <x v="5"/>
    <d v="2020-10-10T00:00:00"/>
    <d v="2020-10-18T00:00:00"/>
    <d v="2020-09-08T00:00:00"/>
    <d v="1899-12-30T14:00:00"/>
    <d v="1899-12-30T11:00:00"/>
    <s v="airbnb"/>
    <x v="0"/>
    <n v="4"/>
    <n v="0"/>
    <s v="GBP"/>
    <n v="889"/>
    <n v="4"/>
    <n v="8"/>
  </r>
  <r>
    <s v="Guest 410"/>
    <s v="Guest410@airbnb.com"/>
    <x v="2"/>
    <d v="2020-10-11T00:00:00"/>
    <d v="2020-10-13T00:00:00"/>
    <d v="2020-10-02T00:00:00"/>
    <d v="1899-12-30T08:00:00"/>
    <d v="1899-12-31T00:00:00"/>
    <s v="airbnb"/>
    <x v="0"/>
    <n v="1"/>
    <n v="0"/>
    <s v="GBP"/>
    <n v="235"/>
    <n v="1"/>
    <n v="2"/>
  </r>
  <r>
    <s v="Guest 357"/>
    <s v="Guest357@yahoo.com"/>
    <x v="7"/>
    <d v="2020-10-11T00:00:00"/>
    <d v="2020-10-12T00:00:00"/>
    <d v="2020-10-11T00:00:00"/>
    <d v="1899-12-30T14:00:00"/>
    <d v="1899-12-30T12:00:00"/>
    <s v="tokeet"/>
    <x v="0"/>
    <n v="4"/>
    <n v="0"/>
    <s v="GBP"/>
    <n v="188.12"/>
    <n v="4"/>
    <n v="1"/>
  </r>
  <r>
    <s v="Guest 386"/>
    <s v="Guest386@yahoo.com"/>
    <x v="7"/>
    <d v="2020-10-12T00:00:00"/>
    <d v="2020-10-14T00:00:00"/>
    <d v="2020-10-02T00:00:00"/>
    <d v="1899-12-30T14:00:00"/>
    <d v="1899-12-30T12:00:00"/>
    <s v="tokeet"/>
    <x v="0"/>
    <n v="6"/>
    <n v="0"/>
    <s v="GBP"/>
    <n v="213.93"/>
    <n v="6"/>
    <n v="2"/>
  </r>
  <r>
    <s v="Guest 381"/>
    <s v="Guest381@gmail.com"/>
    <x v="2"/>
    <d v="2020-10-12T00:00:00"/>
    <d v="2020-10-15T00:00:00"/>
    <d v="2020-10-06T00:00:00"/>
    <d v="1899-12-30T08:00:00"/>
    <d v="1899-12-31T00:00:00"/>
    <s v="tokeet"/>
    <x v="1"/>
    <n v="4"/>
    <n v="0"/>
    <s v="GBP"/>
    <n v="387"/>
    <n v="4"/>
    <n v="3"/>
  </r>
  <r>
    <s v="Guest 238"/>
    <s v="Guest238@gmail.com"/>
    <x v="1"/>
    <d v="2020-10-13T00:00:00"/>
    <d v="2020-10-15T00:00:00"/>
    <d v="2020-10-01T00:00:00"/>
    <d v="1899-12-30T14:00:00"/>
    <d v="1899-12-30T11:00:00"/>
    <s v="tokeet"/>
    <x v="1"/>
    <n v="6"/>
    <n v="0"/>
    <s v="GBP"/>
    <n v="258"/>
    <n v="6"/>
    <n v="2"/>
  </r>
  <r>
    <s v="Guest 151"/>
    <s v="Guest151@careerinsights.tv"/>
    <x v="4"/>
    <d v="2020-10-13T00:00:00"/>
    <d v="2020-10-14T00:00:00"/>
    <d v="2020-10-10T00:00:00"/>
    <d v="1899-12-30T12:00:00"/>
    <d v="1899-12-30T14:00:00"/>
    <s v="tokeet"/>
    <x v="0"/>
    <n v="1"/>
    <n v="0"/>
    <s v="GBP"/>
    <n v="130000"/>
    <n v="1"/>
    <n v="1"/>
  </r>
  <r>
    <s v="Guest 103"/>
    <s v="Guest103@gmail%2Ecom"/>
    <x v="5"/>
    <d v="2020-10-13T00:00:00"/>
    <d v="2020-10-14T00:00:00"/>
    <d v="2020-10-13T00:00:00"/>
    <d v="1899-12-30T14:00:00"/>
    <d v="1899-12-30T11:00:00"/>
    <s v="tokeet"/>
    <x v="1"/>
    <n v="5"/>
    <n v="0"/>
    <s v="GBP"/>
    <n v="188.12"/>
    <n v="5"/>
    <n v="1"/>
  </r>
  <r>
    <s v="Guest 103"/>
    <s v="Guest103@gmail%2Ecom"/>
    <x v="5"/>
    <d v="2020-10-13T00:00:00"/>
    <d v="2020-10-14T00:00:00"/>
    <d v="2020-10-13T00:00:00"/>
    <d v="1899-12-30T14:00:00"/>
    <d v="1899-12-30T11:00:00"/>
    <s v="tokeet"/>
    <x v="1"/>
    <n v="6"/>
    <n v="0"/>
    <s v="GBP"/>
    <n v="188.13"/>
    <n v="6"/>
    <n v="1"/>
  </r>
  <r>
    <s v="Guest 194"/>
    <s v="Guest194@gmail.com"/>
    <x v="4"/>
    <d v="2020-10-13T00:00:00"/>
    <d v="2020-10-18T00:00:00"/>
    <d v="2020-10-13T00:00:00"/>
    <d v="1899-12-30T12:00:00"/>
    <d v="1899-12-30T14:00:00"/>
    <s v="tokeet"/>
    <x v="1"/>
    <n v="4"/>
    <n v="0"/>
    <s v="GBP"/>
    <n v="645"/>
    <n v="4"/>
    <n v="5"/>
  </r>
  <r>
    <s v="Guest 547"/>
    <s v="Guest547@gmail.com"/>
    <x v="3"/>
    <d v="2020-10-14T00:00:00"/>
    <d v="2020-10-16T00:00:00"/>
    <d v="2020-10-07T00:00:00"/>
    <d v="1899-12-30T08:00:00"/>
    <d v="1899-12-31T00:00:00"/>
    <s v="tokeet"/>
    <x v="0"/>
    <n v="3"/>
    <n v="0"/>
    <s v="GBP"/>
    <n v="258"/>
    <n v="3"/>
    <n v="2"/>
  </r>
  <r>
    <s v="Guest 276"/>
    <s v="Guest276@gmail.com"/>
    <x v="5"/>
    <d v="2020-10-14T00:00:00"/>
    <d v="2020-10-15T00:00:00"/>
    <d v="2020-10-11T00:00:00"/>
    <d v="1899-12-30T14:00:00"/>
    <d v="1899-12-30T11:00:00"/>
    <s v="tokeet"/>
    <x v="1"/>
    <n v="5"/>
    <n v="0"/>
    <s v="GBP"/>
    <n v="188.13"/>
    <n v="5"/>
    <n v="1"/>
  </r>
  <r>
    <s v="Guest 222"/>
    <s v="Guest222@gmail.com"/>
    <x v="3"/>
    <d v="2020-10-14T00:00:00"/>
    <d v="2020-10-16T00:00:00"/>
    <d v="2020-10-14T00:00:00"/>
    <d v="1899-12-30T08:00:00"/>
    <d v="1899-12-31T00:00:00"/>
    <s v="tokeet"/>
    <x v="1"/>
    <n v="4"/>
    <n v="0"/>
    <s v="GBP"/>
    <n v="258"/>
    <n v="4"/>
    <n v="2"/>
  </r>
  <r>
    <s v="Guest 149"/>
    <s v="Guest149@yahoo%2Ecom"/>
    <x v="4"/>
    <d v="2020-10-15T00:00:00"/>
    <d v="2020-10-20T00:00:00"/>
    <d v="2020-10-14T00:00:00"/>
    <d v="1899-12-30T12:00:00"/>
    <d v="1899-12-30T14:00:00"/>
    <s v="tokeet"/>
    <x v="0"/>
    <n v="5"/>
    <n v="0"/>
    <s v="GBP"/>
    <n v="650000"/>
    <n v="5"/>
    <n v="5"/>
  </r>
  <r>
    <s v="Guest 227"/>
    <s v="Guest227@yahoo.com"/>
    <x v="7"/>
    <d v="2020-10-15T00:00:00"/>
    <d v="2020-11-05T00:00:00"/>
    <d v="2020-09-28T00:00:00"/>
    <d v="1899-12-30T14:00:00"/>
    <d v="1899-12-30T12:00:00"/>
    <s v="tokeet"/>
    <x v="1"/>
    <n v="4"/>
    <n v="0"/>
    <s v="GBP"/>
    <n v="4492.43"/>
    <n v="4"/>
    <n v="21"/>
  </r>
  <r>
    <s v="Guest 400"/>
    <s v="Guest400@airbnb.com"/>
    <x v="1"/>
    <d v="2020-10-16T00:00:00"/>
    <d v="2020-10-23T00:00:00"/>
    <d v="2020-09-11T00:00:00"/>
    <d v="1899-12-30T14:00:00"/>
    <d v="1899-12-30T11:00:00"/>
    <s v="airbnb"/>
    <x v="0"/>
    <n v="1"/>
    <n v="0"/>
    <s v="GBP"/>
    <n v="711"/>
    <n v="1"/>
    <n v="7"/>
  </r>
  <r>
    <s v="Guest 541"/>
    <s v="Guest541@gmail.com"/>
    <x v="2"/>
    <d v="2020-10-16T00:00:00"/>
    <d v="2020-10-17T00:00:00"/>
    <d v="2020-09-18T00:00:00"/>
    <d v="1899-12-30T08:00:00"/>
    <d v="1899-12-31T00:00:00"/>
    <s v="tokeet"/>
    <x v="1"/>
    <n v="4"/>
    <n v="0"/>
    <s v="GBP"/>
    <n v="129"/>
    <n v="4"/>
    <n v="1"/>
  </r>
  <r>
    <s v="Guest 541"/>
    <s v="Guest541@gmail.com"/>
    <x v="2"/>
    <d v="2020-10-16T00:00:00"/>
    <d v="2020-10-17T00:00:00"/>
    <d v="2020-09-18T00:00:00"/>
    <d v="1899-12-30T08:00:00"/>
    <d v="1899-12-31T00:00:00"/>
    <s v="tokeet"/>
    <x v="0"/>
    <n v="1"/>
    <n v="0"/>
    <s v="GBP"/>
    <n v="129"/>
    <n v="1"/>
    <n v="1"/>
  </r>
  <r>
    <s v="Guest 352"/>
    <s v="Guest352@yahoo.com"/>
    <x v="1"/>
    <d v="2020-10-16T00:00:00"/>
    <d v="2020-10-18T00:00:00"/>
    <d v="2020-09-21T00:00:00"/>
    <d v="1899-12-30T14:00:00"/>
    <d v="1899-12-30T11:00:00"/>
    <s v="tokeet"/>
    <x v="0"/>
    <n v="3"/>
    <n v="0"/>
    <s v="GBP"/>
    <n v="258"/>
    <n v="3"/>
    <n v="2"/>
  </r>
  <r>
    <s v="Guest 316"/>
    <s v="Guest316@gmail.com"/>
    <x v="1"/>
    <d v="2020-10-16T00:00:00"/>
    <d v="2020-10-18T00:00:00"/>
    <d v="2020-10-05T00:00:00"/>
    <d v="1899-12-30T14:00:00"/>
    <d v="1899-12-30T11:00:00"/>
    <s v="tokeet"/>
    <x v="1"/>
    <n v="4"/>
    <n v="0"/>
    <s v="GBP"/>
    <n v="258"/>
    <n v="4"/>
    <n v="2"/>
  </r>
  <r>
    <s v="Guest 354"/>
    <s v="Guest354@yahoo.com"/>
    <x v="3"/>
    <d v="2020-10-16T00:00:00"/>
    <d v="2020-10-19T00:00:00"/>
    <d v="2020-10-05T00:00:00"/>
    <d v="1899-12-30T08:00:00"/>
    <d v="1899-12-31T00:00:00"/>
    <s v="tokeet"/>
    <x v="1"/>
    <n v="4"/>
    <n v="0"/>
    <s v="GBP"/>
    <n v="387"/>
    <n v="4"/>
    <n v="3"/>
  </r>
  <r>
    <s v="Guest 408"/>
    <s v="Guest408@yahoo.com"/>
    <x v="5"/>
    <d v="2020-10-16T00:00:00"/>
    <d v="2020-10-19T00:00:00"/>
    <d v="2020-10-07T00:00:00"/>
    <d v="1899-12-30T14:00:00"/>
    <d v="1899-12-30T11:00:00"/>
    <s v="tokeet"/>
    <x v="0"/>
    <n v="2"/>
    <n v="0"/>
    <s v="GBP"/>
    <n v="564.38"/>
    <n v="2"/>
    <n v="3"/>
  </r>
  <r>
    <s v="Guest 149"/>
    <s v="Guest149@yahoo%2Ecom"/>
    <x v="4"/>
    <d v="2020-10-16T00:00:00"/>
    <d v="2020-10-22T00:00:00"/>
    <d v="2020-10-14T00:00:00"/>
    <d v="1899-12-30T12:00:00"/>
    <d v="1899-12-30T14:00:00"/>
    <s v="tokeet"/>
    <x v="0"/>
    <n v="9"/>
    <n v="0"/>
    <s v="GBP"/>
    <n v="780000"/>
    <n v="9"/>
    <n v="6"/>
  </r>
  <r>
    <s v="Guest 452"/>
    <s v="Guest452@gmail.com"/>
    <x v="4"/>
    <d v="2020-10-16T00:00:00"/>
    <d v="2020-10-18T00:00:00"/>
    <d v="2020-09-05T00:00:00"/>
    <d v="1899-12-30T12:00:00"/>
    <d v="1899-12-31T00:00:00"/>
    <s v="tokeet"/>
    <x v="0"/>
    <n v="5"/>
    <n v="0"/>
    <s v="GBP"/>
    <n v="258"/>
    <n v="5"/>
    <n v="2"/>
  </r>
  <r>
    <s v="Guest 432"/>
    <s v="Guest432@airbnb.com"/>
    <x v="1"/>
    <d v="2020-10-16T00:00:00"/>
    <d v="2020-10-18T00:00:00"/>
    <d v="2020-10-04T00:00:00"/>
    <d v="1899-12-30T14:00:00"/>
    <d v="1899-12-30T11:00:00"/>
    <s v="airbnb"/>
    <x v="0"/>
    <n v="6"/>
    <n v="0"/>
    <s v="GBP"/>
    <n v="235"/>
    <n v="6"/>
    <n v="2"/>
  </r>
  <r>
    <s v="Guest 149"/>
    <s v="Guest149@yahoo%2Ecom"/>
    <x v="5"/>
    <d v="2020-10-16T00:00:00"/>
    <d v="2020-10-26T00:00:00"/>
    <d v="2020-10-14T00:00:00"/>
    <d v="1899-12-30T14:00:00"/>
    <d v="1899-12-30T11:00:00"/>
    <s v="tokeet"/>
    <x v="1"/>
    <n v="4"/>
    <n v="0"/>
    <s v="GBP"/>
    <n v="2139.25"/>
    <n v="4"/>
    <n v="10"/>
  </r>
  <r>
    <s v="Guest 481"/>
    <s v="Guest481@airbnb.com"/>
    <x v="4"/>
    <d v="2020-10-17T00:00:00"/>
    <d v="2020-10-21T00:00:00"/>
    <d v="2020-06-14T00:00:00"/>
    <d v="1899-12-30T08:00:00"/>
    <d v="1899-12-31T00:00:00"/>
    <s v="airbnb"/>
    <x v="0"/>
    <n v="3"/>
    <n v="0"/>
    <s v="GBP"/>
    <n v="425"/>
    <n v="3"/>
    <n v="4"/>
  </r>
  <r>
    <s v="Guest 378"/>
    <s v="Guest378@gmail.com"/>
    <x v="3"/>
    <d v="2020-10-18T00:00:00"/>
    <d v="2020-10-20T00:00:00"/>
    <d v="2020-08-31T00:00:00"/>
    <d v="1899-12-30T08:00:00"/>
    <d v="1899-12-31T00:00:00"/>
    <s v="tokeet"/>
    <x v="0"/>
    <n v="6"/>
    <n v="0"/>
    <s v="GBP"/>
    <n v="236.5"/>
    <n v="6"/>
    <n v="2"/>
  </r>
  <r>
    <s v="Guest 251"/>
    <s v="Guest251@airbnb.com"/>
    <x v="1"/>
    <d v="2020-10-18T00:00:00"/>
    <d v="2020-10-23T00:00:00"/>
    <d v="2020-10-10T00:00:00"/>
    <d v="1899-12-30T14:00:00"/>
    <d v="1899-12-30T11:00:00"/>
    <s v="airbnb"/>
    <x v="0"/>
    <n v="3"/>
    <n v="0"/>
    <s v="GBP"/>
    <n v="588"/>
    <n v="3"/>
    <n v="5"/>
  </r>
  <r>
    <s v="Guest 365"/>
    <s v="Guest365@gmail.com"/>
    <x v="1"/>
    <d v="2020-10-18T00:00:00"/>
    <d v="2020-10-19T00:00:00"/>
    <d v="2020-10-15T00:00:00"/>
    <d v="1899-12-30T14:00:00"/>
    <d v="1899-12-30T11:00:00"/>
    <s v="tokeet"/>
    <x v="1"/>
    <n v="2"/>
    <n v="0"/>
    <s v="GBP"/>
    <n v="129"/>
    <n v="2"/>
    <n v="1"/>
  </r>
  <r>
    <s v="Guest 76"/>
    <s v="Guest76@hotmail.com"/>
    <x v="2"/>
    <d v="2020-10-19T00:00:00"/>
    <d v="2020-10-20T00:00:00"/>
    <d v="2020-10-16T00:00:00"/>
    <d v="1899-12-30T08:00:00"/>
    <d v="1899-12-31T00:00:00"/>
    <s v="tokeet"/>
    <x v="0"/>
    <n v="5"/>
    <n v="0"/>
    <s v="GBP"/>
    <n v="129"/>
    <n v="5"/>
    <n v="1"/>
  </r>
  <r>
    <s v="Guest 455"/>
    <s v="Guest455@gmail.com"/>
    <x v="2"/>
    <d v="2020-10-19T00:00:00"/>
    <d v="2020-10-20T00:00:00"/>
    <d v="2020-10-18T00:00:00"/>
    <d v="1899-12-30T08:00:00"/>
    <d v="1899-12-31T00:00:00"/>
    <s v="tokeet"/>
    <x v="1"/>
    <n v="2"/>
    <n v="0"/>
    <s v="GBP"/>
    <n v="129"/>
    <n v="2"/>
    <n v="1"/>
  </r>
  <r>
    <s v="Guest 455"/>
    <s v="Guest455@gmail.com"/>
    <x v="3"/>
    <d v="2020-10-19T00:00:00"/>
    <d v="2020-10-20T00:00:00"/>
    <d v="2020-10-18T00:00:00"/>
    <d v="1899-12-30T08:00:00"/>
    <d v="1899-12-31T00:00:00"/>
    <s v="tokeet"/>
    <x v="0"/>
    <n v="2"/>
    <n v="0"/>
    <s v="GBP"/>
    <n v="129"/>
    <n v="2"/>
    <n v="1"/>
  </r>
  <r>
    <s v="Guest 419"/>
    <s v="Guest419@gmail%2Ecom"/>
    <x v="3"/>
    <d v="2020-10-19T00:00:00"/>
    <d v="2020-10-20T00:00:00"/>
    <d v="2020-10-19T00:00:00"/>
    <d v="1899-12-30T08:00:00"/>
    <d v="1899-12-31T00:00:00"/>
    <s v="tokeet"/>
    <x v="1"/>
    <n v="5"/>
    <n v="0"/>
    <s v="GBP"/>
    <n v="129"/>
    <n v="5"/>
    <n v="1"/>
  </r>
  <r>
    <s v="Guest 564"/>
    <s v="Guest564@gmail.com"/>
    <x v="1"/>
    <d v="2020-10-19T00:00:00"/>
    <d v="2020-10-22T00:00:00"/>
    <d v="2020-10-13T00:00:00"/>
    <d v="1899-12-30T14:00:00"/>
    <d v="1899-12-30T11:00:00"/>
    <s v="tokeet"/>
    <x v="1"/>
    <n v="4"/>
    <n v="0"/>
    <s v="GBP"/>
    <n v="387"/>
    <n v="4"/>
    <n v="3"/>
  </r>
  <r>
    <s v="Guest 459"/>
    <s v="Guest459@gmail.com"/>
    <x v="3"/>
    <d v="2020-10-20T00:00:00"/>
    <d v="2020-10-24T00:00:00"/>
    <d v="2020-09-08T00:00:00"/>
    <d v="1899-12-30T08:00:00"/>
    <d v="1899-12-31T00:00:00"/>
    <s v="tokeet"/>
    <x v="0"/>
    <n v="5"/>
    <n v="0"/>
    <s v="GBP"/>
    <n v="473"/>
    <n v="5"/>
    <n v="4"/>
  </r>
  <r>
    <s v="Guest 439"/>
    <s v="Guest439@gmail%2Ecom"/>
    <x v="1"/>
    <d v="2020-10-20T00:00:00"/>
    <d v="2020-10-23T00:00:00"/>
    <d v="2020-09-12T00:00:00"/>
    <d v="1899-12-30T14:00:00"/>
    <d v="1899-12-30T11:00:00"/>
    <s v="tokeet"/>
    <x v="0"/>
    <n v="5"/>
    <n v="0"/>
    <s v="GBP"/>
    <n v="354.75"/>
    <n v="5"/>
    <n v="3"/>
  </r>
  <r>
    <s v="Guest 169"/>
    <s v="Guest169@sdf.sdfsdf"/>
    <x v="4"/>
    <d v="2020-10-20T00:00:00"/>
    <d v="2020-10-21T00:00:00"/>
    <d v="2020-10-12T00:00:00"/>
    <d v="1899-12-30T12:00:00"/>
    <d v="1899-12-30T14:00:00"/>
    <s v="tokeet"/>
    <x v="0"/>
    <n v="1"/>
    <n v="0"/>
    <s v="GBP"/>
    <n v="130000"/>
    <n v="1"/>
    <n v="1"/>
  </r>
  <r>
    <s v="Guest 1"/>
    <s v="Guest1@gmail%2Ecom"/>
    <x v="7"/>
    <d v="2020-10-20T00:00:00"/>
    <d v="2020-10-21T00:00:00"/>
    <d v="2020-10-13T00:00:00"/>
    <d v="1899-12-30T14:00:00"/>
    <d v="1899-12-30T12:00:00"/>
    <s v="tokeet"/>
    <x v="0"/>
    <n v="3"/>
    <n v="0"/>
    <s v="GBP"/>
    <n v="188.13"/>
    <n v="3"/>
    <n v="1"/>
  </r>
  <r>
    <s v="Guest 525"/>
    <s v="Guest525@gmail.com"/>
    <x v="2"/>
    <d v="2020-10-20T00:00:00"/>
    <d v="2020-10-23T00:00:00"/>
    <d v="2020-08-31T00:00:00"/>
    <d v="1899-12-30T08:00:00"/>
    <d v="1899-12-31T00:00:00"/>
    <s v="tokeet"/>
    <x v="1"/>
    <n v="6"/>
    <n v="0"/>
    <s v="GBP"/>
    <n v="387"/>
    <n v="6"/>
    <n v="3"/>
  </r>
  <r>
    <s v="Guest 39"/>
    <s v="Guest39@sdf.fsd"/>
    <x v="4"/>
    <d v="2020-10-21T00:00:00"/>
    <d v="2020-10-22T00:00:00"/>
    <d v="2020-10-16T00:00:00"/>
    <d v="1899-12-30T12:00:00"/>
    <d v="1899-12-30T14:00:00"/>
    <s v="tokeet"/>
    <x v="0"/>
    <n v="1"/>
    <n v="0"/>
    <s v="GBP"/>
    <n v="130000"/>
    <n v="1"/>
    <n v="1"/>
  </r>
  <r>
    <s v="Guest 109"/>
    <s v="Guest109@check.com"/>
    <x v="4"/>
    <d v="2020-10-21T00:00:00"/>
    <d v="2020-10-22T00:00:00"/>
    <d v="2020-10-16T00:00:00"/>
    <d v="1899-12-30T12:00:00"/>
    <d v="1899-12-30T14:00:00"/>
    <s v="tokeet"/>
    <x v="0"/>
    <n v="1"/>
    <n v="0"/>
    <s v="GBP"/>
    <n v="130000"/>
    <n v="1"/>
    <n v="1"/>
  </r>
  <r>
    <s v="Guest 287"/>
    <s v="Guest287@airbnb.com"/>
    <x v="1"/>
    <d v="2020-10-21T00:00:00"/>
    <d v="2020-10-23T00:00:00"/>
    <d v="2020-10-21T00:00:00"/>
    <d v="1899-12-30T14:00:00"/>
    <d v="1899-12-30T11:00:00"/>
    <s v="airbnb"/>
    <x v="0"/>
    <n v="5"/>
    <n v="0"/>
    <s v="GBP"/>
    <n v="231"/>
    <n v="5"/>
    <n v="2"/>
  </r>
  <r>
    <s v="Guest 569"/>
    <s v="Guest569@gmail.com"/>
    <x v="5"/>
    <d v="2020-10-21T00:00:00"/>
    <d v="2020-10-22T00:00:00"/>
    <d v="2020-10-17T00:00:00"/>
    <d v="1899-12-30T14:00:00"/>
    <d v="1899-12-30T11:00:00"/>
    <s v="tokeet"/>
    <x v="0"/>
    <n v="4"/>
    <n v="0"/>
    <s v="GBP"/>
    <n v="188.13"/>
    <n v="4"/>
    <n v="1"/>
  </r>
  <r>
    <s v="Guest 327"/>
    <s v="Guest327@airbnb.com"/>
    <x v="7"/>
    <d v="2020-10-22T00:00:00"/>
    <d v="2020-10-28T00:00:00"/>
    <d v="2020-10-02T00:00:00"/>
    <d v="1899-12-30T14:00:00"/>
    <d v="1899-12-30T12:00:00"/>
    <s v="airbnb"/>
    <x v="0"/>
    <n v="3"/>
    <n v="0"/>
    <s v="GBP"/>
    <n v="1151"/>
    <n v="3"/>
    <n v="6"/>
  </r>
  <r>
    <s v="Guest 361"/>
    <s v="Guest361@yahoo%2Ecom"/>
    <x v="7"/>
    <d v="2020-10-22T00:00:00"/>
    <d v="2020-10-25T00:00:00"/>
    <d v="2020-10-03T00:00:00"/>
    <d v="1899-12-30T14:00:00"/>
    <d v="1899-12-30T12:00:00"/>
    <s v="tokeet"/>
    <x v="0"/>
    <n v="3"/>
    <n v="0"/>
    <s v="GBP"/>
    <n v="564.38"/>
    <n v="3"/>
    <n v="3"/>
  </r>
  <r>
    <s v="Guest 43"/>
    <s v="Guest43@gmail.com"/>
    <x v="5"/>
    <d v="2020-10-22T00:00:00"/>
    <d v="2020-10-23T00:00:00"/>
    <d v="2020-10-16T00:00:00"/>
    <d v="1899-12-30T14:00:00"/>
    <d v="1899-12-30T11:00:00"/>
    <s v="tokeet"/>
    <x v="0"/>
    <n v="4"/>
    <n v="0"/>
    <s v="GBP"/>
    <n v="188.13"/>
    <n v="4"/>
    <n v="1"/>
  </r>
  <r>
    <s v="Guest 76"/>
    <s v="Guest76@hotmail.com"/>
    <x v="2"/>
    <d v="2020-10-22T00:00:00"/>
    <d v="2020-10-23T00:00:00"/>
    <d v="2020-10-16T00:00:00"/>
    <d v="1899-12-30T08:00:00"/>
    <d v="1899-12-31T00:00:00"/>
    <s v="tokeet"/>
    <x v="0"/>
    <n v="6"/>
    <n v="0"/>
    <s v="GBP"/>
    <n v="129"/>
    <n v="6"/>
    <n v="1"/>
  </r>
  <r>
    <s v="Guest 259"/>
    <s v="Guest259@airbnb.com"/>
    <x v="1"/>
    <d v="2020-10-23T00:00:00"/>
    <d v="2020-10-29T00:00:00"/>
    <d v="2020-08-24T00:00:00"/>
    <d v="1899-12-30T14:00:00"/>
    <d v="1899-12-30T11:00:00"/>
    <s v="airbnb"/>
    <x v="0"/>
    <n v="1"/>
    <n v="0"/>
    <s v="GBP"/>
    <n v="617"/>
    <n v="1"/>
    <n v="6"/>
  </r>
  <r>
    <s v="Guest 333"/>
    <s v="Guest333@gmail%2Ecom"/>
    <x v="2"/>
    <d v="2020-10-23T00:00:00"/>
    <d v="2020-10-26T00:00:00"/>
    <d v="2020-09-19T00:00:00"/>
    <d v="1899-12-30T08:00:00"/>
    <d v="1899-12-31T00:00:00"/>
    <s v="tokeet"/>
    <x v="0"/>
    <n v="4"/>
    <n v="0"/>
    <s v="GBP"/>
    <n v="387"/>
    <n v="4"/>
    <n v="3"/>
  </r>
  <r>
    <s v="Guest 460"/>
    <s v="Guest460@gmail.com"/>
    <x v="3"/>
    <d v="2020-10-24T00:00:00"/>
    <d v="2020-10-31T00:00:00"/>
    <d v="2020-09-05T00:00:00"/>
    <d v="1899-12-30T08:00:00"/>
    <d v="1899-12-31T00:00:00"/>
    <s v="tokeet"/>
    <x v="0"/>
    <n v="4"/>
    <n v="0"/>
    <s v="GBP"/>
    <n v="827.75"/>
    <n v="4"/>
    <n v="7"/>
  </r>
  <r>
    <s v="Guest 181"/>
    <s v="Guest181@yahoo.com"/>
    <x v="2"/>
    <d v="2020-10-24T00:00:00"/>
    <d v="2020-10-27T00:00:00"/>
    <d v="2020-10-24T00:00:00"/>
    <d v="1899-12-30T08:00:00"/>
    <d v="1899-12-31T00:00:00"/>
    <s v="tokeet"/>
    <x v="1"/>
    <n v="5"/>
    <n v="0"/>
    <s v="GBP"/>
    <n v="387"/>
    <n v="5"/>
    <n v="3"/>
  </r>
  <r>
    <s v="Guest 376"/>
    <s v="Guest376@yahoo.com"/>
    <x v="5"/>
    <d v="2020-10-25T00:00:00"/>
    <d v="2020-10-26T00:00:00"/>
    <d v="2020-10-16T00:00:00"/>
    <d v="1899-12-30T14:00:00"/>
    <d v="1899-12-30T11:00:00"/>
    <s v="tokeet"/>
    <x v="0"/>
    <n v="4"/>
    <n v="0"/>
    <s v="GBP"/>
    <n v="188.13"/>
    <n v="4"/>
    <n v="1"/>
  </r>
  <r>
    <s v="Guest 289"/>
    <s v="Guest289@yahoo%2Ecom"/>
    <x v="4"/>
    <d v="2020-10-26T00:00:00"/>
    <d v="2020-10-27T00:00:00"/>
    <d v="2020-10-10T00:00:00"/>
    <d v="1899-12-30T12:00:00"/>
    <d v="1899-12-30T14:00:00"/>
    <s v="tokeet"/>
    <x v="0"/>
    <n v="1"/>
    <n v="0"/>
    <s v="GBP"/>
    <n v="85000"/>
    <n v="1"/>
    <n v="1"/>
  </r>
  <r>
    <s v="Guest 511"/>
    <s v="Guest511@gmail.com"/>
    <x v="4"/>
    <d v="2020-10-26T00:00:00"/>
    <d v="2020-10-29T00:00:00"/>
    <d v="2020-10-14T00:00:00"/>
    <d v="1899-12-30T12:00:00"/>
    <d v="1899-12-30T14:00:00"/>
    <s v="tokeet"/>
    <x v="0"/>
    <n v="1"/>
    <n v="0"/>
    <s v="GBP"/>
    <n v="390000"/>
    <n v="1"/>
    <n v="3"/>
  </r>
  <r>
    <s v="Guest 295"/>
    <s v="Guest295@gmail.com"/>
    <x v="5"/>
    <d v="2020-10-26T00:00:00"/>
    <d v="2020-10-30T00:00:00"/>
    <d v="2020-10-16T00:00:00"/>
    <d v="1899-12-30T14:00:00"/>
    <d v="1899-12-30T11:00:00"/>
    <s v="tokeet"/>
    <x v="0"/>
    <n v="5"/>
    <n v="0"/>
    <s v="GBP"/>
    <n v="752.5"/>
    <n v="5"/>
    <n v="4"/>
  </r>
  <r>
    <s v="Guest 521"/>
    <s v="Guest521@gmail.com"/>
    <x v="5"/>
    <d v="2020-10-26T00:00:00"/>
    <d v="2020-10-28T00:00:00"/>
    <d v="2020-10-26T00:00:00"/>
    <d v="1899-12-30T14:00:00"/>
    <d v="1899-12-30T11:00:00"/>
    <s v="tokeet"/>
    <x v="1"/>
    <n v="6"/>
    <n v="0"/>
    <s v="GBP"/>
    <n v="427.85"/>
    <n v="6"/>
    <n v="2"/>
  </r>
  <r>
    <s v="Guest 474"/>
    <s v="Guest474@airbnb.com"/>
    <x v="5"/>
    <d v="2020-10-27T00:00:00"/>
    <d v="2020-11-14T00:00:00"/>
    <d v="2020-09-08T00:00:00"/>
    <d v="1899-12-30T14:00:00"/>
    <d v="1899-12-30T11:00:00"/>
    <s v="airbnb"/>
    <x v="0"/>
    <n v="1"/>
    <n v="0"/>
    <s v="GBP"/>
    <n v="1962"/>
    <n v="1"/>
    <n v="18"/>
  </r>
  <r>
    <s v="Guest 74"/>
    <s v="Guest74@sdf.dsfsdf"/>
    <x v="4"/>
    <d v="2020-10-27T00:00:00"/>
    <d v="2020-10-28T00:00:00"/>
    <d v="2020-10-12T00:00:00"/>
    <d v="1899-12-30T12:00:00"/>
    <d v="1899-12-30T14:00:00"/>
    <s v="tokeet"/>
    <x v="0"/>
    <n v="1"/>
    <n v="0"/>
    <s v="GBP"/>
    <n v="130000"/>
    <n v="1"/>
    <n v="1"/>
  </r>
  <r>
    <s v="Guest 511"/>
    <s v="Guest511@gmail.com"/>
    <x v="4"/>
    <d v="2020-10-27T00:00:00"/>
    <d v="2020-10-30T00:00:00"/>
    <d v="2020-10-14T00:00:00"/>
    <d v="1899-12-30T12:00:00"/>
    <d v="1899-12-30T14:00:00"/>
    <s v="tokeet"/>
    <x v="0"/>
    <n v="1"/>
    <n v="0"/>
    <s v="GBP"/>
    <n v="390000"/>
    <n v="1"/>
    <n v="3"/>
  </r>
  <r>
    <s v="Guest 452"/>
    <s v="Guest452@gmail.com"/>
    <x v="4"/>
    <d v="2020-10-27T00:00:00"/>
    <d v="2020-10-30T00:00:00"/>
    <d v="2020-09-05T00:00:00"/>
    <d v="1899-12-30T08:00:00"/>
    <d v="1899-12-31T00:00:00"/>
    <s v="tokeet"/>
    <x v="0"/>
    <n v="5"/>
    <n v="0"/>
    <s v="GBP"/>
    <n v="354.75"/>
    <n v="5"/>
    <n v="3"/>
  </r>
  <r>
    <s v="Guest 452"/>
    <s v="Guest452@gmail.com"/>
    <x v="4"/>
    <d v="2020-10-27T00:00:00"/>
    <d v="2020-10-30T00:00:00"/>
    <d v="2020-10-18T00:00:00"/>
    <d v="1899-12-30T12:00:00"/>
    <d v="1899-12-30T14:00:00"/>
    <s v="tokeet"/>
    <x v="0"/>
    <n v="4"/>
    <n v="0"/>
    <s v="GBP"/>
    <n v="387"/>
    <n v="4"/>
    <n v="3"/>
  </r>
  <r>
    <s v="Guest 294"/>
    <s v="Guest294@gmail.com"/>
    <x v="2"/>
    <d v="2020-10-27T00:00:00"/>
    <d v="2020-11-02T00:00:00"/>
    <d v="2020-10-24T00:00:00"/>
    <d v="1899-12-30T08:00:00"/>
    <d v="1899-12-31T00:00:00"/>
    <s v="tokeet"/>
    <x v="1"/>
    <n v="4"/>
    <n v="0"/>
    <s v="GBP"/>
    <n v="774"/>
    <n v="4"/>
    <n v="6"/>
  </r>
  <r>
    <s v="Guest 165"/>
    <s v="Guest165@airbnb.com"/>
    <x v="2"/>
    <d v="2020-10-28T00:00:00"/>
    <d v="2020-10-31T00:00:00"/>
    <d v="2020-06-03T00:00:00"/>
    <d v="1899-12-30T08:00:00"/>
    <d v="1899-12-31T00:00:00"/>
    <s v="airbnb"/>
    <x v="0"/>
    <n v="4"/>
    <n v="0"/>
    <s v="GBP"/>
    <n v="319"/>
    <n v="4"/>
    <n v="3"/>
  </r>
  <r>
    <s v="Guest 511"/>
    <s v="Guest511@gmail.com"/>
    <x v="4"/>
    <d v="2020-10-28T00:00:00"/>
    <d v="2020-10-30T00:00:00"/>
    <d v="2020-10-14T00:00:00"/>
    <d v="1899-12-30T12:00:00"/>
    <d v="1899-12-30T14:00:00"/>
    <s v="tokeet"/>
    <x v="0"/>
    <n v="1"/>
    <n v="0"/>
    <s v="GBP"/>
    <n v="260000"/>
    <n v="1"/>
    <n v="2"/>
  </r>
  <r>
    <s v="Guest 235"/>
    <s v="Guest235@yahoo.com"/>
    <x v="5"/>
    <d v="2020-10-28T00:00:00"/>
    <d v="2020-10-30T00:00:00"/>
    <d v="2020-10-26T00:00:00"/>
    <d v="1899-12-30T14:00:00"/>
    <d v="1899-12-30T11:00:00"/>
    <s v="tokeet"/>
    <x v="0"/>
    <n v="6"/>
    <n v="0"/>
    <s v="GBP"/>
    <n v="427.85"/>
    <n v="6"/>
    <n v="2"/>
  </r>
  <r>
    <s v="Guest 356"/>
    <s v="Guest356@gmail.com"/>
    <x v="5"/>
    <d v="2020-10-28T00:00:00"/>
    <d v="2020-10-30T00:00:00"/>
    <d v="2020-10-28T00:00:00"/>
    <d v="1899-12-30T14:00:00"/>
    <d v="1899-12-30T11:00:00"/>
    <s v="tokeet"/>
    <x v="1"/>
    <n v="6"/>
    <n v="0"/>
    <s v="GBP"/>
    <n v="427.85"/>
    <n v="6"/>
    <n v="2"/>
  </r>
  <r>
    <s v="Guest 149"/>
    <s v="Guest149@yahoo%2Ecom"/>
    <x v="1"/>
    <d v="2020-10-29T00:00:00"/>
    <d v="2020-11-02T00:00:00"/>
    <d v="2020-10-26T00:00:00"/>
    <d v="1899-12-30T14:00:00"/>
    <d v="1899-12-30T11:00:00"/>
    <s v="tokeet"/>
    <x v="1"/>
    <n v="6"/>
    <n v="0"/>
    <s v="GBP"/>
    <n v="516"/>
    <n v="6"/>
    <n v="4"/>
  </r>
  <r>
    <s v="Guest 350"/>
    <s v="Guest350@gmail.com"/>
    <x v="6"/>
    <d v="2020-10-29T00:00:00"/>
    <d v="2020-11-02T00:00:00"/>
    <d v="2020-10-30T00:00:00"/>
    <d v="1899-12-30T14:00:00"/>
    <d v="1899-12-30T11:00:00"/>
    <s v="tokeet"/>
    <x v="1"/>
    <n v="5"/>
    <n v="0"/>
    <s v="GBP"/>
    <n v="516"/>
    <n v="5"/>
    <n v="4"/>
  </r>
  <r>
    <s v="Guest 393"/>
    <s v="Guest393@airbnb.com"/>
    <x v="7"/>
    <d v="2020-10-30T00:00:00"/>
    <d v="2020-11-01T00:00:00"/>
    <d v="2020-10-03T00:00:00"/>
    <d v="1899-12-30T14:00:00"/>
    <d v="1899-12-30T12:00:00"/>
    <s v="airbnb"/>
    <x v="0"/>
    <n v="5"/>
    <n v="0"/>
    <s v="GBP"/>
    <n v="384"/>
    <n v="5"/>
    <n v="2"/>
  </r>
  <r>
    <s v="Guest 393"/>
    <s v="Guest393@airbnb.com"/>
    <x v="5"/>
    <d v="2020-10-30T00:00:00"/>
    <d v="2020-11-01T00:00:00"/>
    <d v="2020-10-05T00:00:00"/>
    <d v="1899-12-30T14:00:00"/>
    <d v="1899-12-30T11:00:00"/>
    <s v="airbnb"/>
    <x v="0"/>
    <n v="5"/>
    <n v="0"/>
    <s v="GBP"/>
    <n v="384"/>
    <n v="5"/>
    <n v="2"/>
  </r>
  <r>
    <s v="Guest 39"/>
    <s v="Guest39@sdf.fsd"/>
    <x v="4"/>
    <d v="2020-10-30T00:00:00"/>
    <d v="2020-10-31T00:00:00"/>
    <d v="2020-10-14T00:00:00"/>
    <d v="1899-12-30T12:00:00"/>
    <d v="1899-12-30T14:00:00"/>
    <s v="tokeet"/>
    <x v="0"/>
    <n v="1"/>
    <n v="0"/>
    <s v="GBP"/>
    <n v="130000"/>
    <n v="1"/>
    <n v="1"/>
  </r>
  <r>
    <s v="Guest 359"/>
    <s v="Guest359@gmail.com"/>
    <x v="5"/>
    <d v="2020-10-30T00:00:00"/>
    <d v="2020-11-02T00:00:00"/>
    <d v="2020-10-15T00:00:00"/>
    <d v="1899-12-30T14:00:00"/>
    <d v="1899-12-30T11:00:00"/>
    <s v="tokeet"/>
    <x v="1"/>
    <n v="6"/>
    <n v="0"/>
    <s v="GBP"/>
    <n v="641.77"/>
    <n v="6"/>
    <n v="3"/>
  </r>
  <r>
    <s v="Guest 159"/>
    <s v="Guest159@airbnb.com"/>
    <x v="2"/>
    <d v="2020-10-31T00:00:00"/>
    <d v="2020-11-02T00:00:00"/>
    <d v="2020-10-05T00:00:00"/>
    <d v="1899-12-30T08:00:00"/>
    <d v="1899-12-31T00:00:00"/>
    <s v="airbnb"/>
    <x v="0"/>
    <n v="6"/>
    <n v="0"/>
    <s v="GBP"/>
    <n v="238"/>
    <n v="6"/>
    <n v="2"/>
  </r>
  <r>
    <s v="Guest 393"/>
    <s v="Guest393@airbnb.com"/>
    <x v="2"/>
    <d v="2020-10-31T00:00:00"/>
    <d v="2020-11-02T00:00:00"/>
    <d v="2020-10-06T00:00:00"/>
    <d v="1899-12-30T08:00:00"/>
    <d v="1899-12-31T00:00:00"/>
    <s v="airbnb"/>
    <x v="0"/>
    <n v="1"/>
    <n v="0"/>
    <s v="GBP"/>
    <n v="239"/>
    <n v="1"/>
    <n v="2"/>
  </r>
  <r>
    <s v="Guest 275"/>
    <s v="Guest275@airbnb.com"/>
    <x v="1"/>
    <d v="2020-10-31T00:00:00"/>
    <d v="2020-11-02T00:00:00"/>
    <d v="2020-10-24T00:00:00"/>
    <d v="1899-12-30T14:00:00"/>
    <d v="1899-12-30T11:00:00"/>
    <s v="tokeet"/>
    <x v="0"/>
    <n v="6"/>
    <n v="0"/>
    <s v="GBP"/>
    <n v="258"/>
    <n v="6"/>
    <n v="2"/>
  </r>
  <r>
    <s v="Guest 190"/>
    <s v="Guest190@gmail%2Ecom"/>
    <x v="3"/>
    <d v="2020-10-31T00:00:00"/>
    <d v="2020-11-01T00:00:00"/>
    <d v="2020-10-19T00:00:00"/>
    <d v="1899-12-30T08:00:00"/>
    <d v="1899-12-31T00:00:00"/>
    <s v="tokeet"/>
    <x v="0"/>
    <n v="3"/>
    <n v="0"/>
    <s v="GBP"/>
    <n v="129"/>
    <n v="3"/>
    <n v="1"/>
  </r>
  <r>
    <s v="Guest 329"/>
    <s v="Guest329@gmail.com"/>
    <x v="4"/>
    <d v="2020-11-02T00:00:00"/>
    <d v="2020-11-05T00:00:00"/>
    <d v="2020-10-18T00:00:00"/>
    <d v="1899-12-30T12:00:00"/>
    <d v="1899-12-30T14:00:00"/>
    <s v="tokeet"/>
    <x v="0"/>
    <n v="1"/>
    <n v="0"/>
    <s v="GBP"/>
    <n v="390000"/>
    <n v="1"/>
    <n v="3"/>
  </r>
  <r>
    <s v="Guest 76"/>
    <s v="Guest76@hotmail.com"/>
    <x v="2"/>
    <d v="2020-11-02T00:00:00"/>
    <d v="2020-11-03T00:00:00"/>
    <d v="2020-10-24T00:00:00"/>
    <d v="1899-12-30T08:00:00"/>
    <d v="1899-12-31T00:00:00"/>
    <s v="tokeet"/>
    <x v="1"/>
    <n v="5"/>
    <n v="0"/>
    <s v="GBP"/>
    <n v="129"/>
    <n v="5"/>
    <n v="1"/>
  </r>
  <r>
    <s v="Guest 229"/>
    <s v="Guest229@airbnb%2Ecom"/>
    <x v="4"/>
    <d v="2020-11-02T00:00:00"/>
    <d v="2020-11-08T00:00:00"/>
    <d v="2020-09-15T00:00:00"/>
    <d v="1899-12-30T08:00:00"/>
    <d v="1899-12-30T14:00:00"/>
    <s v="tokeet"/>
    <x v="1"/>
    <n v="4"/>
    <n v="0"/>
    <s v="GBP"/>
    <n v="774"/>
    <n v="4"/>
    <n v="6"/>
  </r>
  <r>
    <s v="Guest 107"/>
    <s v="Guest107@airbnb.com"/>
    <x v="1"/>
    <d v="2020-11-02T00:00:00"/>
    <d v="2020-11-03T00:00:00"/>
    <d v="2020-10-30T00:00:00"/>
    <d v="1899-12-30T14:00:00"/>
    <d v="1899-12-30T11:00:00"/>
    <s v="airbnb"/>
    <x v="0"/>
    <n v="1"/>
    <n v="0"/>
    <s v="GBP"/>
    <n v="119"/>
    <n v="1"/>
    <n v="1"/>
  </r>
  <r>
    <s v="Guest 294"/>
    <s v="Guest294@gmail.com"/>
    <x v="1"/>
    <d v="2020-11-02T00:00:00"/>
    <d v="2020-11-05T00:00:00"/>
    <d v="2020-10-31T00:00:00"/>
    <d v="1899-12-30T14:00:00"/>
    <d v="1899-12-30T11:00:00"/>
    <s v="tokeet"/>
    <x v="0"/>
    <n v="4"/>
    <n v="0"/>
    <s v="GBP"/>
    <n v="387"/>
    <n v="4"/>
    <n v="3"/>
  </r>
  <r>
    <s v="Guest 294"/>
    <s v="Guest294@gmail.com"/>
    <x v="1"/>
    <d v="2020-11-02T00:00:00"/>
    <d v="2020-11-13T00:00:00"/>
    <d v="2020-10-31T00:00:00"/>
    <d v="1899-12-30T14:00:00"/>
    <d v="1899-12-30T11:00:00"/>
    <s v="tokeet"/>
    <x v="1"/>
    <n v="6"/>
    <n v="0"/>
    <s v="GBP"/>
    <n v="1419"/>
    <n v="6"/>
    <n v="11"/>
  </r>
  <r>
    <s v="Guest 379"/>
    <s v="Guest379@gmail%2Ecom"/>
    <x v="5"/>
    <d v="2020-11-02T00:00:00"/>
    <d v="2020-11-03T00:00:00"/>
    <d v="2020-10-30T00:00:00"/>
    <d v="1899-12-30T14:00:00"/>
    <d v="1899-12-30T11:00:00"/>
    <s v="tokeet"/>
    <x v="1"/>
    <n v="5"/>
    <n v="0"/>
    <s v="GBP"/>
    <n v="213.93"/>
    <n v="5"/>
    <n v="1"/>
  </r>
  <r>
    <s v="Guest 38"/>
    <s v="Guest38@airbnb.com"/>
    <x v="1"/>
    <d v="2020-11-03T00:00:00"/>
    <d v="2020-11-04T00:00:00"/>
    <d v="2020-10-30T00:00:00"/>
    <d v="1899-12-30T14:00:00"/>
    <d v="1899-12-30T11:00:00"/>
    <s v="airbnb"/>
    <x v="0"/>
    <n v="4"/>
    <n v="0"/>
    <s v="GBP"/>
    <n v="119"/>
    <n v="4"/>
    <n v="1"/>
  </r>
  <r>
    <s v="Guest 164"/>
    <s v="Guest164@airbnb.com"/>
    <x v="2"/>
    <d v="2020-11-03T00:00:00"/>
    <d v="2020-11-05T00:00:00"/>
    <d v="2020-10-31T00:00:00"/>
    <d v="1899-12-30T08:00:00"/>
    <d v="1899-12-31T00:00:00"/>
    <s v="airbnb"/>
    <x v="0"/>
    <n v="1"/>
    <n v="0"/>
    <s v="GBP"/>
    <n v="239"/>
    <n v="1"/>
    <n v="2"/>
  </r>
  <r>
    <s v="Guest 334"/>
    <s v="Guest334@yahoo.com"/>
    <x v="2"/>
    <d v="2020-11-03T00:00:00"/>
    <d v="2020-11-04T00:00:00"/>
    <d v="2020-11-01T00:00:00"/>
    <d v="1899-12-30T08:00:00"/>
    <d v="1899-12-31T00:00:00"/>
    <s v="tokeet"/>
    <x v="1"/>
    <n v="6"/>
    <n v="0"/>
    <s v="GBP"/>
    <n v="129"/>
    <n v="6"/>
    <n v="1"/>
  </r>
  <r>
    <s v="Guest 46"/>
    <s v="Guest46@encry.com"/>
    <x v="5"/>
    <d v="2020-11-03T00:00:00"/>
    <d v="2020-11-05T00:00:00"/>
    <d v="2020-11-02T00:00:00"/>
    <d v="1899-12-30T14:00:00"/>
    <d v="1899-12-30T11:00:00"/>
    <s v="tokeet"/>
    <x v="1"/>
    <n v="4"/>
    <n v="0"/>
    <s v="GBP"/>
    <n v="427.85"/>
    <n v="4"/>
    <n v="2"/>
  </r>
  <r>
    <s v="Guest 489"/>
    <s v="Guest489@gmail%2Ecom"/>
    <x v="2"/>
    <d v="2020-11-04T00:00:00"/>
    <d v="2020-11-05T00:00:00"/>
    <d v="2020-11-01T00:00:00"/>
    <d v="1899-12-30T08:00:00"/>
    <d v="1899-12-31T00:00:00"/>
    <s v="tokeet"/>
    <x v="1"/>
    <n v="6"/>
    <n v="0"/>
    <s v="GBP"/>
    <n v="129"/>
    <n v="6"/>
    <n v="1"/>
  </r>
  <r>
    <s v="Guest 1"/>
    <s v="Guest1@gmail%2Ecom"/>
    <x v="6"/>
    <d v="2020-11-04T00:00:00"/>
    <d v="2020-11-06T00:00:00"/>
    <d v="2020-11-04T00:00:00"/>
    <d v="1899-12-30T14:00:00"/>
    <d v="1899-12-30T11:00:00"/>
    <s v="tokeet"/>
    <x v="1"/>
    <n v="4"/>
    <n v="0"/>
    <s v="GBP"/>
    <n v="258"/>
    <n v="4"/>
    <n v="2"/>
  </r>
  <r>
    <s v="Guest 544"/>
    <s v="Guest544@gmail.com"/>
    <x v="2"/>
    <d v="2020-11-05T00:00:00"/>
    <d v="2020-11-06T00:00:00"/>
    <d v="2020-10-09T00:00:00"/>
    <d v="1899-12-30T08:00:00"/>
    <d v="1899-12-31T00:00:00"/>
    <s v="tokeet"/>
    <x v="1"/>
    <n v="4"/>
    <n v="0"/>
    <s v="GBP"/>
    <n v="129"/>
    <n v="4"/>
    <n v="1"/>
  </r>
  <r>
    <s v="Guest 544"/>
    <s v="Guest544@gmail.com"/>
    <x v="1"/>
    <d v="2020-11-05T00:00:00"/>
    <d v="2020-11-06T00:00:00"/>
    <d v="2020-10-09T00:00:00"/>
    <d v="1899-12-30T14:00:00"/>
    <d v="1899-12-30T11:00:00"/>
    <s v="tokeet"/>
    <x v="0"/>
    <n v="8"/>
    <n v="0"/>
    <s v="GBP"/>
    <n v="172"/>
    <n v="8"/>
    <n v="1"/>
  </r>
  <r>
    <s v="Guest 560"/>
    <s v="Guest560@gmail.com"/>
    <x v="5"/>
    <d v="2020-11-05T00:00:00"/>
    <d v="2020-11-06T00:00:00"/>
    <d v="2020-11-03T00:00:00"/>
    <d v="1899-12-30T14:00:00"/>
    <d v="1899-12-30T11:00:00"/>
    <s v="tokeet"/>
    <x v="1"/>
    <n v="6"/>
    <n v="0"/>
    <s v="GBP"/>
    <n v="213.93"/>
    <n v="6"/>
    <n v="1"/>
  </r>
  <r>
    <s v="Guest 379"/>
    <s v="Guest379@gmail%2Ecom"/>
    <x v="6"/>
    <d v="2020-11-05T00:00:00"/>
    <d v="2020-11-06T00:00:00"/>
    <d v="2020-10-06T00:00:00"/>
    <d v="1899-12-30T14:00:00"/>
    <d v="1899-12-30T11:00:00"/>
    <s v="tokeet"/>
    <x v="0"/>
    <n v="6"/>
    <n v="0"/>
    <s v="GBP"/>
    <n v="129"/>
    <n v="6"/>
    <n v="1"/>
  </r>
  <r>
    <s v="Guest 203"/>
    <s v="Guest203@gmail%2Ecom"/>
    <x v="7"/>
    <d v="2020-11-05T00:00:00"/>
    <d v="2020-12-04T00:00:00"/>
    <d v="2020-10-12T00:00:00"/>
    <d v="1899-12-30T14:00:00"/>
    <d v="1899-12-30T12:00:00"/>
    <s v="tokeet"/>
    <x v="1"/>
    <n v="4"/>
    <n v="0"/>
    <s v="GBP"/>
    <n v="6203.82"/>
    <n v="4"/>
    <n v="29"/>
  </r>
  <r>
    <s v="Guest 470"/>
    <s v="Guest470@yahoo.co.uk"/>
    <x v="3"/>
    <d v="2020-11-06T00:00:00"/>
    <d v="2020-11-08T00:00:00"/>
    <d v="2020-09-22T00:00:00"/>
    <d v="1899-12-30T08:00:00"/>
    <d v="1899-12-31T00:00:00"/>
    <s v="tokeet"/>
    <x v="0"/>
    <n v="4"/>
    <n v="0"/>
    <s v="GBP"/>
    <n v="258"/>
    <n v="4"/>
    <n v="2"/>
  </r>
  <r>
    <s v="Guest 280"/>
    <s v="Guest280@guest.airbnb.com"/>
    <x v="5"/>
    <d v="2020-11-06T00:00:00"/>
    <d v="2020-11-08T00:00:00"/>
    <d v="2020-10-22T00:00:00"/>
    <d v="1899-12-30T14:00:00"/>
    <d v="1899-12-30T11:00:00"/>
    <s v="airbnb"/>
    <x v="1"/>
    <n v="7"/>
    <n v="0"/>
    <s v="GBP"/>
    <n v="449.35"/>
    <n v="7"/>
    <n v="2"/>
  </r>
  <r>
    <s v="Guest 470"/>
    <s v="Guest470@yahoo.co.uk"/>
    <x v="6"/>
    <d v="2020-11-06T00:00:00"/>
    <d v="2020-11-08T00:00:00"/>
    <d v="2020-09-22T00:00:00"/>
    <d v="1899-12-30T14:00:00"/>
    <d v="1899-12-30T11:00:00"/>
    <s v="tokeet"/>
    <x v="0"/>
    <n v="4"/>
    <n v="0"/>
    <s v="GBP"/>
    <n v="258"/>
    <n v="4"/>
    <n v="2"/>
  </r>
  <r>
    <s v="Guest 73"/>
    <s v="Guest73@gmail.com"/>
    <x v="6"/>
    <d v="2020-11-06T00:00:00"/>
    <d v="2020-11-07T00:00:00"/>
    <d v="2020-10-31T00:00:00"/>
    <d v="1899-12-30T14:00:00"/>
    <d v="1899-12-30T11:00:00"/>
    <s v="tokeet"/>
    <x v="0"/>
    <n v="6"/>
    <n v="0"/>
    <s v="GBP"/>
    <n v="129"/>
    <n v="6"/>
    <n v="1"/>
  </r>
  <r>
    <s v="Guest 403"/>
    <s v="Guest403@gmail.com"/>
    <x v="6"/>
    <d v="2020-11-06T00:00:00"/>
    <d v="2020-11-08T00:00:00"/>
    <d v="2020-11-03T00:00:00"/>
    <d v="1899-12-30T14:00:00"/>
    <d v="1899-12-30T11:00:00"/>
    <s v="tokeet"/>
    <x v="1"/>
    <n v="6"/>
    <n v="0"/>
    <s v="GBP"/>
    <n v="258"/>
    <n v="6"/>
    <n v="2"/>
  </r>
  <r>
    <s v="Guest 360"/>
    <s v="Guest360@yahoo.com"/>
    <x v="6"/>
    <d v="2020-11-07T00:00:00"/>
    <d v="2020-11-08T00:00:00"/>
    <d v="2020-10-31T00:00:00"/>
    <d v="1899-12-30T14:00:00"/>
    <d v="1899-12-30T11:00:00"/>
    <s v="tokeet"/>
    <x v="0"/>
    <n v="8"/>
    <n v="0"/>
    <s v="GBP"/>
    <n v="161.25"/>
    <n v="8"/>
    <n v="1"/>
  </r>
  <r>
    <s v="Guest 464"/>
    <s v="Guest464@airbnb.com"/>
    <x v="1"/>
    <d v="2020-11-08T00:00:00"/>
    <d v="2020-11-09T00:00:00"/>
    <d v="2020-10-30T00:00:00"/>
    <d v="1899-12-30T14:00:00"/>
    <d v="1899-12-30T11:00:00"/>
    <s v="airbnb"/>
    <x v="0"/>
    <n v="1"/>
    <n v="0"/>
    <s v="GBP"/>
    <n v="120"/>
    <n v="1"/>
    <n v="1"/>
  </r>
  <r>
    <s v="Guest 360"/>
    <s v="Guest360@yahoo.com"/>
    <x v="4"/>
    <d v="2020-11-08T00:00:00"/>
    <d v="2020-11-11T00:00:00"/>
    <d v="2020-10-31T00:00:00"/>
    <d v="1899-12-30T12:00:00"/>
    <d v="1899-12-30T14:00:00"/>
    <s v="tokeet"/>
    <x v="0"/>
    <n v="8"/>
    <n v="0"/>
    <s v="GBP"/>
    <n v="516"/>
    <n v="8"/>
    <n v="3"/>
  </r>
  <r>
    <s v="Guest 403"/>
    <s v="Guest403@gmail.com"/>
    <x v="4"/>
    <d v="2020-11-08T00:00:00"/>
    <d v="2020-11-09T00:00:00"/>
    <d v="2020-11-03T00:00:00"/>
    <d v="1899-12-30T12:00:00"/>
    <d v="1899-12-30T14:00:00"/>
    <s v="tokeet"/>
    <x v="1"/>
    <n v="5"/>
    <n v="0"/>
    <s v="GBP"/>
    <n v="129"/>
    <n v="5"/>
    <n v="1"/>
  </r>
  <r>
    <s v="Guest 513"/>
    <s v="Guest513@gmail.com"/>
    <x v="5"/>
    <d v="2020-11-08T00:00:00"/>
    <d v="2020-11-09T00:00:00"/>
    <d v="2020-10-27T00:00:00"/>
    <d v="1899-12-30T14:00:00"/>
    <d v="1899-12-30T11:00:00"/>
    <s v="tokeet"/>
    <x v="1"/>
    <n v="6"/>
    <n v="0"/>
    <s v="GBP"/>
    <n v="213.93"/>
    <n v="6"/>
    <n v="1"/>
  </r>
  <r>
    <s v="Guest 360"/>
    <s v="Guest360@yahoo.com"/>
    <x v="6"/>
    <d v="2020-11-09T00:00:00"/>
    <d v="2020-11-11T00:00:00"/>
    <d v="2020-10-31T00:00:00"/>
    <d v="1899-12-30T14:00:00"/>
    <d v="1899-12-30T11:00:00"/>
    <s v="tokeet"/>
    <x v="0"/>
    <n v="7"/>
    <n v="0"/>
    <s v="GBP"/>
    <n v="290.25"/>
    <n v="7"/>
    <n v="2"/>
  </r>
  <r>
    <s v="Guest 197"/>
    <s v="Guest197@gmail.com"/>
    <x v="6"/>
    <d v="2020-11-09T00:00:00"/>
    <d v="2020-11-10T00:00:00"/>
    <d v="2020-11-06T00:00:00"/>
    <d v="1899-12-30T14:00:00"/>
    <d v="1899-12-30T11:00:00"/>
    <s v="tokeet"/>
    <x v="1"/>
    <n v="4"/>
    <n v="0"/>
    <s v="GBP"/>
    <n v="129"/>
    <n v="4"/>
    <n v="1"/>
  </r>
  <r>
    <s v="Guest 379"/>
    <s v="Guest379@gmail%2Ecom"/>
    <x v="5"/>
    <d v="2020-11-09T00:00:00"/>
    <d v="2020-11-11T00:00:00"/>
    <d v="2020-11-03T00:00:00"/>
    <d v="1899-12-30T14:00:00"/>
    <d v="1899-12-30T11:00:00"/>
    <s v="tokeet"/>
    <x v="0"/>
    <n v="3"/>
    <n v="0"/>
    <s v="GBP"/>
    <n v="427.85"/>
    <n v="3"/>
    <n v="2"/>
  </r>
  <r>
    <s v="Guest 80"/>
    <s v="Guest80@yahoo%2Ecom"/>
    <x v="5"/>
    <d v="2020-11-09T00:00:00"/>
    <d v="2020-11-14T00:00:00"/>
    <d v="2020-11-06T00:00:00"/>
    <d v="1899-12-30T14:00:00"/>
    <d v="1899-12-30T11:00:00"/>
    <s v="tokeet"/>
    <x v="1"/>
    <n v="5"/>
    <n v="0"/>
    <s v="GBP"/>
    <n v="1069.6199999999999"/>
    <n v="5"/>
    <n v="5"/>
  </r>
  <r>
    <s v="Guest 268"/>
    <s v="Guest268@gmail%2Ecom"/>
    <x v="4"/>
    <d v="2020-11-09T00:00:00"/>
    <d v="2020-11-13T00:00:00"/>
    <d v="2020-11-09T00:00:00"/>
    <d v="1899-12-30T12:00:00"/>
    <d v="1899-12-30T14:00:00"/>
    <s v="tokeet"/>
    <x v="1"/>
    <n v="6"/>
    <n v="0"/>
    <s v="GBP"/>
    <n v="516"/>
    <n v="6"/>
    <n v="4"/>
  </r>
  <r>
    <s v="Guest 3"/>
    <s v="Guest3@gmail.com"/>
    <x v="5"/>
    <d v="2020-11-10T00:00:00"/>
    <d v="2020-11-11T00:00:00"/>
    <d v="2020-09-17T00:00:00"/>
    <d v="1899-12-30T14:00:00"/>
    <d v="1899-12-30T11:00:00"/>
    <s v="tokeet"/>
    <x v="0"/>
    <n v="5"/>
    <n v="0"/>
    <s v="GBP"/>
    <n v="188.12"/>
    <n v="5"/>
    <n v="1"/>
  </r>
  <r>
    <s v="Guest 372"/>
    <s v="Guest372@theproperty.com"/>
    <x v="6"/>
    <d v="2020-11-10T00:00:00"/>
    <d v="2020-11-13T00:00:00"/>
    <d v="2020-11-13T00:00:00"/>
    <d v="1899-12-30T14:00:00"/>
    <d v="1899-12-30T11:00:00"/>
    <s v="tokeet"/>
    <x v="0"/>
    <n v="5"/>
    <n v="0"/>
    <s v="GBP"/>
    <n v="387"/>
    <n v="5"/>
    <n v="3"/>
  </r>
  <r>
    <s v="Guest 514"/>
    <s v="Guest514@airbnb.com"/>
    <x v="1"/>
    <d v="2020-11-11T00:00:00"/>
    <d v="2020-11-18T00:00:00"/>
    <d v="2020-10-10T00:00:00"/>
    <d v="1899-12-30T14:00:00"/>
    <d v="1899-12-30T11:00:00"/>
    <s v="airbnb"/>
    <x v="0"/>
    <n v="1"/>
    <n v="0"/>
    <s v="GBP"/>
    <n v="794"/>
    <n v="1"/>
    <n v="7"/>
  </r>
  <r>
    <s v="Guest 511"/>
    <s v="Guest511@gmail.com"/>
    <x v="4"/>
    <d v="2020-11-11T00:00:00"/>
    <d v="2020-12-11T00:00:00"/>
    <d v="2020-10-28T00:00:00"/>
    <d v="1899-12-30T12:00:00"/>
    <d v="1899-12-30T14:00:00"/>
    <s v="tokeet"/>
    <x v="0"/>
    <n v="1"/>
    <n v="0"/>
    <s v="GBP"/>
    <n v="130000"/>
    <n v="1"/>
    <n v="30"/>
  </r>
  <r>
    <s v="Guest 502"/>
    <s v="Guest502@gmail%2Ecom"/>
    <x v="0"/>
    <d v="2020-11-11T00:00:00"/>
    <d v="2020-11-13T00:00:00"/>
    <d v="2020-10-27T00:00:00"/>
    <d v="1899-12-30T11:00:00"/>
    <d v="1899-12-30T10:00:00"/>
    <s v="tokeet"/>
    <x v="0"/>
    <n v="6"/>
    <n v="0"/>
    <s v="GBP"/>
    <n v="0"/>
    <n v="6"/>
    <n v="2"/>
  </r>
  <r>
    <s v="Guest 482"/>
    <s v="Guest482@sdf.sfd"/>
    <x v="4"/>
    <d v="2020-11-11T00:00:00"/>
    <d v="2020-12-11T00:00:00"/>
    <d v="2020-11-04T00:00:00"/>
    <d v="1899-12-30T12:00:00"/>
    <d v="1899-12-30T14:00:00"/>
    <s v="tokeet"/>
    <x v="0"/>
    <n v="1"/>
    <n v="0"/>
    <s v="GBP"/>
    <n v="130000"/>
    <n v="1"/>
    <n v="30"/>
  </r>
  <r>
    <s v="Guest 461"/>
    <s v="Guest461@gmail.com"/>
    <x v="5"/>
    <d v="2020-11-11T00:00:00"/>
    <d v="2020-11-12T00:00:00"/>
    <d v="2020-11-05T00:00:00"/>
    <d v="1899-12-30T14:00:00"/>
    <d v="1899-12-30T11:00:00"/>
    <s v="tokeet"/>
    <x v="0"/>
    <n v="6"/>
    <n v="0"/>
    <s v="GBP"/>
    <n v="119.33"/>
    <n v="6"/>
    <n v="1"/>
  </r>
  <r>
    <s v="Guest 502"/>
    <s v="Guest502@gmail%2Ecom"/>
    <x v="4"/>
    <d v="2020-11-11T00:00:00"/>
    <d v="2020-11-13T00:00:00"/>
    <d v="2020-10-30T00:00:00"/>
    <d v="1899-12-30T12:00:00"/>
    <d v="1899-12-30T14:00:00"/>
    <s v="tokeet"/>
    <x v="0"/>
    <n v="7"/>
    <n v="0"/>
    <s v="GBP"/>
    <n v="301"/>
    <n v="7"/>
    <n v="2"/>
  </r>
  <r>
    <s v="Guest 502"/>
    <s v="Guest502@gmail%2Ecom"/>
    <x v="6"/>
    <d v="2020-11-11T00:00:00"/>
    <d v="2020-11-13T00:00:00"/>
    <d v="2020-10-27T00:00:00"/>
    <d v="1899-12-30T14:00:00"/>
    <d v="1899-12-30T11:00:00"/>
    <s v="tokeet"/>
    <x v="0"/>
    <n v="6"/>
    <n v="0"/>
    <s v="GBP"/>
    <n v="258"/>
    <n v="6"/>
    <n v="2"/>
  </r>
  <r>
    <s v="Guest 361"/>
    <s v="Guest361@yahoo%2Ecom"/>
    <x v="6"/>
    <d v="2020-11-13T00:00:00"/>
    <d v="2020-11-16T00:00:00"/>
    <d v="2020-11-02T00:00:00"/>
    <d v="1899-12-30T14:00:00"/>
    <d v="1899-12-30T11:00:00"/>
    <s v="tokeet"/>
    <x v="0"/>
    <n v="4"/>
    <n v="0"/>
    <s v="GBP"/>
    <n v="387"/>
    <n v="4"/>
    <n v="3"/>
  </r>
  <r>
    <s v="Guest 379"/>
    <s v="Guest379@gmail%2Ecom"/>
    <x v="6"/>
    <d v="2020-11-13T00:00:00"/>
    <d v="2020-11-14T00:00:00"/>
    <d v="2020-11-04T00:00:00"/>
    <d v="1899-12-30T14:00:00"/>
    <d v="1899-12-30T11:00:00"/>
    <s v="tokeet"/>
    <x v="0"/>
    <n v="2"/>
    <n v="0"/>
    <s v="GBP"/>
    <n v="129"/>
    <n v="2"/>
    <n v="1"/>
  </r>
  <r>
    <s v="Guest 268"/>
    <s v="Guest268@gmail%2Ecom"/>
    <x v="6"/>
    <d v="2020-11-13T00:00:00"/>
    <d v="2020-11-14T00:00:00"/>
    <d v="2020-11-12T00:00:00"/>
    <d v="1899-12-30T14:00:00"/>
    <d v="1899-12-30T11:00:00"/>
    <s v="tokeet"/>
    <x v="1"/>
    <n v="6"/>
    <n v="0"/>
    <s v="GBP"/>
    <n v="129"/>
    <n v="6"/>
    <n v="1"/>
  </r>
  <r>
    <s v="Guest 460"/>
    <s v="Guest460@gmail.com"/>
    <x v="1"/>
    <d v="2020-11-13T00:00:00"/>
    <d v="2020-11-16T00:00:00"/>
    <d v="2020-10-13T00:00:00"/>
    <d v="1899-12-30T14:00:00"/>
    <d v="1899-12-30T11:00:00"/>
    <s v="tokeet"/>
    <x v="0"/>
    <n v="5"/>
    <n v="0"/>
    <s v="GBP"/>
    <n v="387"/>
    <n v="5"/>
    <n v="3"/>
  </r>
  <r>
    <s v="Guest 293"/>
    <s v="Guest293@airbnb.com"/>
    <x v="1"/>
    <d v="2020-11-14T00:00:00"/>
    <d v="2020-11-15T00:00:00"/>
    <d v="2020-10-12T00:00:00"/>
    <d v="1899-12-30T14:00:00"/>
    <d v="1899-12-30T11:00:00"/>
    <s v="airbnb"/>
    <x v="0"/>
    <n v="1"/>
    <n v="0"/>
    <s v="GBP"/>
    <n v="117"/>
    <n v="1"/>
    <n v="1"/>
  </r>
  <r>
    <s v="Guest 380"/>
    <s v="Guest380@gmail.com"/>
    <x v="5"/>
    <d v="2020-11-14T00:00:00"/>
    <d v="2020-11-16T00:00:00"/>
    <d v="2020-10-17T00:00:00"/>
    <d v="1899-12-30T14:00:00"/>
    <d v="1899-12-30T11:00:00"/>
    <s v="tokeet"/>
    <x v="1"/>
    <n v="6"/>
    <n v="0"/>
    <s v="GBP"/>
    <n v="376.25"/>
    <n v="6"/>
    <n v="2"/>
  </r>
  <r>
    <s v="Guest 83"/>
    <s v="Guest83@encry.com"/>
    <x v="6"/>
    <d v="2020-11-14T00:00:00"/>
    <d v="2020-11-16T00:00:00"/>
    <d v="2020-11-10T00:00:00"/>
    <d v="1899-12-30T14:00:00"/>
    <d v="1899-12-30T11:00:00"/>
    <s v="tokeet"/>
    <x v="1"/>
    <n v="5"/>
    <n v="0"/>
    <s v="GBP"/>
    <n v="258"/>
    <n v="5"/>
    <n v="2"/>
  </r>
  <r>
    <s v="Guest 379"/>
    <s v="Guest379@gmail%2Ecom"/>
    <x v="0"/>
    <d v="2020-11-16T00:00:00"/>
    <d v="2020-11-18T00:00:00"/>
    <d v="2020-11-07T00:00:00"/>
    <d v="1899-12-30T11:00:00"/>
    <d v="1899-12-30T10:00:00"/>
    <s v="tokeet"/>
    <x v="0"/>
    <n v="6"/>
    <n v="0"/>
    <s v="GBP"/>
    <n v="240"/>
    <n v="6"/>
    <n v="2"/>
  </r>
  <r>
    <s v="Guest 83"/>
    <s v="Guest83@encry.com"/>
    <x v="5"/>
    <d v="2020-11-16T00:00:00"/>
    <d v="2020-11-17T00:00:00"/>
    <d v="2020-11-10T00:00:00"/>
    <d v="1899-12-30T14:00:00"/>
    <d v="1899-12-30T11:00:00"/>
    <s v="tokeet"/>
    <x v="1"/>
    <n v="5"/>
    <n v="0"/>
    <s v="GBP"/>
    <n v="213.93"/>
    <n v="5"/>
    <n v="1"/>
  </r>
  <r>
    <s v="Guest 22"/>
    <s v="Guest22@gmail.com"/>
    <x v="1"/>
    <d v="2020-11-16T00:00:00"/>
    <d v="2020-11-17T00:00:00"/>
    <d v="2020-11-13T00:00:00"/>
    <d v="1899-12-30T14:00:00"/>
    <d v="1899-12-30T11:00:00"/>
    <s v="tokeet"/>
    <x v="1"/>
    <n v="4"/>
    <n v="0"/>
    <s v="GBP"/>
    <n v="129"/>
    <n v="4"/>
    <n v="1"/>
  </r>
  <r>
    <s v="Guest 379"/>
    <s v="Guest379@gmail%2Ecom"/>
    <x v="0"/>
    <d v="2020-11-16T00:00:00"/>
    <d v="2020-11-19T00:00:00"/>
    <d v="2020-11-08T00:00:00"/>
    <d v="1899-12-30T11:00:00"/>
    <d v="1899-12-30T10:00:00"/>
    <s v="tokeet"/>
    <x v="1"/>
    <n v="5"/>
    <n v="0"/>
    <s v="GBP"/>
    <n v="387"/>
    <n v="5"/>
    <n v="3"/>
  </r>
  <r>
    <s v="Guest 275"/>
    <s v="Guest275@airbnb.com"/>
    <x v="5"/>
    <d v="2020-11-17T00:00:00"/>
    <d v="2020-11-20T00:00:00"/>
    <d v="2020-10-24T00:00:00"/>
    <d v="1899-12-30T14:00:00"/>
    <d v="1899-12-30T11:00:00"/>
    <s v="tokeet"/>
    <x v="1"/>
    <n v="4"/>
    <n v="0"/>
    <s v="GBP"/>
    <n v="641.77"/>
    <n v="4"/>
    <n v="3"/>
  </r>
  <r>
    <s v="Guest 295"/>
    <s v="Guest295@gmail.com"/>
    <x v="1"/>
    <d v="2020-11-17T00:00:00"/>
    <d v="2020-11-18T00:00:00"/>
    <d v="2020-11-24T00:00:00"/>
    <d v="1899-12-30T14:00:00"/>
    <d v="1899-12-30T11:00:00"/>
    <s v="tokeet"/>
    <x v="1"/>
    <n v="4"/>
    <n v="0"/>
    <s v="GBP"/>
    <n v="129"/>
    <n v="4"/>
    <n v="1"/>
  </r>
  <r>
    <s v="Guest 40"/>
    <s v="Guest40@airbnb.com"/>
    <x v="1"/>
    <d v="2020-11-18T00:00:00"/>
    <d v="2020-11-22T00:00:00"/>
    <d v="2020-07-19T00:00:00"/>
    <d v="1899-12-30T14:00:00"/>
    <d v="1899-12-30T11:00:00"/>
    <s v="airbnb"/>
    <x v="0"/>
    <n v="1"/>
    <n v="0"/>
    <s v="GBP"/>
    <n v="573"/>
    <n v="1"/>
    <n v="4"/>
  </r>
  <r>
    <s v="Guest 379"/>
    <s v="Guest379@gmail%2Ecom"/>
    <x v="4"/>
    <d v="2020-11-18T00:00:00"/>
    <d v="2020-11-19T00:00:00"/>
    <d v="2020-11-18T00:00:00"/>
    <d v="1899-12-30T12:00:00"/>
    <d v="1899-12-30T14:00:00"/>
    <s v="tokeet"/>
    <x v="1"/>
    <n v="4"/>
    <n v="0"/>
    <s v="GBP"/>
    <n v="129"/>
    <n v="4"/>
    <n v="1"/>
  </r>
  <r>
    <s v="Guest 289"/>
    <s v="Guest289@yahoo%2Ecom"/>
    <x v="6"/>
    <d v="2020-11-18T00:00:00"/>
    <d v="2020-11-19T00:00:00"/>
    <d v="2020-11-07T00:00:00"/>
    <d v="1899-12-30T14:00:00"/>
    <d v="1899-12-30T11:00:00"/>
    <s v="tokeet"/>
    <x v="0"/>
    <n v="5"/>
    <n v="0"/>
    <s v="GBP"/>
    <n v="129"/>
    <n v="5"/>
    <n v="1"/>
  </r>
  <r>
    <s v="Guest 379"/>
    <s v="Guest379@gmail%2Ecom"/>
    <x v="0"/>
    <d v="2020-11-18T00:00:00"/>
    <d v="2020-11-19T00:00:00"/>
    <d v="2020-11-13T00:00:00"/>
    <d v="1899-12-30T11:00:00"/>
    <d v="1899-12-30T10:00:00"/>
    <s v="tokeet"/>
    <x v="0"/>
    <n v="5"/>
    <n v="0"/>
    <s v="GBP"/>
    <n v="120"/>
    <n v="5"/>
    <n v="1"/>
  </r>
  <r>
    <s v="Guest 302"/>
    <s v="Guest302@gmail.com"/>
    <x v="0"/>
    <d v="2020-11-19T00:00:00"/>
    <d v="2020-11-24T00:00:00"/>
    <d v="2020-11-07T00:00:00"/>
    <d v="1899-12-30T11:00:00"/>
    <d v="1899-12-30T10:00:00"/>
    <s v="tokeet"/>
    <x v="0"/>
    <n v="5"/>
    <n v="0"/>
    <s v="GBP"/>
    <n v="600"/>
    <n v="5"/>
    <n v="5"/>
  </r>
  <r>
    <s v="Guest 302"/>
    <s v="Guest302@gmail.com"/>
    <x v="0"/>
    <d v="2020-11-19T00:00:00"/>
    <d v="2020-11-24T00:00:00"/>
    <d v="2020-11-08T00:00:00"/>
    <d v="1899-12-30T11:00:00"/>
    <d v="1899-12-30T10:00:00"/>
    <s v="tokeet"/>
    <x v="1"/>
    <n v="6"/>
    <n v="0"/>
    <s v="GBP"/>
    <n v="600"/>
    <n v="6"/>
    <n v="5"/>
  </r>
  <r>
    <s v="Guest 1"/>
    <s v="Guest1@gmail%2Ecom"/>
    <x v="6"/>
    <d v="2020-11-19T00:00:00"/>
    <d v="2020-11-20T00:00:00"/>
    <d v="2020-11-16T00:00:00"/>
    <d v="1899-12-30T14:00:00"/>
    <d v="1899-12-30T11:00:00"/>
    <s v="tokeet"/>
    <x v="0"/>
    <n v="2"/>
    <n v="0"/>
    <s v="GBP"/>
    <n v="129"/>
    <n v="2"/>
    <n v="1"/>
  </r>
  <r>
    <s v="Guest 12"/>
    <s v="Guest12@gmail.com"/>
    <x v="6"/>
    <d v="2020-11-19T00:00:00"/>
    <d v="2020-11-20T00:00:00"/>
    <d v="2020-11-16T00:00:00"/>
    <d v="1899-12-30T14:00:00"/>
    <d v="1899-12-30T11:00:00"/>
    <s v="tokeet"/>
    <x v="1"/>
    <n v="2"/>
    <n v="0"/>
    <s v="GBP"/>
    <n v="129"/>
    <n v="2"/>
    <n v="1"/>
  </r>
  <r>
    <s v="Guest 379"/>
    <s v="Guest379@gmail%2Ecom"/>
    <x v="1"/>
    <d v="2020-11-19T00:00:00"/>
    <d v="2020-11-20T00:00:00"/>
    <d v="2020-11-19T00:00:00"/>
    <d v="1899-12-30T14:00:00"/>
    <d v="1899-12-30T11:00:00"/>
    <s v="tokeet"/>
    <x v="1"/>
    <n v="3"/>
    <n v="0"/>
    <s v="GBP"/>
    <n v="129"/>
    <n v="3"/>
    <n v="1"/>
  </r>
  <r>
    <s v="Guest 406"/>
    <s v="Guest406@airbnb.com"/>
    <x v="1"/>
    <d v="2020-11-20T00:00:00"/>
    <d v="2020-11-21T00:00:00"/>
    <d v="2020-10-25T00:00:00"/>
    <d v="1899-12-30T14:00:00"/>
    <d v="1899-12-30T11:00:00"/>
    <s v="tokeet"/>
    <x v="1"/>
    <n v="4"/>
    <n v="0"/>
    <s v="GBP"/>
    <n v="129"/>
    <n v="4"/>
    <n v="1"/>
  </r>
  <r>
    <s v="Guest 376"/>
    <s v="Guest376@yahoo.com"/>
    <x v="5"/>
    <d v="2020-11-20T00:00:00"/>
    <d v="2020-11-21T00:00:00"/>
    <d v="2020-10-24T00:00:00"/>
    <d v="1899-12-30T14:00:00"/>
    <d v="1899-12-30T11:00:00"/>
    <s v="tokeet"/>
    <x v="0"/>
    <n v="6"/>
    <n v="0"/>
    <s v="GBP"/>
    <n v="213.93"/>
    <n v="6"/>
    <n v="1"/>
  </r>
  <r>
    <s v="Guest 29"/>
    <s v="Guest29@gmail.com"/>
    <x v="6"/>
    <d v="2020-11-20T00:00:00"/>
    <d v="2020-11-21T00:00:00"/>
    <d v="2020-11-18T00:00:00"/>
    <d v="1899-12-30T14:00:00"/>
    <d v="1899-12-30T11:00:00"/>
    <s v="tokeet"/>
    <x v="0"/>
    <n v="5"/>
    <n v="0"/>
    <s v="GBP"/>
    <n v="129"/>
    <n v="5"/>
    <n v="1"/>
  </r>
  <r>
    <s v="Guest 80"/>
    <s v="Guest80@yahoo%2Ecom"/>
    <x v="5"/>
    <d v="2020-11-20T00:00:00"/>
    <d v="2020-11-22T00:00:00"/>
    <d v="2020-11-15T00:00:00"/>
    <d v="1899-12-30T14:00:00"/>
    <d v="1899-12-30T11:00:00"/>
    <s v="tokeet"/>
    <x v="1"/>
    <n v="3"/>
    <n v="0"/>
    <s v="GBP"/>
    <n v="427.85"/>
    <n v="3"/>
    <n v="2"/>
  </r>
  <r>
    <s v="Guest 556"/>
    <s v="Guest556@airbnb.com"/>
    <x v="1"/>
    <d v="2020-11-21T00:00:00"/>
    <d v="2020-11-23T00:00:00"/>
    <d v="2020-10-05T00:00:00"/>
    <d v="1899-12-30T14:00:00"/>
    <d v="1899-12-30T11:00:00"/>
    <s v="airbnb"/>
    <x v="0"/>
    <n v="2"/>
    <n v="0"/>
    <s v="GBP"/>
    <n v="234"/>
    <n v="2"/>
    <n v="2"/>
  </r>
  <r>
    <s v="Guest 363"/>
    <s v="Guest363@airbnb.com"/>
    <x v="1"/>
    <d v="2020-11-21T00:00:00"/>
    <d v="2020-11-22T00:00:00"/>
    <d v="2020-10-13T00:00:00"/>
    <d v="1899-12-30T14:00:00"/>
    <d v="1899-12-30T11:00:00"/>
    <s v="airbnb"/>
    <x v="0"/>
    <n v="6"/>
    <n v="0"/>
    <s v="GBP"/>
    <n v="117"/>
    <n v="6"/>
    <n v="1"/>
  </r>
  <r>
    <s v="Guest 503"/>
    <s v="Guest503@gmail.com"/>
    <x v="4"/>
    <d v="2020-11-22T00:00:00"/>
    <d v="2020-11-23T00:00:00"/>
    <d v="2020-10-16T00:00:00"/>
    <d v="1899-12-30T12:00:00"/>
    <d v="1899-12-30T14:00:00"/>
    <s v="tokeet"/>
    <x v="0"/>
    <n v="10"/>
    <n v="0"/>
    <s v="GBP"/>
    <n v="85000"/>
    <n v="10"/>
    <n v="1"/>
  </r>
  <r>
    <s v="Guest 370"/>
    <s v="Guest370@gmail.com"/>
    <x v="4"/>
    <d v="2020-11-22T00:00:00"/>
    <d v="2020-11-25T00:00:00"/>
    <d v="2020-10-17T00:00:00"/>
    <d v="1899-12-30T12:00:00"/>
    <d v="1899-12-30T14:00:00"/>
    <s v="tokeet"/>
    <x v="0"/>
    <n v="1"/>
    <n v="0"/>
    <s v="GBP"/>
    <n v="390000"/>
    <n v="1"/>
    <n v="3"/>
  </r>
  <r>
    <s v="Guest 6"/>
    <s v="Guest6@careerinsights.tv"/>
    <x v="4"/>
    <d v="2020-11-22T00:00:00"/>
    <d v="2020-11-23T00:00:00"/>
    <d v="2020-11-06T00:00:00"/>
    <d v="1899-12-30T12:00:00"/>
    <d v="1899-12-30T14:00:00"/>
    <s v="tokeet"/>
    <x v="0"/>
    <n v="1"/>
    <n v="0"/>
    <s v="GBP"/>
    <n v="130000"/>
    <n v="1"/>
    <n v="1"/>
  </r>
  <r>
    <s v="Guest 569"/>
    <s v="Guest569@gmail.com"/>
    <x v="5"/>
    <d v="2020-11-22T00:00:00"/>
    <d v="2020-11-23T00:00:00"/>
    <d v="2020-10-24T00:00:00"/>
    <d v="1899-12-30T14:00:00"/>
    <d v="1899-12-30T11:00:00"/>
    <s v="tokeet"/>
    <x v="0"/>
    <n v="4"/>
    <n v="0"/>
    <s v="GBP"/>
    <n v="213.93"/>
    <n v="4"/>
    <n v="1"/>
  </r>
  <r>
    <s v="Guest 569"/>
    <s v="Guest569@gmail.com"/>
    <x v="1"/>
    <d v="2020-11-22T00:00:00"/>
    <d v="2020-11-23T00:00:00"/>
    <d v="2020-11-15T00:00:00"/>
    <d v="1899-12-30T14:00:00"/>
    <d v="1899-12-30T11:00:00"/>
    <s v="tokeet"/>
    <x v="0"/>
    <n v="3"/>
    <n v="0"/>
    <s v="GBP"/>
    <n v="129"/>
    <n v="3"/>
    <n v="1"/>
  </r>
  <r>
    <s v="Guest 546"/>
    <s v="Guest546@gmail.com"/>
    <x v="1"/>
    <d v="2020-11-22T00:00:00"/>
    <d v="2020-11-24T00:00:00"/>
    <d v="2020-11-16T00:00:00"/>
    <d v="1899-12-30T14:00:00"/>
    <d v="1899-12-30T11:00:00"/>
    <s v="tokeet"/>
    <x v="1"/>
    <n v="5"/>
    <n v="0"/>
    <s v="GBP"/>
    <n v="258"/>
    <n v="5"/>
    <n v="2"/>
  </r>
  <r>
    <s v="Guest 2"/>
    <s v="Guest2@gmail.com"/>
    <x v="5"/>
    <d v="2020-11-22T00:00:00"/>
    <d v="2020-11-25T00:00:00"/>
    <d v="2020-11-23T00:00:00"/>
    <d v="1899-12-30T14:00:00"/>
    <d v="1899-12-30T11:00:00"/>
    <s v="tokeet"/>
    <x v="1"/>
    <n v="4"/>
    <n v="0"/>
    <s v="GBP"/>
    <n v="641.78"/>
    <n v="4"/>
    <n v="3"/>
  </r>
  <r>
    <s v="Guest 546"/>
    <s v="Guest546@gmail.com"/>
    <x v="4"/>
    <d v="2020-11-23T00:00:00"/>
    <d v="2020-11-25T00:00:00"/>
    <d v="2020-11-16T00:00:00"/>
    <d v="1899-12-30T12:00:00"/>
    <d v="1899-12-30T14:00:00"/>
    <s v="tokeet"/>
    <x v="0"/>
    <n v="3"/>
    <n v="0"/>
    <s v="GBP"/>
    <n v="170000"/>
    <n v="3"/>
    <n v="2"/>
  </r>
  <r>
    <s v="Guest 546"/>
    <s v="Guest546@gmail.com"/>
    <x v="4"/>
    <d v="2020-11-23T00:00:00"/>
    <d v="2020-11-25T00:00:00"/>
    <d v="2020-11-16T00:00:00"/>
    <d v="1899-12-30T12:00:00"/>
    <d v="1899-12-30T14:00:00"/>
    <s v="tokeet"/>
    <x v="0"/>
    <n v="3"/>
    <n v="0"/>
    <s v="GBP"/>
    <n v="170000"/>
    <n v="3"/>
    <n v="2"/>
  </r>
  <r>
    <s v="Guest 446"/>
    <s v="Guest446@gmail.com"/>
    <x v="4"/>
    <d v="2020-11-24T00:00:00"/>
    <d v="2020-11-27T00:00:00"/>
    <d v="2020-11-14T00:00:00"/>
    <d v="1899-12-30T12:00:00"/>
    <d v="1899-12-30T14:00:00"/>
    <s v="tokeet"/>
    <x v="0"/>
    <n v="2"/>
    <n v="0"/>
    <s v="GBP"/>
    <n v="255000"/>
    <n v="2"/>
    <n v="3"/>
  </r>
  <r>
    <s v="Guest 1"/>
    <s v="Guest1@gmail%2Ecom"/>
    <x v="1"/>
    <d v="2020-11-24T00:00:00"/>
    <d v="2020-11-26T00:00:00"/>
    <d v="2020-11-22T00:00:00"/>
    <d v="1899-12-30T14:00:00"/>
    <d v="1899-12-30T11:00:00"/>
    <s v="tokeet"/>
    <x v="0"/>
    <n v="5"/>
    <n v="0"/>
    <s v="GBP"/>
    <n v="258"/>
    <n v="5"/>
    <n v="2"/>
  </r>
  <r>
    <s v="Guest 151"/>
    <s v="Guest151@careerinsights.tv"/>
    <x v="4"/>
    <d v="2020-11-24T00:00:00"/>
    <d v="2020-11-25T00:00:00"/>
    <d v="2020-11-23T00:00:00"/>
    <d v="1899-12-30T12:00:00"/>
    <d v="1899-12-30T14:00:00"/>
    <s v="tokeet"/>
    <x v="0"/>
    <n v="1"/>
    <n v="0"/>
    <s v="GBP"/>
    <n v="85000"/>
    <n v="1"/>
    <n v="1"/>
  </r>
  <r>
    <s v="Guest 395"/>
    <s v="Guest395@gmail.com"/>
    <x v="1"/>
    <d v="2020-11-24T00:00:00"/>
    <d v="2020-11-26T00:00:00"/>
    <d v="2020-11-24T00:00:00"/>
    <d v="1899-12-30T14:00:00"/>
    <d v="1899-12-30T11:00:00"/>
    <s v="tokeet"/>
    <x v="1"/>
    <n v="6"/>
    <n v="0"/>
    <s v="GBP"/>
    <n v="258"/>
    <n v="6"/>
    <n v="2"/>
  </r>
  <r>
    <s v="Guest 289"/>
    <s v="Guest289@yahoo%2Ecom"/>
    <x v="4"/>
    <d v="2020-11-25T00:00:00"/>
    <d v="2020-11-26T00:00:00"/>
    <d v="2020-11-09T00:00:00"/>
    <d v="1899-12-30T12:00:00"/>
    <d v="1899-12-30T14:00:00"/>
    <s v="tokeet"/>
    <x v="0"/>
    <n v="1"/>
    <n v="0"/>
    <s v="GBP"/>
    <n v="130000"/>
    <n v="1"/>
    <n v="1"/>
  </r>
  <r>
    <s v="Guest 409"/>
    <s v="Guest409@gmail.com"/>
    <x v="4"/>
    <d v="2020-11-25T00:00:00"/>
    <d v="2020-11-27T00:00:00"/>
    <d v="2020-11-17T00:00:00"/>
    <d v="1899-12-30T12:00:00"/>
    <d v="1899-12-30T14:00:00"/>
    <s v="tokeet"/>
    <x v="0"/>
    <n v="3"/>
    <n v="0"/>
    <s v="GBP"/>
    <n v="170000"/>
    <n v="3"/>
    <n v="2"/>
  </r>
  <r>
    <s v="Guest 409"/>
    <s v="Guest409@gmail.com"/>
    <x v="4"/>
    <d v="2020-11-25T00:00:00"/>
    <d v="2020-11-27T00:00:00"/>
    <d v="2020-11-20T00:00:00"/>
    <d v="1899-12-30T12:00:00"/>
    <d v="1899-12-30T14:00:00"/>
    <s v="tokeet"/>
    <x v="0"/>
    <n v="3"/>
    <n v="0"/>
    <s v="GBP"/>
    <n v="170000"/>
    <n v="3"/>
    <n v="2"/>
  </r>
  <r>
    <s v="Guest 185"/>
    <s v="Guest185@airbnb.com"/>
    <x v="1"/>
    <d v="2020-11-25T00:00:00"/>
    <d v="2020-11-26T00:00:00"/>
    <d v="2020-11-22T00:00:00"/>
    <d v="1899-12-30T14:00:00"/>
    <d v="1899-12-30T11:00:00"/>
    <s v="airbnb"/>
    <x v="0"/>
    <n v="2"/>
    <n v="0"/>
    <s v="GBP"/>
    <n v="119"/>
    <n v="2"/>
    <n v="1"/>
  </r>
  <r>
    <s v="Guest 319"/>
    <s v="Guest319@gmal.com"/>
    <x v="5"/>
    <d v="2020-11-25T00:00:00"/>
    <d v="2020-11-27T00:00:00"/>
    <d v="2020-11-23T00:00:00"/>
    <d v="1899-12-30T14:00:00"/>
    <d v="1899-12-30T11:00:00"/>
    <s v="tokeet"/>
    <x v="1"/>
    <n v="5"/>
    <n v="0"/>
    <s v="GBP"/>
    <n v="427.85"/>
    <n v="5"/>
    <n v="2"/>
  </r>
  <r>
    <s v="Guest 289"/>
    <s v="Guest289@yahoo%2Ecom"/>
    <x v="5"/>
    <d v="2020-11-26T00:00:00"/>
    <d v="2020-11-30T00:00:00"/>
    <d v="2020-09-14T00:00:00"/>
    <d v="1899-12-30T14:00:00"/>
    <d v="1899-12-30T11:00:00"/>
    <s v="tokeet"/>
    <x v="0"/>
    <n v="2"/>
    <n v="0"/>
    <s v="GBP"/>
    <n v="752.5"/>
    <n v="2"/>
    <n v="4"/>
  </r>
  <r>
    <s v="Guest 288"/>
    <s v="Guest288@airbnb.com"/>
    <x v="1"/>
    <d v="2020-11-26T00:00:00"/>
    <d v="2020-11-28T00:00:00"/>
    <d v="2020-11-09T00:00:00"/>
    <d v="1899-12-30T14:00:00"/>
    <d v="1899-12-30T11:00:00"/>
    <s v="airbnb"/>
    <x v="0"/>
    <n v="1"/>
    <n v="0"/>
    <s v="GBP"/>
    <n v="241"/>
    <n v="1"/>
    <n v="2"/>
  </r>
  <r>
    <s v="Guest 239"/>
    <s v="Guest239@gmail.com"/>
    <x v="1"/>
    <d v="2020-11-26T00:00:00"/>
    <d v="2020-11-28T00:00:00"/>
    <d v="2020-11-17T00:00:00"/>
    <d v="1899-12-30T14:00:00"/>
    <d v="1899-12-30T11:00:00"/>
    <s v="tokeet"/>
    <x v="1"/>
    <n v="6"/>
    <n v="0"/>
    <s v="GBP"/>
    <n v="258"/>
    <n v="6"/>
    <n v="2"/>
  </r>
  <r>
    <s v="Guest 526"/>
    <s v="Guest526@airbnb.com"/>
    <x v="1"/>
    <d v="2020-11-27T00:00:00"/>
    <d v="2020-11-28T00:00:00"/>
    <d v="2020-11-09T00:00:00"/>
    <d v="1899-12-30T14:00:00"/>
    <d v="1899-12-30T11:00:00"/>
    <s v="airbnb"/>
    <x v="0"/>
    <n v="6"/>
    <n v="0"/>
    <s v="GBP"/>
    <n v="120"/>
    <n v="6"/>
    <n v="1"/>
  </r>
  <r>
    <s v="Guest 80"/>
    <s v="Guest80@yahoo%2Ecom"/>
    <x v="5"/>
    <d v="2020-11-27T00:00:00"/>
    <d v="2020-11-28T00:00:00"/>
    <d v="2020-11-03T00:00:00"/>
    <d v="1899-12-30T14:00:00"/>
    <d v="1899-12-30T11:00:00"/>
    <s v="tokeet"/>
    <x v="1"/>
    <n v="4"/>
    <n v="0"/>
    <s v="GBP"/>
    <n v="213.93"/>
    <n v="4"/>
    <n v="1"/>
  </r>
  <r>
    <s v="Guest 59"/>
    <s v="Guest59@airbnb.com"/>
    <x v="4"/>
    <d v="2020-11-28T00:00:00"/>
    <d v="2020-11-30T00:00:00"/>
    <d v="2020-05-29T00:00:00"/>
    <d v="1899-12-30T08:00:00"/>
    <d v="1899-12-31T00:00:00"/>
    <s v="airbnb"/>
    <x v="0"/>
    <n v="5"/>
    <n v="0"/>
    <s v="GBP"/>
    <n v="213"/>
    <n v="5"/>
    <n v="2"/>
  </r>
  <r>
    <s v="Guest 348"/>
    <s v="Guest348@yahoo.com"/>
    <x v="4"/>
    <d v="2020-11-28T00:00:00"/>
    <d v="2020-11-29T00:00:00"/>
    <d v="2020-11-04T00:00:00"/>
    <d v="1899-12-30T12:00:00"/>
    <d v="1899-12-30T14:00:00"/>
    <s v="tokeet"/>
    <x v="0"/>
    <n v="8"/>
    <n v="0"/>
    <s v="GBP"/>
    <n v="130000"/>
    <n v="8"/>
    <n v="1"/>
  </r>
  <r>
    <s v="Guest 347"/>
    <s v="Guest347@gmail.com"/>
    <x v="4"/>
    <d v="2020-11-28T00:00:00"/>
    <d v="2020-11-30T00:00:00"/>
    <d v="2020-11-07T00:00:00"/>
    <d v="1899-12-30T12:00:00"/>
    <d v="1899-12-30T14:00:00"/>
    <s v="tokeet"/>
    <x v="0"/>
    <n v="8"/>
    <n v="0"/>
    <s v="GBP"/>
    <n v="260000"/>
    <n v="8"/>
    <n v="2"/>
  </r>
  <r>
    <s v="Guest 347"/>
    <s v="Guest347@gmail.com"/>
    <x v="4"/>
    <d v="2020-11-28T00:00:00"/>
    <d v="2020-11-30T00:00:00"/>
    <d v="2020-11-07T00:00:00"/>
    <d v="1899-12-30T12:00:00"/>
    <d v="1899-12-30T14:00:00"/>
    <s v="tokeet"/>
    <x v="0"/>
    <n v="8"/>
    <n v="0"/>
    <s v="GBP"/>
    <n v="260000"/>
    <n v="8"/>
    <n v="2"/>
  </r>
  <r>
    <s v="Guest 347"/>
    <s v="Guest347@gmail.com"/>
    <x v="5"/>
    <d v="2020-11-28T00:00:00"/>
    <d v="2020-11-30T00:00:00"/>
    <d v="2020-11-07T00:00:00"/>
    <d v="1899-12-30T14:00:00"/>
    <d v="1899-12-30T11:00:00"/>
    <s v="tokeet"/>
    <x v="1"/>
    <n v="8"/>
    <n v="0"/>
    <s v="GBP"/>
    <n v="470.85"/>
    <n v="8"/>
    <n v="2"/>
  </r>
  <r>
    <s v="Guest 390"/>
    <s v="Guest390@airbnb.com"/>
    <x v="1"/>
    <d v="2020-11-29T00:00:00"/>
    <d v="2020-11-30T00:00:00"/>
    <d v="2020-11-03T00:00:00"/>
    <d v="1899-12-30T14:00:00"/>
    <d v="1899-12-30T11:00:00"/>
    <s v="airbnb"/>
    <x v="0"/>
    <n v="1"/>
    <n v="0"/>
    <s v="GBP"/>
    <n v="120"/>
    <n v="1"/>
    <n v="1"/>
  </r>
  <r>
    <s v="Guest 484"/>
    <s v="Guest484@gmail.com"/>
    <x v="4"/>
    <d v="2020-11-29T00:00:00"/>
    <d v="2020-11-30T00:00:00"/>
    <d v="2020-11-05T00:00:00"/>
    <d v="1899-12-30T12:00:00"/>
    <d v="1899-12-30T14:00:00"/>
    <s v="tokeet"/>
    <x v="0"/>
    <n v="10"/>
    <n v="0"/>
    <s v="GBP"/>
    <n v="75000"/>
    <n v="10"/>
    <n v="1"/>
  </r>
  <r>
    <s v="Guest 484"/>
    <s v="Guest484@gmail.com"/>
    <x v="4"/>
    <d v="2020-11-29T00:00:00"/>
    <d v="2020-11-30T00:00:00"/>
    <d v="2020-11-05T00:00:00"/>
    <d v="1899-12-30T12:00:00"/>
    <d v="1899-12-30T14:00:00"/>
    <s v="tokeet"/>
    <x v="0"/>
    <n v="10"/>
    <n v="0"/>
    <s v="GBP"/>
    <n v="75000"/>
    <n v="10"/>
    <n v="1"/>
  </r>
  <r>
    <s v="Guest 95"/>
    <s v="Guest95@airbnb.com"/>
    <x v="1"/>
    <d v="2020-11-30T00:00:00"/>
    <d v="2020-12-02T00:00:00"/>
    <d v="2020-11-09T00:00:00"/>
    <d v="1899-12-30T14:00:00"/>
    <d v="1899-12-30T11:00:00"/>
    <s v="airbnb"/>
    <x v="0"/>
    <n v="4"/>
    <n v="0"/>
    <s v="GBP"/>
    <n v="241"/>
    <n v="4"/>
    <n v="2"/>
  </r>
  <r>
    <s v="Guest 23"/>
    <s v="Guest23@gmail.com"/>
    <x v="4"/>
    <d v="2020-11-30T00:00:00"/>
    <d v="2020-12-01T00:00:00"/>
    <d v="2020-11-23T00:00:00"/>
    <d v="1899-12-30T12:00:00"/>
    <d v="1899-12-30T14:00:00"/>
    <s v="tokeet"/>
    <x v="0"/>
    <n v="4"/>
    <n v="0"/>
    <s v="GBP"/>
    <n v="130000"/>
    <n v="4"/>
    <n v="1"/>
  </r>
  <r>
    <s v="Guest 31"/>
    <s v="Guest31@airbnb.com"/>
    <x v="2"/>
    <d v="2020-11-30T00:00:00"/>
    <d v="2020-12-01T00:00:00"/>
    <d v="2020-11-30T00:00:00"/>
    <d v="1899-12-30T08:00:00"/>
    <d v="1899-12-31T00:00:00"/>
    <s v="tokeet"/>
    <x v="1"/>
    <n v="3"/>
    <n v="0"/>
    <s v="GBP"/>
    <n v="129"/>
    <n v="3"/>
    <n v="1"/>
  </r>
  <r>
    <s v="Guest 324"/>
    <s v="Guest324@gmail.com"/>
    <x v="5"/>
    <d v="2020-11-30T00:00:00"/>
    <d v="2020-12-04T00:00:00"/>
    <d v="2020-11-30T00:00:00"/>
    <d v="1899-12-30T14:00:00"/>
    <d v="1899-12-30T11:00:00"/>
    <s v="tokeet"/>
    <x v="1"/>
    <n v="4"/>
    <n v="0"/>
    <s v="GBP"/>
    <n v="855.7"/>
    <n v="4"/>
    <n v="4"/>
  </r>
  <r>
    <s v="Guest 543"/>
    <s v="Guest543@airbnb.com"/>
    <x v="2"/>
    <d v="2020-12-01T00:00:00"/>
    <d v="2020-12-03T00:00:00"/>
    <d v="2020-11-16T00:00:00"/>
    <d v="1899-12-30T08:00:00"/>
    <d v="1899-12-31T00:00:00"/>
    <s v="airbnb"/>
    <x v="0"/>
    <n v="1"/>
    <n v="0"/>
    <s v="GBP"/>
    <n v="241"/>
    <n v="1"/>
    <n v="2"/>
  </r>
  <r>
    <s v="Guest 252"/>
    <s v="Guest252@yahoo.com"/>
    <x v="4"/>
    <d v="2020-12-01T00:00:00"/>
    <d v="2020-12-02T00:00:00"/>
    <d v="2020-11-18T00:00:00"/>
    <d v="1899-12-30T12:00:00"/>
    <d v="1899-12-30T14:00:00"/>
    <s v="tokeet"/>
    <x v="0"/>
    <n v="8"/>
    <n v="0"/>
    <s v="GBP"/>
    <n v="130000"/>
    <n v="8"/>
    <n v="1"/>
  </r>
  <r>
    <s v="Guest 23"/>
    <s v="Guest23@gmail.com"/>
    <x v="4"/>
    <d v="2020-12-01T00:00:00"/>
    <d v="2020-12-02T00:00:00"/>
    <d v="2020-11-23T00:00:00"/>
    <d v="1899-12-30T12:00:00"/>
    <d v="1899-12-30T14:00:00"/>
    <s v="tokeet"/>
    <x v="0"/>
    <n v="2"/>
    <n v="0"/>
    <s v="GBP"/>
    <n v="75000"/>
    <n v="2"/>
    <n v="1"/>
  </r>
  <r>
    <s v="Guest 144"/>
    <s v="Guest144@gmail%2Ecom"/>
    <x v="2"/>
    <d v="2020-12-01T00:00:00"/>
    <d v="2020-12-03T00:00:00"/>
    <d v="2020-11-25T00:00:00"/>
    <d v="1899-12-30T08:00:00"/>
    <d v="1899-12-31T00:00:00"/>
    <s v="tokeet"/>
    <x v="0"/>
    <n v="5"/>
    <n v="0"/>
    <s v="GBP"/>
    <n v="258"/>
    <n v="5"/>
    <n v="2"/>
  </r>
  <r>
    <s v="Guest 115"/>
    <s v="Guest115@icloud.com"/>
    <x v="4"/>
    <d v="2020-12-02T00:00:00"/>
    <d v="2020-12-05T00:00:00"/>
    <d v="2020-10-17T00:00:00"/>
    <d v="1899-12-30T12:00:00"/>
    <d v="1899-12-30T14:00:00"/>
    <s v="tokeet"/>
    <x v="0"/>
    <n v="1"/>
    <n v="0"/>
    <s v="GBP"/>
    <n v="255000"/>
    <n v="1"/>
    <n v="3"/>
  </r>
  <r>
    <s v="Guest 314"/>
    <s v="Guest314@airbnb.com"/>
    <x v="2"/>
    <d v="2020-12-02T00:00:00"/>
    <d v="2020-12-10T00:00:00"/>
    <d v="2020-10-20T00:00:00"/>
    <d v="1899-12-30T08:00:00"/>
    <d v="1899-12-31T00:00:00"/>
    <s v="airbnb"/>
    <x v="0"/>
    <n v="6"/>
    <n v="0"/>
    <s v="GBP"/>
    <n v="916"/>
    <n v="6"/>
    <n v="8"/>
  </r>
  <r>
    <s v="Guest 150"/>
    <s v="Guest150@gmail.com"/>
    <x v="4"/>
    <d v="2020-12-03T00:00:00"/>
    <d v="2020-12-07T00:00:00"/>
    <d v="2020-11-30T00:00:00"/>
    <d v="1899-12-30T12:00:00"/>
    <d v="1899-12-30T14:00:00"/>
    <s v="tokeet"/>
    <x v="0"/>
    <n v="2"/>
    <n v="0"/>
    <s v="GBP"/>
    <n v="0"/>
    <n v="2"/>
    <n v="4"/>
  </r>
  <r>
    <s v="Guest 263"/>
    <s v="Guest263@yahoo%2Ecom"/>
    <x v="2"/>
    <d v="2020-12-03T00:00:00"/>
    <d v="2020-12-04T00:00:00"/>
    <d v="2020-12-03T00:00:00"/>
    <d v="1899-12-30T08:00:00"/>
    <d v="1899-12-31T00:00:00"/>
    <s v="tokeet"/>
    <x v="0"/>
    <n v="2"/>
    <n v="0"/>
    <s v="GBP"/>
    <n v="129"/>
    <n v="2"/>
    <n v="1"/>
  </r>
  <r>
    <s v="Guest 263"/>
    <s v="Guest263@yahoo%2Ecom"/>
    <x v="2"/>
    <d v="2020-12-03T00:00:00"/>
    <d v="2020-12-04T00:00:00"/>
    <d v="2020-12-03T00:00:00"/>
    <d v="1899-12-30T08:00:00"/>
    <d v="1899-12-31T00:00:00"/>
    <s v="tokeet"/>
    <x v="1"/>
    <n v="3"/>
    <n v="0"/>
    <s v="GBP"/>
    <n v="129"/>
    <n v="3"/>
    <n v="1"/>
  </r>
  <r>
    <s v="Guest 308"/>
    <s v="Guest308@guest.booking.com"/>
    <x v="6"/>
    <d v="2020-12-04T00:00:00"/>
    <d v="2020-12-11T00:00:00"/>
    <d v="2020-07-02T00:00:00"/>
    <d v="1899-12-30T14:00:00"/>
    <d v="1899-12-30T11:00:00"/>
    <s v="Booking.com"/>
    <x v="0"/>
    <n v="2"/>
    <n v="0"/>
    <s v="GBP"/>
    <n v="903"/>
    <n v="2"/>
    <n v="7"/>
  </r>
  <r>
    <s v="Guest 109"/>
    <s v="Guest109@check.com"/>
    <x v="4"/>
    <d v="2020-12-04T00:00:00"/>
    <d v="2020-12-05T00:00:00"/>
    <d v="2020-10-16T00:00:00"/>
    <d v="1899-12-30T12:00:00"/>
    <d v="1899-12-30T14:00:00"/>
    <s v="tokeet"/>
    <x v="0"/>
    <n v="1"/>
    <n v="0"/>
    <s v="GBP"/>
    <n v="130000"/>
    <n v="1"/>
    <n v="1"/>
  </r>
  <r>
    <s v="Guest 265"/>
    <s v="Guest265@sfsdfsfsd.com"/>
    <x v="4"/>
    <d v="2020-12-04T00:00:00"/>
    <d v="2020-12-05T00:00:00"/>
    <d v="2020-10-20T00:00:00"/>
    <d v="1899-12-30T12:00:00"/>
    <d v="1899-12-30T14:00:00"/>
    <s v="tokeet"/>
    <x v="0"/>
    <n v="1"/>
    <n v="0"/>
    <s v="GBP"/>
    <n v="130000"/>
    <n v="1"/>
    <n v="1"/>
  </r>
  <r>
    <s v="Guest 333"/>
    <s v="Guest333@gmail%2Ecom"/>
    <x v="2"/>
    <d v="2020-12-04T00:00:00"/>
    <d v="2020-12-06T00:00:00"/>
    <d v="2020-10-21T00:00:00"/>
    <d v="1899-12-30T08:00:00"/>
    <d v="1899-12-31T00:00:00"/>
    <s v="tokeet"/>
    <x v="1"/>
    <n v="6"/>
    <n v="0"/>
    <s v="GBP"/>
    <n v="258"/>
    <n v="6"/>
    <n v="2"/>
  </r>
  <r>
    <s v="Guest 297"/>
    <s v="Guest297@encry.com"/>
    <x v="3"/>
    <d v="2020-12-04T00:00:00"/>
    <d v="2020-12-06T00:00:00"/>
    <d v="2020-10-24T00:00:00"/>
    <d v="1899-12-30T08:00:00"/>
    <d v="1899-12-31T00:00:00"/>
    <s v="tokeet"/>
    <x v="1"/>
    <n v="6"/>
    <n v="0"/>
    <s v="GBP"/>
    <n v="258"/>
    <n v="6"/>
    <n v="2"/>
  </r>
  <r>
    <s v="Guest 297"/>
    <s v="Guest297@encry.com"/>
    <x v="6"/>
    <d v="2020-12-04T00:00:00"/>
    <d v="2020-12-06T00:00:00"/>
    <d v="2020-10-24T00:00:00"/>
    <d v="1899-12-30T14:00:00"/>
    <d v="1899-12-30T11:00:00"/>
    <s v="tokeet"/>
    <x v="1"/>
    <n v="6"/>
    <n v="0"/>
    <s v="GBP"/>
    <n v="258"/>
    <n v="6"/>
    <n v="2"/>
  </r>
  <r>
    <s v="Guest 85"/>
    <s v="Guest85@airbnb.com"/>
    <x v="7"/>
    <d v="2020-12-04T00:00:00"/>
    <d v="2020-12-06T00:00:00"/>
    <d v="2020-11-03T00:00:00"/>
    <d v="1899-12-30T14:00:00"/>
    <d v="1899-12-30T12:00:00"/>
    <s v="airbnb"/>
    <x v="0"/>
    <n v="1"/>
    <n v="0"/>
    <s v="GBP"/>
    <n v="364"/>
    <n v="1"/>
    <n v="2"/>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482"/>
    <s v="Guest482@sdf.sfd"/>
    <x v="4"/>
    <d v="2020-12-04T00:00:00"/>
    <d v="2020-12-05T00:00:00"/>
    <d v="2020-11-05T00:00:00"/>
    <d v="1899-12-30T12:00:00"/>
    <d v="1899-12-30T14:00:00"/>
    <s v="tokeet"/>
    <x v="0"/>
    <n v="1"/>
    <n v="0"/>
    <s v="GBP"/>
    <n v="130000"/>
    <n v="1"/>
    <n v="1"/>
  </r>
  <r>
    <s v="Guest 86"/>
    <s v="Guest86@airbnb.com"/>
    <x v="7"/>
    <d v="2020-12-04T00:00:00"/>
    <d v="2020-12-06T00:00:00"/>
    <d v="2020-11-05T00:00:00"/>
    <d v="1899-12-30T14:00:00"/>
    <d v="1899-12-30T12:00:00"/>
    <s v="tokeet"/>
    <x v="1"/>
    <n v="6"/>
    <n v="0"/>
    <s v="GBP"/>
    <n v="427.85"/>
    <n v="6"/>
    <n v="2"/>
  </r>
  <r>
    <s v="Guest 289"/>
    <s v="Guest289@yahoo%2Ecom"/>
    <x v="5"/>
    <d v="2020-12-04T00:00:00"/>
    <d v="2020-12-08T00:00:00"/>
    <d v="2020-09-15T00:00:00"/>
    <d v="1899-12-30T14:00:00"/>
    <d v="1899-12-30T11:00:00"/>
    <s v="tokeet"/>
    <x v="0"/>
    <n v="4"/>
    <n v="0"/>
    <s v="GBP"/>
    <n v="1283.55"/>
    <n v="4"/>
    <n v="4"/>
  </r>
  <r>
    <s v="Guest 203"/>
    <s v="Guest203@gmail%2Ecom"/>
    <x v="5"/>
    <d v="2020-12-04T00:00:00"/>
    <d v="2020-12-16T00:00:00"/>
    <d v="2020-11-15T00:00:00"/>
    <d v="1899-12-30T14:00:00"/>
    <d v="1899-12-30T11:00:00"/>
    <s v="tokeet"/>
    <x v="1"/>
    <n v="3"/>
    <n v="0"/>
    <s v="GBP"/>
    <n v="2567.1"/>
    <n v="3"/>
    <n v="12"/>
  </r>
  <r>
    <s v="Guest 203"/>
    <s v="Guest203@gmail%2Ecom"/>
    <x v="7"/>
    <d v="2020-12-06T00:00:00"/>
    <d v="2020-12-18T00:00:00"/>
    <d v="2020-11-09T00:00:00"/>
    <d v="1899-12-30T14:00:00"/>
    <d v="1899-12-30T12:00:00"/>
    <s v="tokeet"/>
    <x v="0"/>
    <n v="3"/>
    <n v="0"/>
    <s v="GBP"/>
    <n v="2567.1"/>
    <n v="3"/>
    <n v="12"/>
  </r>
  <r>
    <s v="Guest 431"/>
    <s v="Guest431@airbnb.com"/>
    <x v="2"/>
    <d v="2020-12-06T00:00:00"/>
    <d v="2020-12-08T00:00:00"/>
    <d v="2020-11-10T00:00:00"/>
    <d v="1899-12-30T08:00:00"/>
    <d v="1899-12-31T00:00:00"/>
    <s v="airbnb"/>
    <x v="0"/>
    <n v="1"/>
    <n v="0"/>
    <s v="GBP"/>
    <n v="241"/>
    <n v="1"/>
    <n v="2"/>
  </r>
  <r>
    <s v="Guest 252"/>
    <s v="Guest252@yahoo.com"/>
    <x v="6"/>
    <d v="2020-12-06T00:00:00"/>
    <d v="2020-12-08T00:00:00"/>
    <d v="2020-11-18T00:00:00"/>
    <d v="1899-12-30T12:00:00"/>
    <d v="1899-12-30T14:00:00"/>
    <s v="tokeet"/>
    <x v="1"/>
    <n v="1"/>
    <n v="0"/>
    <s v="GBP"/>
    <n v="258"/>
    <n v="1"/>
    <n v="2"/>
  </r>
  <r>
    <s v="Guest 111"/>
    <s v="Guest111@airbnb.com"/>
    <x v="2"/>
    <d v="2020-12-06T00:00:00"/>
    <d v="2020-12-08T00:00:00"/>
    <d v="2020-12-01T00:00:00"/>
    <d v="1899-12-30T08:00:00"/>
    <d v="1899-12-31T00:00:00"/>
    <s v="airbnb"/>
    <x v="0"/>
    <n v="1"/>
    <n v="0"/>
    <s v="GBP"/>
    <n v="241"/>
    <n v="1"/>
    <n v="2"/>
  </r>
  <r>
    <s v="Guest 90"/>
    <s v="Guest90@gmail.com"/>
    <x v="4"/>
    <d v="2020-12-06T00:00:00"/>
    <d v="2020-12-09T00:00:00"/>
    <d v="2020-12-02T00:00:00"/>
    <d v="1899-12-30T12:00:00"/>
    <d v="1899-12-30T14:00:00"/>
    <s v="tokeet"/>
    <x v="0"/>
    <n v="8"/>
    <n v="0"/>
    <s v="GBP"/>
    <n v="390000"/>
    <n v="8"/>
    <n v="3"/>
  </r>
  <r>
    <s v="Guest 1"/>
    <s v="Guest1@gmail%2Ecom"/>
    <x v="7"/>
    <d v="2020-12-06T00:00:00"/>
    <d v="2020-12-08T00:00:00"/>
    <d v="2020-12-02T00:00:00"/>
    <d v="1899-12-30T14:00:00"/>
    <d v="1899-12-30T12:00:00"/>
    <s v="tokeet"/>
    <x v="0"/>
    <n v="4"/>
    <n v="0"/>
    <s v="GBP"/>
    <n v="427.85"/>
    <n v="4"/>
    <n v="2"/>
  </r>
  <r>
    <s v="Guest 90"/>
    <s v="Guest90@gmail.com"/>
    <x v="7"/>
    <d v="2020-12-06T00:00:00"/>
    <d v="2020-12-08T00:00:00"/>
    <d v="2020-12-02T00:00:00"/>
    <d v="1899-12-30T14:00:00"/>
    <d v="1899-12-30T12:00:00"/>
    <s v="tokeet"/>
    <x v="1"/>
    <n v="4"/>
    <n v="0"/>
    <s v="GBP"/>
    <n v="427.85"/>
    <n v="4"/>
    <n v="2"/>
  </r>
  <r>
    <s v="Guest 324"/>
    <s v="Guest324@gmail.com"/>
    <x v="2"/>
    <d v="2020-12-06T00:00:00"/>
    <d v="2020-12-08T00:00:00"/>
    <d v="2020-12-04T00:00:00"/>
    <d v="1899-12-30T08:00:00"/>
    <d v="1899-12-31T00:00:00"/>
    <s v="tokeet"/>
    <x v="1"/>
    <n v="2"/>
    <n v="0"/>
    <s v="GBP"/>
    <n v="356.12"/>
    <n v="2"/>
    <n v="2"/>
  </r>
  <r>
    <s v="Guest 289"/>
    <s v="Guest289@yahoo%2Ecom"/>
    <x v="4"/>
    <d v="2020-12-07T00:00:00"/>
    <d v="2020-12-08T00:00:00"/>
    <d v="2020-11-09T00:00:00"/>
    <d v="1899-12-30T12:00:00"/>
    <d v="1899-12-30T14:00:00"/>
    <s v="tokeet"/>
    <x v="0"/>
    <n v="1"/>
    <n v="0"/>
    <s v="GBP"/>
    <n v="75000"/>
    <n v="1"/>
    <n v="1"/>
  </r>
  <r>
    <s v="Guest 309"/>
    <s v="Guest309@yahoo.com"/>
    <x v="4"/>
    <d v="2020-12-07T00:00:00"/>
    <d v="2020-12-08T00:00:00"/>
    <d v="2020-11-13T00:00:00"/>
    <d v="1899-12-30T12:00:00"/>
    <d v="1899-12-30T14:00:00"/>
    <s v="tokeet"/>
    <x v="0"/>
    <n v="1"/>
    <n v="0"/>
    <s v="GBP"/>
    <n v="75000"/>
    <n v="1"/>
    <n v="1"/>
  </r>
  <r>
    <s v="Guest 289"/>
    <s v="Guest289@yahoo%2Ecom"/>
    <x v="4"/>
    <d v="2020-12-07T00:00:00"/>
    <d v="2020-12-11T00:00:00"/>
    <d v="2020-11-13T00:00:00"/>
    <d v="1899-12-30T12:00:00"/>
    <d v="1899-12-30T14:00:00"/>
    <s v="tokeet"/>
    <x v="0"/>
    <n v="4"/>
    <n v="0"/>
    <s v="GBP"/>
    <n v="516"/>
    <n v="4"/>
    <n v="4"/>
  </r>
  <r>
    <s v="Guest 136"/>
    <s v="Guest136@gmail.com"/>
    <x v="4"/>
    <d v="2020-12-07T00:00:00"/>
    <d v="2020-12-10T00:00:00"/>
    <d v="2020-12-01T00:00:00"/>
    <d v="1899-12-30T12:00:00"/>
    <d v="1899-12-30T14:00:00"/>
    <s v="tokeet"/>
    <x v="0"/>
    <n v="3"/>
    <n v="0"/>
    <s v="GBP"/>
    <n v="225000"/>
    <n v="3"/>
    <n v="3"/>
  </r>
  <r>
    <s v="Guest 253"/>
    <s v="Guest253@gmail.com"/>
    <x v="4"/>
    <d v="2020-12-08T00:00:00"/>
    <d v="2020-12-09T00:00:00"/>
    <d v="2020-11-25T00:00:00"/>
    <d v="1899-12-30T12:00:00"/>
    <d v="1899-12-30T14:00:00"/>
    <s v="tokeet"/>
    <x v="0"/>
    <n v="1"/>
    <n v="0"/>
    <s v="GBP"/>
    <n v="130000"/>
    <n v="1"/>
    <n v="1"/>
  </r>
  <r>
    <s v="Guest 266"/>
    <s v="Guest266@sfsdfsfsd.com"/>
    <x v="4"/>
    <d v="2020-12-09T00:00:00"/>
    <d v="2020-12-16T00:00:00"/>
    <d v="2020-10-20T00:00:00"/>
    <d v="1899-12-30T12:00:00"/>
    <d v="1899-12-30T14:00:00"/>
    <s v="tokeet"/>
    <x v="0"/>
    <n v="3"/>
    <n v="0"/>
    <s v="GBP"/>
    <n v="910000"/>
    <n v="3"/>
    <n v="7"/>
  </r>
  <r>
    <s v="Guest 552"/>
    <s v="Guest552@airbnb.com"/>
    <x v="2"/>
    <d v="2020-12-09T00:00:00"/>
    <d v="2020-12-11T00:00:00"/>
    <d v="2020-10-31T00:00:00"/>
    <d v="1899-12-30T08:00:00"/>
    <d v="1899-12-31T00:00:00"/>
    <s v="airbnb"/>
    <x v="0"/>
    <n v="3"/>
    <n v="0"/>
    <s v="GBP"/>
    <n v="233"/>
    <n v="3"/>
    <n v="2"/>
  </r>
  <r>
    <s v="Guest 477"/>
    <s v="Guest477@encry.com"/>
    <x v="4"/>
    <d v="2020-12-10T00:00:00"/>
    <d v="2020-12-14T00:00:00"/>
    <d v="2020-10-22T00:00:00"/>
    <d v="1899-12-30T12:00:00"/>
    <d v="1899-12-30T14:00:00"/>
    <s v="tokeet"/>
    <x v="0"/>
    <n v="1"/>
    <n v="0"/>
    <s v="GBP"/>
    <n v="520000"/>
    <n v="1"/>
    <n v="4"/>
  </r>
  <r>
    <s v="Guest 176"/>
    <s v="Guest176@guest.airbnb.com"/>
    <x v="6"/>
    <d v="2020-12-11T00:00:00"/>
    <d v="2020-12-23T00:00:00"/>
    <d v="2020-09-07T00:00:00"/>
    <d v="1899-12-30T14:00:00"/>
    <d v="1899-12-30T11:00:00"/>
    <s v="tokeet"/>
    <x v="0"/>
    <n v="5"/>
    <n v="0"/>
    <s v="GBP"/>
    <n v="1419"/>
    <n v="5"/>
    <n v="12"/>
  </r>
  <r>
    <s v="Guest 152"/>
    <s v="Guest152@yahoo.com"/>
    <x v="4"/>
    <d v="2020-12-11T00:00:00"/>
    <d v="2020-12-14T00:00:00"/>
    <d v="2020-11-12T00:00:00"/>
    <d v="1899-12-30T12:00:00"/>
    <d v="1899-12-30T14:00:00"/>
    <s v="tokeet"/>
    <x v="0"/>
    <n v="1"/>
    <n v="0"/>
    <s v="GBP"/>
    <n v="390000"/>
    <n v="1"/>
    <n v="3"/>
  </r>
  <r>
    <s v="Guest 502"/>
    <s v="Guest502@gmail%2Ecom"/>
    <x v="6"/>
    <d v="2020-12-11T00:00:00"/>
    <d v="2020-12-13T00:00:00"/>
    <d v="2020-11-24T00:00:00"/>
    <d v="1899-12-30T14:00:00"/>
    <d v="1899-12-30T11:00:00"/>
    <s v="tokeet"/>
    <x v="1"/>
    <n v="6"/>
    <n v="0"/>
    <s v="GBP"/>
    <n v="258"/>
    <n v="6"/>
    <n v="2"/>
  </r>
  <r>
    <s v="Guest 416"/>
    <s v="Guest416@airbnb.com"/>
    <x v="6"/>
    <d v="2020-12-11T00:00:00"/>
    <d v="2020-12-13T00:00:00"/>
    <d v="2020-11-24T00:00:00"/>
    <d v="1899-12-30T14:00:00"/>
    <d v="1899-12-30T11:00:00"/>
    <s v="airbnb"/>
    <x v="0"/>
    <n v="1"/>
    <n v="0"/>
    <s v="GBP"/>
    <n v="241"/>
    <n v="1"/>
    <n v="2"/>
  </r>
  <r>
    <s v="Guest 502"/>
    <s v="Guest502@gmail%2Ecom"/>
    <x v="3"/>
    <d v="2020-12-11T00:00:00"/>
    <d v="2020-12-13T00:00:00"/>
    <d v="2020-11-12T00:00:00"/>
    <d v="1899-12-30T08:00:00"/>
    <d v="1899-12-31T00:00:00"/>
    <s v="tokeet"/>
    <x v="0"/>
    <n v="6"/>
    <n v="0"/>
    <s v="GBP"/>
    <n v="258"/>
    <n v="6"/>
    <n v="2"/>
  </r>
  <r>
    <s v="Guest 56"/>
    <s v="Guest56@gmail.com"/>
    <x v="4"/>
    <d v="2020-12-11T00:00:00"/>
    <d v="2020-12-13T00:00:00"/>
    <d v="2020-11-27T00:00:00"/>
    <d v="1899-12-30T12:00:00"/>
    <d v="1899-12-30T14:00:00"/>
    <s v="tokeet"/>
    <x v="0"/>
    <n v="10"/>
    <n v="0"/>
    <s v="GBP"/>
    <n v="0"/>
    <n v="10"/>
    <n v="2"/>
  </r>
  <r>
    <s v="Guest 56"/>
    <s v="Guest56@gmail.com"/>
    <x v="4"/>
    <d v="2020-12-11T00:00:00"/>
    <d v="2020-12-13T00:00:00"/>
    <d v="2020-11-27T00:00:00"/>
    <d v="1899-12-30T12:00:00"/>
    <d v="1899-12-30T14:00:00"/>
    <s v="tokeet"/>
    <x v="0"/>
    <n v="10"/>
    <n v="0"/>
    <s v="GBP"/>
    <n v="0"/>
    <n v="10"/>
    <n v="2"/>
  </r>
  <r>
    <s v="Guest 67"/>
    <s v="Guest67@gmail.com"/>
    <x v="2"/>
    <d v="2020-12-12T00:00:00"/>
    <d v="2020-12-14T00:00:00"/>
    <d v="2020-09-28T00:00:00"/>
    <d v="1899-12-30T08:00:00"/>
    <d v="1899-12-31T00:00:00"/>
    <s v="tokeet"/>
    <x v="0"/>
    <n v="6"/>
    <n v="0"/>
    <s v="GBP"/>
    <n v="258"/>
    <n v="6"/>
    <n v="2"/>
  </r>
  <r>
    <s v="Guest 67"/>
    <s v="Guest67@gmail.com"/>
    <x v="3"/>
    <d v="2020-12-12T00:00:00"/>
    <d v="2020-12-14T00:00:00"/>
    <d v="2020-11-26T00:00:00"/>
    <d v="1899-12-30T08:00:00"/>
    <d v="1899-12-31T00:00:00"/>
    <s v="tokeet"/>
    <x v="0"/>
    <n v="5"/>
    <n v="0"/>
    <s v="GBP"/>
    <n v="258"/>
    <n v="5"/>
    <n v="2"/>
  </r>
  <r>
    <s v="Guest 296"/>
    <s v="Guest296@yahoo.com"/>
    <x v="4"/>
    <d v="2020-12-13T00:00:00"/>
    <d v="2020-12-15T00:00:00"/>
    <d v="2020-11-19T00:00:00"/>
    <d v="1899-12-30T12:00:00"/>
    <d v="1899-12-30T14:00:00"/>
    <s v="tokeet"/>
    <x v="0"/>
    <n v="2"/>
    <n v="0"/>
    <s v="GBP"/>
    <n v="150000"/>
    <n v="2"/>
    <n v="2"/>
  </r>
  <r>
    <s v="Guest 565"/>
    <s v="Guest565@gmail.com"/>
    <x v="4"/>
    <d v="2020-12-14T00:00:00"/>
    <d v="2020-12-18T00:00:00"/>
    <d v="2020-10-17T00:00:00"/>
    <d v="1899-12-30T12:00:00"/>
    <d v="1899-12-30T14:00:00"/>
    <s v="tokeet"/>
    <x v="0"/>
    <n v="4"/>
    <n v="0"/>
    <s v="GBP"/>
    <n v="516"/>
    <n v="4"/>
    <n v="4"/>
  </r>
  <r>
    <s v="Guest 127"/>
    <s v="Guest127@airbnb.com"/>
    <x v="4"/>
    <d v="2020-12-15T00:00:00"/>
    <d v="2020-12-16T00:00:00"/>
    <d v="2020-10-03T00:00:00"/>
    <d v="1899-12-30T12:00:00"/>
    <d v="1899-12-30T14:00:00"/>
    <s v="airbnb"/>
    <x v="0"/>
    <n v="1"/>
    <n v="0"/>
    <s v="GBP"/>
    <n v="118"/>
    <n v="1"/>
    <n v="1"/>
  </r>
  <r>
    <s v="Guest 82"/>
    <s v="Guest82@airbnb.com"/>
    <x v="6"/>
    <d v="2020-12-16T00:00:00"/>
    <d v="2020-12-19T00:00:00"/>
    <d v="2020-11-28T00:00:00"/>
    <d v="1899-12-30T14:00:00"/>
    <d v="1899-12-30T11:00:00"/>
    <s v="airbnb"/>
    <x v="0"/>
    <n v="1"/>
    <n v="0"/>
    <s v="GBP"/>
    <n v="361"/>
    <n v="1"/>
    <n v="3"/>
  </r>
  <r>
    <s v="Guest 139"/>
    <s v="Guest139@airbnb.com"/>
    <x v="6"/>
    <d v="2020-12-16T00:00:00"/>
    <d v="2020-12-19T00:00:00"/>
    <d v="2020-12-02T00:00:00"/>
    <d v="1899-12-30T14:00:00"/>
    <d v="1899-12-30T11:00:00"/>
    <s v="airbnb"/>
    <x v="0"/>
    <n v="1"/>
    <n v="0"/>
    <s v="GBP"/>
    <n v="361"/>
    <n v="1"/>
    <n v="3"/>
  </r>
  <r>
    <s v="Guest 208"/>
    <s v="Guest208@gmail.com"/>
    <x v="4"/>
    <d v="2020-12-16T00:00:00"/>
    <d v="2020-12-17T00:00:00"/>
    <d v="2020-12-02T00:00:00"/>
    <d v="1899-12-30T12:00:00"/>
    <d v="1899-12-30T14:00:00"/>
    <s v="tokeet"/>
    <x v="0"/>
    <n v="5"/>
    <n v="0"/>
    <s v="GBP"/>
    <n v="75000"/>
    <n v="5"/>
    <n v="1"/>
  </r>
  <r>
    <s v="Guest 208"/>
    <s v="Guest208@gmail.com"/>
    <x v="4"/>
    <d v="2020-12-16T00:00:00"/>
    <d v="2020-12-18T00:00:00"/>
    <d v="2020-12-02T00:00:00"/>
    <d v="1899-12-30T12:00:00"/>
    <d v="1899-12-30T14:00:00"/>
    <s v="tokeet"/>
    <x v="0"/>
    <n v="6"/>
    <n v="0"/>
    <s v="GBP"/>
    <n v="150000"/>
    <n v="6"/>
    <n v="2"/>
  </r>
  <r>
    <s v="Guest 278"/>
    <s v="Guest278@airbnb.com"/>
    <x v="4"/>
    <d v="2020-12-17T00:00:00"/>
    <d v="2020-12-18T00:00:00"/>
    <d v="2020-11-27T00:00:00"/>
    <d v="1899-12-30T12:00:00"/>
    <d v="1899-12-30T14:00:00"/>
    <s v="airbnb"/>
    <x v="0"/>
    <n v="1"/>
    <n v="0"/>
    <s v="GBP"/>
    <n v="120"/>
    <n v="1"/>
    <n v="1"/>
  </r>
  <r>
    <s v="Guest 289"/>
    <s v="Guest289@yahoo%2Ecom"/>
    <x v="0"/>
    <d v="2020-12-18T00:00:00"/>
    <d v="2020-12-28T00:00:00"/>
    <d v="2020-11-02T00:00:00"/>
    <d v="1899-12-30T11:00:00"/>
    <d v="1899-12-30T10:00:00"/>
    <s v="tokeet"/>
    <x v="0"/>
    <n v="2"/>
    <n v="0"/>
    <s v="GBP"/>
    <n v="0"/>
    <n v="2"/>
    <n v="10"/>
  </r>
  <r>
    <s v="Guest 99"/>
    <s v="Guest99@gmail%2Ecom"/>
    <x v="7"/>
    <d v="2020-12-18T00:00:00"/>
    <d v="2020-12-21T00:00:00"/>
    <d v="2020-08-07T00:00:00"/>
    <d v="1899-12-30T11:00:00"/>
    <d v="1899-12-30T12:00:00"/>
    <s v="tokeet"/>
    <x v="1"/>
    <n v="8"/>
    <n v="0"/>
    <s v="GBP"/>
    <n v="706.27"/>
    <n v="8"/>
    <n v="3"/>
  </r>
  <r>
    <s v="Guest 99"/>
    <s v="Guest99@gmail%2Ecom"/>
    <x v="5"/>
    <d v="2020-12-18T00:00:00"/>
    <d v="2020-12-20T00:00:00"/>
    <d v="2020-08-03T00:00:00"/>
    <d v="1899-12-30T14:00:00"/>
    <d v="1899-12-30T11:00:00"/>
    <s v="tokeet"/>
    <x v="0"/>
    <n v="5"/>
    <n v="0"/>
    <s v="GBP"/>
    <n v="427.85"/>
    <n v="5"/>
    <n v="2"/>
  </r>
  <r>
    <s v="Guest 288"/>
    <s v="Guest288@airbnb.com"/>
    <x v="6"/>
    <d v="2020-12-18T00:00:00"/>
    <d v="2020-12-21T00:00:00"/>
    <d v="2020-12-01T00:00:00"/>
    <d v="1899-12-30T14:00:00"/>
    <d v="1899-12-30T11:00:00"/>
    <s v="airbnb"/>
    <x v="0"/>
    <n v="2"/>
    <n v="0"/>
    <s v="GBP"/>
    <n v="361"/>
    <n v="2"/>
    <n v="3"/>
  </r>
  <r>
    <s v="Guest 223"/>
    <s v="Guest223@gmail.com"/>
    <x v="4"/>
    <d v="2020-12-18T00:00:00"/>
    <d v="2020-12-20T00:00:00"/>
    <d v="2020-12-02T00:00:00"/>
    <d v="1899-12-30T12:00:00"/>
    <d v="1899-12-30T14:00:00"/>
    <s v="tokeet"/>
    <x v="0"/>
    <n v="10"/>
    <n v="0"/>
    <s v="GBP"/>
    <n v="0"/>
    <n v="10"/>
    <n v="2"/>
  </r>
  <r>
    <s v="Guest 47"/>
    <s v="Guest47@yahoo%2Eco%2Euk"/>
    <x v="4"/>
    <d v="2020-12-19T00:00:00"/>
    <d v="2020-12-21T00:00:00"/>
    <d v="2020-11-10T00:00:00"/>
    <d v="1899-12-30T12:00:00"/>
    <d v="1899-12-30T14:00:00"/>
    <s v="tokeet"/>
    <x v="0"/>
    <n v="4"/>
    <n v="0"/>
    <s v="GBP"/>
    <n v="150000"/>
    <n v="4"/>
    <n v="2"/>
  </r>
  <r>
    <s v="Guest 242"/>
    <s v="Guest242@airbnb.com"/>
    <x v="4"/>
    <d v="2020-12-19T00:00:00"/>
    <d v="2020-12-21T00:00:00"/>
    <d v="2020-11-11T00:00:00"/>
    <d v="1899-12-30T12:00:00"/>
    <d v="1899-12-30T14:00:00"/>
    <s v="airbnb"/>
    <x v="0"/>
    <n v="6"/>
    <n v="0"/>
    <s v="GBP"/>
    <n v="236"/>
    <n v="6"/>
    <n v="2"/>
  </r>
  <r>
    <s v="Guest 47"/>
    <s v="Guest47@yahoo%2Eco%2Euk"/>
    <x v="4"/>
    <d v="2020-12-19T00:00:00"/>
    <d v="2020-12-21T00:00:00"/>
    <d v="2020-11-15T00:00:00"/>
    <d v="1899-12-30T12:00:00"/>
    <d v="1899-12-30T14:00:00"/>
    <s v="tokeet"/>
    <x v="1"/>
    <n v="6"/>
    <n v="0"/>
    <s v="GBP"/>
    <n v="258"/>
    <n v="6"/>
    <n v="2"/>
  </r>
  <r>
    <s v="Guest 260"/>
    <s v="Guest260@gmail.com"/>
    <x v="4"/>
    <d v="2020-12-20T00:00:00"/>
    <d v="2020-12-23T00:00:00"/>
    <d v="2020-12-01T00:00:00"/>
    <d v="1899-12-30T12:00:00"/>
    <d v="1899-12-30T14:00:00"/>
    <s v="tokeet"/>
    <x v="0"/>
    <n v="4"/>
    <n v="0"/>
    <s v="GBP"/>
    <n v="225000"/>
    <n v="4"/>
    <n v="3"/>
  </r>
  <r>
    <s v="Guest 260"/>
    <s v="Guest260@gmail.com"/>
    <x v="4"/>
    <d v="2020-12-20T00:00:00"/>
    <d v="2020-12-23T00:00:00"/>
    <d v="2020-12-01T00:00:00"/>
    <d v="1899-12-30T12:00:00"/>
    <d v="1899-12-30T14:00:00"/>
    <s v="tokeet"/>
    <x v="0"/>
    <n v="4"/>
    <n v="0"/>
    <s v="GBP"/>
    <n v="225000"/>
    <n v="4"/>
    <n v="3"/>
  </r>
  <r>
    <s v="Guest 260"/>
    <s v="Guest260@gmail.com"/>
    <x v="4"/>
    <d v="2020-12-20T00:00:00"/>
    <d v="2020-12-23T00:00:00"/>
    <d v="2020-12-01T00:00:00"/>
    <d v="1899-12-30T12:00:00"/>
    <d v="1899-12-30T14:00:00"/>
    <s v="tokeet"/>
    <x v="0"/>
    <n v="4"/>
    <n v="0"/>
    <s v="GBP"/>
    <n v="225000"/>
    <n v="4"/>
    <n v="3"/>
  </r>
  <r>
    <s v="Guest 260"/>
    <s v="Guest260@gmail.com"/>
    <x v="4"/>
    <d v="2020-12-20T00:00:00"/>
    <d v="2020-12-23T00:00:00"/>
    <d v="2020-12-01T00:00:00"/>
    <d v="1899-12-30T12:00:00"/>
    <d v="1899-12-30T14:00:00"/>
    <s v="tokeet"/>
    <x v="0"/>
    <n v="4"/>
    <n v="0"/>
    <s v="GBP"/>
    <n v="225000"/>
    <n v="4"/>
    <n v="3"/>
  </r>
  <r>
    <s v="Guest 33"/>
    <s v="Guest33@airbnb.com"/>
    <x v="6"/>
    <d v="2020-12-21T00:00:00"/>
    <d v="2020-12-22T00:00:00"/>
    <d v="2020-08-13T00:00:00"/>
    <d v="1899-12-30T14:00:00"/>
    <d v="1899-12-30T11:00:00"/>
    <s v="airbnb"/>
    <x v="0"/>
    <n v="4"/>
    <n v="0"/>
    <s v="GBP"/>
    <n v="140"/>
    <n v="4"/>
    <n v="1"/>
  </r>
  <r>
    <s v="Guest 21"/>
    <s v="Guest21@encry.com"/>
    <x v="7"/>
    <d v="2020-12-21T00:00:00"/>
    <d v="2020-12-29T00:00:00"/>
    <d v="2020-09-05T00:00:00"/>
    <d v="1899-12-30T11:00:00"/>
    <d v="1899-12-30T10:00:00"/>
    <s v="tokeet"/>
    <x v="0"/>
    <n v="6"/>
    <n v="0"/>
    <s v="GBP"/>
    <n v="1118"/>
    <n v="6"/>
    <n v="8"/>
  </r>
  <r>
    <s v="Guest 92"/>
    <s v="Guest92@gmail.com"/>
    <x v="7"/>
    <d v="2020-12-21T00:00:00"/>
    <d v="2020-12-29T00:00:00"/>
    <d v="2020-09-05T00:00:00"/>
    <d v="1899-12-30T14:00:00"/>
    <d v="1899-12-30T12:00:00"/>
    <s v="tokeet"/>
    <x v="1"/>
    <n v="6"/>
    <n v="0"/>
    <s v="GBP"/>
    <n v="1505"/>
    <n v="6"/>
    <n v="8"/>
  </r>
  <r>
    <s v="Guest 176"/>
    <s v="Guest176@guest.airbnb.com"/>
    <x v="5"/>
    <d v="2020-12-23T00:00:00"/>
    <d v="2020-12-29T00:00:00"/>
    <d v="2020-09-07T00:00:00"/>
    <d v="1899-12-30T14:00:00"/>
    <d v="1899-12-30T11:00:00"/>
    <s v="tokeet"/>
    <x v="0"/>
    <n v="5"/>
    <n v="0"/>
    <s v="GBP"/>
    <n v="806.25"/>
    <n v="5"/>
    <n v="6"/>
  </r>
  <r>
    <s v="Guest 486"/>
    <s v="Guest486@gmail.com"/>
    <x v="6"/>
    <d v="2020-12-23T00:00:00"/>
    <d v="2020-12-26T00:00:00"/>
    <d v="2020-08-24T00:00:00"/>
    <d v="1899-12-30T14:00:00"/>
    <d v="1899-12-30T11:00:00"/>
    <s v="tokeet"/>
    <x v="0"/>
    <n v="6"/>
    <n v="0"/>
    <s v="GBP"/>
    <n v="354.75"/>
    <n v="6"/>
    <n v="3"/>
  </r>
  <r>
    <s v="Guest 361"/>
    <s v="Guest361@yahoo%2Ecom"/>
    <x v="6"/>
    <d v="2020-12-24T00:00:00"/>
    <d v="2020-12-29T00:00:00"/>
    <d v="2020-11-19T00:00:00"/>
    <d v="1899-12-30T14:00:00"/>
    <d v="1899-12-30T11:00:00"/>
    <s v="tokeet"/>
    <x v="0"/>
    <n v="2"/>
    <n v="0"/>
    <s v="GBP"/>
    <n v="645"/>
    <n v="2"/>
    <n v="5"/>
  </r>
  <r>
    <s v="Guest 506"/>
    <s v="Guest506@airbnb.com"/>
    <x v="6"/>
    <d v="2020-12-25T00:00:00"/>
    <d v="2020-12-27T00:00:00"/>
    <d v="2020-08-24T00:00:00"/>
    <d v="1899-12-30T14:00:00"/>
    <d v="1899-12-30T11:00:00"/>
    <s v="airbnb"/>
    <x v="0"/>
    <n v="6"/>
    <n v="0"/>
    <s v="GBP"/>
    <n v="281"/>
    <n v="6"/>
    <n v="2"/>
  </r>
  <r>
    <s v="Guest 573"/>
    <s v="Guest573@airbnb.com"/>
    <x v="4"/>
    <d v="2020-12-26T00:00:00"/>
    <d v="2021-01-01T00:00:00"/>
    <d v="2020-08-25T00:00:00"/>
    <d v="1899-12-30T08:00:00"/>
    <d v="1899-12-31T00:00:00"/>
    <s v="airbnb"/>
    <x v="0"/>
    <n v="1"/>
    <n v="0"/>
    <s v="GBP"/>
    <n v="633"/>
    <n v="1"/>
    <n v="6"/>
  </r>
  <r>
    <s v="Guest 97"/>
    <s v="Guest97@airbnb.com"/>
    <x v="4"/>
    <d v="2020-12-26T00:00:00"/>
    <d v="2021-01-09T00:00:00"/>
    <d v="2020-09-17T00:00:00"/>
    <d v="1899-12-30T08:00:00"/>
    <d v="1899-12-31T00:00:00"/>
    <s v="airbnb"/>
    <x v="0"/>
    <n v="1"/>
    <n v="0"/>
    <s v="GBP"/>
    <n v="1632"/>
    <n v="1"/>
    <n v="14"/>
  </r>
  <r>
    <s v="Guest 269"/>
    <s v="Guest269@gmail.com"/>
    <x v="4"/>
    <d v="2020-12-26T00:00:00"/>
    <d v="2021-01-05T00:00:00"/>
    <d v="2020-11-18T00:00:00"/>
    <d v="1899-12-30T12:00:00"/>
    <d v="1899-12-30T14:00:00"/>
    <s v="tokeet"/>
    <x v="0"/>
    <n v="2"/>
    <n v="0"/>
    <s v="GBP"/>
    <n v="750000"/>
    <n v="2"/>
    <n v="10"/>
  </r>
  <r>
    <s v="Guest 269"/>
    <s v="Guest269@gmail.com"/>
    <x v="4"/>
    <d v="2020-12-26T00:00:00"/>
    <d v="2021-01-02T00:00:00"/>
    <d v="2020-11-18T00:00:00"/>
    <d v="1899-12-30T12:00:00"/>
    <d v="1899-12-30T14:00:00"/>
    <s v="tokeet"/>
    <x v="0"/>
    <n v="2"/>
    <n v="0"/>
    <s v="GBP"/>
    <n v="525000"/>
    <n v="2"/>
    <n v="7"/>
  </r>
  <r>
    <s v="Guest 140"/>
    <s v="Guest140@gmail.com"/>
    <x v="4"/>
    <d v="2020-12-26T00:00:00"/>
    <d v="2020-12-29T00:00:00"/>
    <d v="2020-11-29T00:00:00"/>
    <d v="1899-12-30T12:00:00"/>
    <d v="1899-12-30T14:00:00"/>
    <s v="tokeet"/>
    <x v="0"/>
    <n v="2"/>
    <n v="0"/>
    <s v="GBP"/>
    <n v="0"/>
    <n v="2"/>
    <n v="3"/>
  </r>
  <r>
    <s v="Guest 550"/>
    <s v="Guest550@airbnb.com"/>
    <x v="2"/>
    <d v="2020-12-27T00:00:00"/>
    <d v="2021-01-05T00:00:00"/>
    <d v="2020-02-12T00:00:00"/>
    <d v="1899-12-30T08:00:00"/>
    <d v="1899-12-31T00:00:00"/>
    <s v="airbnb"/>
    <x v="0"/>
    <n v="6"/>
    <n v="0"/>
    <s v="GBP"/>
    <n v="954"/>
    <n v="6"/>
    <n v="9"/>
  </r>
  <r>
    <s v="Guest 137"/>
    <s v="Guest137@airbnb.com"/>
    <x v="6"/>
    <d v="2020-12-27T00:00:00"/>
    <d v="2021-01-04T00:00:00"/>
    <d v="2020-06-08T00:00:00"/>
    <d v="1899-12-30T14:00:00"/>
    <d v="1899-12-30T11:00:00"/>
    <s v="airbnb"/>
    <x v="0"/>
    <n v="6"/>
    <n v="0"/>
    <s v="GBP"/>
    <n v="824"/>
    <n v="6"/>
    <n v="8"/>
  </r>
  <r>
    <s v="Guest 515"/>
    <s v="Guest515@airbnb.com"/>
    <x v="4"/>
    <d v="2020-12-27T00:00:00"/>
    <d v="2021-01-01T00:00:00"/>
    <d v="2020-09-10T00:00:00"/>
    <d v="1899-12-30T08:00:00"/>
    <d v="1899-12-31T00:00:00"/>
    <s v="airbnb"/>
    <x v="0"/>
    <n v="4"/>
    <n v="0"/>
    <s v="GBP"/>
    <n v="528"/>
    <n v="4"/>
    <n v="5"/>
  </r>
  <r>
    <s v="Guest 413"/>
    <s v="Guest413@gmail.com"/>
    <x v="4"/>
    <d v="2020-12-27T00:00:00"/>
    <d v="2020-12-28T00:00:00"/>
    <d v="2020-11-09T00:00:00"/>
    <d v="1899-12-30T12:00:00"/>
    <d v="1899-12-30T14:00:00"/>
    <s v="tokeet"/>
    <x v="0"/>
    <n v="10"/>
    <n v="0"/>
    <s v="GBP"/>
    <n v="75000"/>
    <n v="10"/>
    <n v="1"/>
  </r>
  <r>
    <s v="Guest 10"/>
    <s v="Guest10@gmail.com"/>
    <x v="4"/>
    <d v="2020-12-27T00:00:00"/>
    <d v="2021-01-04T00:00:00"/>
    <d v="2020-11-17T00:00:00"/>
    <d v="1899-12-30T12:00:00"/>
    <d v="1899-12-30T14:00:00"/>
    <s v="tokeet"/>
    <x v="0"/>
    <n v="6"/>
    <n v="0"/>
    <s v="GBP"/>
    <n v="600000"/>
    <n v="6"/>
    <n v="8"/>
  </r>
  <r>
    <s v="Guest 10"/>
    <s v="Guest10@gmail.com"/>
    <x v="4"/>
    <d v="2020-12-27T00:00:00"/>
    <d v="2021-01-04T00:00:00"/>
    <d v="2020-11-17T00:00:00"/>
    <d v="1899-12-30T12:00:00"/>
    <d v="1899-12-30T14:00:00"/>
    <s v="tokeet"/>
    <x v="0"/>
    <n v="6"/>
    <n v="0"/>
    <s v="GBP"/>
    <n v="600000"/>
    <n v="6"/>
    <n v="8"/>
  </r>
  <r>
    <s v="Guest 28"/>
    <s v="Guest28@gmail.com"/>
    <x v="4"/>
    <d v="2020-12-27T00:00:00"/>
    <d v="2020-12-30T00:00:00"/>
    <d v="2020-12-05T00:00:00"/>
    <d v="1899-12-30T12:00:00"/>
    <d v="1899-12-30T14:00:00"/>
    <s v="tokeet"/>
    <x v="0"/>
    <n v="6"/>
    <n v="0"/>
    <s v="GBP"/>
    <n v="225000"/>
    <n v="6"/>
    <n v="3"/>
  </r>
  <r>
    <s v="Guest 321"/>
    <s v="Guest321@hotnail.com"/>
    <x v="4"/>
    <d v="2020-12-27T00:00:00"/>
    <d v="2020-12-30T00:00:00"/>
    <d v="2020-12-05T00:00:00"/>
    <d v="1899-12-30T12:00:00"/>
    <d v="1899-12-30T14:00:00"/>
    <s v="tokeet"/>
    <x v="0"/>
    <n v="6"/>
    <n v="0"/>
    <s v="GBP"/>
    <n v="225000"/>
    <n v="6"/>
    <n v="3"/>
  </r>
  <r>
    <s v="Guest 321"/>
    <s v="Guest321@hotnail.com"/>
    <x v="4"/>
    <d v="2020-12-27T00:00:00"/>
    <d v="2020-12-30T00:00:00"/>
    <d v="2020-12-05T00:00:00"/>
    <d v="1899-12-30T12:00:00"/>
    <d v="1899-12-30T14:00:00"/>
    <s v="tokeet"/>
    <x v="0"/>
    <n v="6"/>
    <n v="0"/>
    <s v="GBP"/>
    <n v="225000"/>
    <n v="6"/>
    <n v="3"/>
  </r>
  <r>
    <s v="Guest 289"/>
    <s v="Guest289@yahoo%2Ecom"/>
    <x v="5"/>
    <d v="2020-12-28T00:00:00"/>
    <d v="2021-01-05T00:00:00"/>
    <d v="2020-09-15T00:00:00"/>
    <d v="1899-12-30T14:00:00"/>
    <d v="1899-12-30T11:00:00"/>
    <s v="tokeet"/>
    <x v="0"/>
    <n v="4"/>
    <n v="0"/>
    <s v="GBP"/>
    <n v="1505"/>
    <n v="4"/>
    <n v="8"/>
  </r>
  <r>
    <s v="Guest 522"/>
    <s v="Guest522@gmail.com"/>
    <x v="4"/>
    <d v="2020-12-28T00:00:00"/>
    <d v="2021-01-02T00:00:00"/>
    <d v="2020-11-18T00:00:00"/>
    <d v="1899-12-30T12:00:00"/>
    <d v="1899-12-30T14:00:00"/>
    <s v="tokeet"/>
    <x v="0"/>
    <n v="2"/>
    <n v="0"/>
    <s v="GBP"/>
    <n v="375000"/>
    <n v="2"/>
    <n v="5"/>
  </r>
  <r>
    <s v="Guest 466"/>
    <s v="Guest466@gmail.com"/>
    <x v="4"/>
    <d v="2020-12-28T00:00:00"/>
    <d v="2021-01-02T00:00:00"/>
    <d v="2020-11-19T00:00:00"/>
    <d v="1899-12-30T12:00:00"/>
    <d v="1899-12-30T14:00:00"/>
    <s v="tokeet"/>
    <x v="0"/>
    <n v="4"/>
    <n v="0"/>
    <s v="GBP"/>
    <n v="375000"/>
    <n v="4"/>
    <n v="5"/>
  </r>
  <r>
    <s v="Guest 292"/>
    <s v="Guest292@airbnb.com"/>
    <x v="2"/>
    <d v="2020-12-31T00:00:00"/>
    <d v="2021-01-02T00:00:00"/>
    <d v="2020-03-07T00:00:00"/>
    <d v="1899-12-30T08:00:00"/>
    <d v="1899-12-31T00:00:00"/>
    <s v="airbnb"/>
    <x v="0"/>
    <n v="1"/>
    <n v="0"/>
    <s v="GBP"/>
    <n v="212"/>
    <n v="1"/>
    <n v="2"/>
  </r>
  <r>
    <s v="Guest 563"/>
    <s v="Guest563@airbnb.com"/>
    <x v="2"/>
    <d v="2020-12-31T00:00:00"/>
    <d v="2021-01-14T00:00:00"/>
    <d v="2020-10-12T00:00:00"/>
    <d v="1899-12-30T08:00:00"/>
    <d v="1899-12-31T00:00:00"/>
    <s v="airbnb"/>
    <x v="0"/>
    <n v="1"/>
    <n v="0"/>
    <s v="GBP"/>
    <n v="1594"/>
    <n v="1"/>
    <n v="14"/>
  </r>
  <r>
    <s v="Guest 289"/>
    <s v="Guest289@yahoo%2Ecom"/>
    <x v="7"/>
    <d v="2020-12-31T00:00:00"/>
    <d v="2021-01-02T00:00:00"/>
    <d v="2020-11-04T00:00:00"/>
    <d v="1899-12-30T14:00:00"/>
    <d v="1899-12-30T12:00:00"/>
    <s v="tokeet"/>
    <x v="0"/>
    <n v="2"/>
    <n v="0"/>
    <s v="GBP"/>
    <n v="427.85"/>
    <n v="2"/>
    <n v="2"/>
  </r>
  <r>
    <s v="Guest 163"/>
    <s v="Guest163@gmail.com"/>
    <x v="7"/>
    <d v="2020-12-31T00:00:00"/>
    <d v="2021-01-02T00:00:00"/>
    <d v="2020-11-05T00:00:00"/>
    <d v="1899-12-30T14:00:00"/>
    <d v="1899-12-30T12:00:00"/>
    <s v="tokeet"/>
    <x v="1"/>
    <n v="4"/>
    <n v="0"/>
    <s v="GBP"/>
    <n v="427.85"/>
    <n v="4"/>
    <n v="2"/>
  </r>
  <r>
    <s v="Guest 30"/>
    <s v="Guest30@airbnb.com"/>
    <x v="2"/>
    <d v="2020-12-31T00:00:00"/>
    <d v="2021-01-07T00:00:00"/>
    <d v="2020-11-24T00:00:00"/>
    <d v="1899-12-30T08:00:00"/>
    <d v="1899-12-31T00:00:00"/>
    <s v="airbnb"/>
    <x v="0"/>
    <n v="3"/>
    <n v="0"/>
    <s v="GBP"/>
    <n v="801"/>
    <n v="3"/>
    <n v="7"/>
  </r>
  <r>
    <s v="Guest 206"/>
    <s v="Guest206@airbnb.com"/>
    <x v="2"/>
    <d v="2020-12-31T00:00:00"/>
    <d v="2021-01-10T00:00:00"/>
    <d v="2020-11-26T00:00:00"/>
    <d v="1899-12-30T08:00:00"/>
    <d v="1899-12-31T00:00:00"/>
    <s v="airbnb"/>
    <x v="0"/>
    <n v="1"/>
    <n v="0"/>
    <s v="GBP"/>
    <n v="1144"/>
    <n v="1"/>
    <n v="10"/>
  </r>
  <r>
    <s v="Guest 512"/>
    <s v="Guest512@sms.com"/>
    <x v="4"/>
    <d v="2020-12-31T00:00:00"/>
    <d v="2021-01-01T00:00:00"/>
    <d v="2020-11-30T00:00:00"/>
    <d v="1899-12-30T12:00:00"/>
    <d v="1899-12-30T14:00:00"/>
    <s v="tokeet"/>
    <x v="0"/>
    <n v="1"/>
    <n v="0"/>
    <s v="GBP"/>
    <n v="85000"/>
    <n v="1"/>
    <n v="1"/>
  </r>
  <r>
    <s v="Guest 68"/>
    <s v="Guest68@airbnb.com"/>
    <x v="2"/>
    <d v="2020-12-31T00:00:00"/>
    <d v="2021-01-02T00:00:00"/>
    <d v="2020-12-05T00:00:00"/>
    <d v="1899-12-30T08:00:00"/>
    <d v="1899-12-31T00:00:00"/>
    <s v="airbnb"/>
    <x v="0"/>
    <n v="1"/>
    <n v="0"/>
    <s v="GBP"/>
    <n v="241"/>
    <n v="1"/>
    <n v="2"/>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r>
    <m/>
    <m/>
    <x v="8"/>
    <m/>
    <m/>
    <m/>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0FCAF-6548-477A-A9AA-683496D83D31}" name="PivotTable5"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 rowHeaderCaption="">
  <location ref="A24" firstHeaderRow="0" firstDataRow="0" firstDataCol="0" rowPageCount="1" colPageCount="1"/>
  <pivotFields count="18">
    <pivotField showAll="0"/>
    <pivotField showAll="0"/>
    <pivotField showAll="0">
      <items count="9">
        <item x="2"/>
        <item x="7"/>
        <item x="4"/>
        <item x="1"/>
        <item x="3"/>
        <item x="0"/>
        <item x="5"/>
        <item x="6"/>
        <item t="default"/>
      </items>
    </pivotField>
    <pivotField numFmtId="14" showAll="0"/>
    <pivotField numFmtId="14" showAll="0"/>
    <pivotField numFmtId="14" showAll="0"/>
    <pivotField numFmtId="20" showAll="0"/>
    <pivotField showAll="0"/>
    <pivotField showAll="0"/>
    <pivotField axis="axisPage" multipleItemSelectionAllowed="1" showAll="0">
      <items count="3">
        <item h="1" x="0"/>
        <item x="1"/>
        <item t="default"/>
      </items>
    </pivotField>
    <pivotField showAll="0"/>
    <pivotField showAll="0"/>
    <pivotField showAll="0"/>
    <pivotField numFmtId="164" showAll="0"/>
    <pivotField showAll="0"/>
    <pivotField showAll="0"/>
    <pivotField showAll="0">
      <items count="10">
        <item x="3"/>
        <item x="1"/>
        <item x="6"/>
        <item x="2"/>
        <item x="4"/>
        <item x="0"/>
        <item x="5"/>
        <item x="7"/>
        <item x="8"/>
        <item t="default"/>
      </items>
    </pivotField>
    <pivotField showAll="0" defaultSubtotal="0">
      <items count="14">
        <item x="0"/>
        <item x="1"/>
        <item x="2"/>
        <item x="3"/>
        <item x="4"/>
        <item x="5"/>
        <item x="6"/>
        <item x="7"/>
        <item x="8"/>
        <item x="9"/>
        <item x="10"/>
        <item x="11"/>
        <item x="12"/>
        <item x="13"/>
      </items>
    </pivotField>
  </pivotFields>
  <pageFields count="1">
    <pageField fld="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FFCB37-2457-47EC-837B-91D1441F6081}"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2" firstHeaderRow="0" firstDataRow="0" firstDataCol="0" rowPageCount="1" colPageCount="1"/>
  <pivotFields count="16">
    <pivotField showAll="0"/>
    <pivotField showAll="0"/>
    <pivotField showAll="0"/>
    <pivotField showAll="0"/>
    <pivotField showAll="0"/>
    <pivotField showAll="0"/>
    <pivotField showAll="0"/>
    <pivotField showAll="0"/>
    <pivotField showAll="0"/>
    <pivotField axis="axisPage" multipleItemSelectionAllowed="1" showAll="0">
      <items count="4">
        <item h="1" x="0"/>
        <item x="1"/>
        <item h="1" x="2"/>
        <item t="default"/>
      </items>
    </pivotField>
    <pivotField showAll="0"/>
    <pivotField showAll="0"/>
    <pivotField showAll="0"/>
    <pivotField showAll="0"/>
    <pivotField showAll="0"/>
    <pivotField showAll="0"/>
  </pivotFields>
  <pageFields count="1">
    <pageField fld="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A6BEA6-EF54-41B2-9751-E13A5E060DF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s">
  <location ref="A26:B39" firstHeaderRow="1" firstDataRow="1" firstDataCol="1" rowPageCount="1" colPageCount="1"/>
  <pivotFields count="18">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4" showAll="0"/>
    <pivotField numFmtId="20" showAll="0"/>
    <pivotField showAll="0"/>
    <pivotField showAll="0"/>
    <pivotField axis="axisPage" multipleItemSelectionAllowed="1" showAll="0">
      <items count="3">
        <item h="1" x="0"/>
        <item x="1"/>
        <item t="default"/>
      </items>
    </pivotField>
    <pivotField showAll="0"/>
    <pivotField showAll="0"/>
    <pivotField showAll="0"/>
    <pivotField dataField="1" numFmtId="164" showAll="0"/>
    <pivotField showAll="0"/>
    <pivotField showAll="0"/>
    <pivotField showAll="0"/>
    <pivotField axis="axisRow" showAll="0" sortType="descending" defaultSubtotal="0">
      <items count="14">
        <item x="0"/>
        <item sd="0" x="1"/>
        <item sd="0" x="2"/>
        <item sd="0" x="3"/>
        <item sd="0" x="4"/>
        <item sd="0" x="5"/>
        <item sd="0" x="6"/>
        <item sd="0" x="7"/>
        <item sd="0" x="8"/>
        <item sd="0" x="9"/>
        <item sd="0" x="10"/>
        <item sd="0" x="11"/>
        <item sd="0" x="12"/>
        <item x="13"/>
      </items>
      <autoSortScope>
        <pivotArea dataOnly="0" outline="0" fieldPosition="0">
          <references count="1">
            <reference field="4294967294" count="1" selected="0">
              <x v="0"/>
            </reference>
          </references>
        </pivotArea>
      </autoSortScope>
    </pivotField>
  </pivotFields>
  <rowFields count="2">
    <field x="17"/>
    <field x="3"/>
  </rowFields>
  <rowItems count="13">
    <i>
      <x v="10"/>
    </i>
    <i>
      <x v="11"/>
    </i>
    <i>
      <x v="8"/>
    </i>
    <i>
      <x v="9"/>
    </i>
    <i>
      <x v="7"/>
    </i>
    <i>
      <x v="4"/>
    </i>
    <i>
      <x v="5"/>
    </i>
    <i>
      <x v="6"/>
    </i>
    <i>
      <x v="12"/>
    </i>
    <i>
      <x v="3"/>
    </i>
    <i>
      <x v="2"/>
    </i>
    <i>
      <x v="1"/>
    </i>
    <i t="grand">
      <x/>
    </i>
  </rowItems>
  <colItems count="1">
    <i/>
  </colItems>
  <pageFields count="1">
    <pageField fld="9" hier="-1"/>
  </pageFields>
  <dataFields count="1">
    <dataField name="Revenue Per Month" fld="13" baseField="17" baseItem="10" numFmtId="166"/>
  </dataFields>
  <formats count="13">
    <format dxfId="30">
      <pivotArea collapsedLevelsAreSubtotals="1" fieldPosition="0">
        <references count="1">
          <reference field="17" count="1">
            <x v="10"/>
          </reference>
        </references>
      </pivotArea>
    </format>
    <format dxfId="29">
      <pivotArea collapsedLevelsAreSubtotals="1" fieldPosition="0">
        <references count="1">
          <reference field="17" count="1">
            <x v="11"/>
          </reference>
        </references>
      </pivotArea>
    </format>
    <format dxfId="28">
      <pivotArea collapsedLevelsAreSubtotals="1" fieldPosition="0">
        <references count="1">
          <reference field="17" count="1">
            <x v="8"/>
          </reference>
        </references>
      </pivotArea>
    </format>
    <format dxfId="27">
      <pivotArea collapsedLevelsAreSubtotals="1" fieldPosition="0">
        <references count="1">
          <reference field="17" count="1">
            <x v="9"/>
          </reference>
        </references>
      </pivotArea>
    </format>
    <format dxfId="26">
      <pivotArea collapsedLevelsAreSubtotals="1" fieldPosition="0">
        <references count="1">
          <reference field="17" count="1">
            <x v="7"/>
          </reference>
        </references>
      </pivotArea>
    </format>
    <format dxfId="25">
      <pivotArea collapsedLevelsAreSubtotals="1" fieldPosition="0">
        <references count="1">
          <reference field="17" count="1">
            <x v="4"/>
          </reference>
        </references>
      </pivotArea>
    </format>
    <format dxfId="24">
      <pivotArea collapsedLevelsAreSubtotals="1" fieldPosition="0">
        <references count="1">
          <reference field="17" count="1">
            <x v="5"/>
          </reference>
        </references>
      </pivotArea>
    </format>
    <format dxfId="23">
      <pivotArea collapsedLevelsAreSubtotals="1" fieldPosition="0">
        <references count="1">
          <reference field="17" count="1">
            <x v="6"/>
          </reference>
        </references>
      </pivotArea>
    </format>
    <format dxfId="22">
      <pivotArea collapsedLevelsAreSubtotals="1" fieldPosition="0">
        <references count="1">
          <reference field="17" count="1">
            <x v="12"/>
          </reference>
        </references>
      </pivotArea>
    </format>
    <format dxfId="21">
      <pivotArea collapsedLevelsAreSubtotals="1" fieldPosition="0">
        <references count="1">
          <reference field="17" count="1">
            <x v="3"/>
          </reference>
        </references>
      </pivotArea>
    </format>
    <format dxfId="20">
      <pivotArea collapsedLevelsAreSubtotals="1" fieldPosition="0">
        <references count="1">
          <reference field="17" count="1">
            <x v="2"/>
          </reference>
        </references>
      </pivotArea>
    </format>
    <format dxfId="19">
      <pivotArea collapsedLevelsAreSubtotals="1" fieldPosition="0">
        <references count="1">
          <reference field="17" count="1">
            <x v="1"/>
          </reference>
        </references>
      </pivotArea>
    </format>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6A26A6-81EF-4B95-8C68-39F62818F02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ntals">
  <location ref="A3:B12" firstHeaderRow="1" firstDataRow="1" firstDataCol="1" rowPageCount="1" colPageCount="1"/>
  <pivotFields count="18">
    <pivotField showAll="0"/>
    <pivotField showAll="0"/>
    <pivotField axis="axisRow" showAll="0" measureFilter="1" sortType="descending">
      <items count="9">
        <item x="6"/>
        <item x="5"/>
        <item x="0"/>
        <item x="3"/>
        <item x="1"/>
        <item x="4"/>
        <item x="7"/>
        <item x="2"/>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numFmtId="20" showAll="0"/>
    <pivotField showAll="0"/>
    <pivotField showAll="0"/>
    <pivotField axis="axisPage" dataField="1" multipleItemSelectionAllowed="1" showAll="0">
      <items count="3">
        <item h="1" x="0"/>
        <item x="1"/>
        <item t="default"/>
      </items>
    </pivotField>
    <pivotField showAll="0"/>
    <pivotField showAll="0"/>
    <pivotField showAll="0"/>
    <pivotField numFmtId="164" showAll="0"/>
    <pivotField showAll="0"/>
    <pivotField showAll="0"/>
    <pivotField showAll="0"/>
    <pivotField showAll="0" defaultSubtotal="0"/>
  </pivotFields>
  <rowFields count="1">
    <field x="2"/>
  </rowFields>
  <rowItems count="9">
    <i>
      <x v="7"/>
    </i>
    <i>
      <x v="4"/>
    </i>
    <i>
      <x v="5"/>
    </i>
    <i>
      <x v="3"/>
    </i>
    <i>
      <x/>
    </i>
    <i>
      <x v="1"/>
    </i>
    <i>
      <x v="6"/>
    </i>
    <i>
      <x v="2"/>
    </i>
    <i t="grand">
      <x/>
    </i>
  </rowItems>
  <colItems count="1">
    <i/>
  </colItems>
  <pageFields count="1">
    <pageField fld="9" hier="-1"/>
  </pageFields>
  <dataFields count="1">
    <dataField name="Count of Booked"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CBCE5-CCB2-4678-A188-F513C95B673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Guest ">
  <location ref="A68:B132" firstHeaderRow="1" firstDataRow="1" firstDataCol="1" rowPageCount="1" colPageCount="1"/>
  <pivotFields count="18">
    <pivotField axis="axisRow" showAll="0" measureFilter="1" sortType="descending">
      <items count="546">
        <item x="251"/>
        <item x="534"/>
        <item x="39"/>
        <item x="49"/>
        <item x="108"/>
        <item x="252"/>
        <item x="287"/>
        <item x="23"/>
        <item x="346"/>
        <item x="441"/>
        <item x="25"/>
        <item x="420"/>
        <item x="263"/>
        <item x="286"/>
        <item x="500"/>
        <item x="20"/>
        <item x="256"/>
        <item x="253"/>
        <item x="491"/>
        <item x="52"/>
        <item x="152"/>
        <item x="141"/>
        <item x="243"/>
        <item x="463"/>
        <item x="306"/>
        <item x="331"/>
        <item x="57"/>
        <item x="308"/>
        <item x="130"/>
        <item x="389"/>
        <item x="80"/>
        <item x="514"/>
        <item x="375"/>
        <item x="293"/>
        <item x="164"/>
        <item x="373"/>
        <item x="257"/>
        <item x="35"/>
        <item x="503"/>
        <item x="531"/>
        <item x="55"/>
        <item x="28"/>
        <item x="273"/>
        <item x="529"/>
        <item x="131"/>
        <item x="63"/>
        <item x="87"/>
        <item x="490"/>
        <item x="216"/>
        <item x="302"/>
        <item x="376"/>
        <item x="135"/>
        <item x="404"/>
        <item x="76"/>
        <item x="493"/>
        <item x="67"/>
        <item x="509"/>
        <item x="173"/>
        <item x="133"/>
        <item x="56"/>
        <item x="210"/>
        <item x="371"/>
        <item x="71"/>
        <item x="438"/>
        <item x="60"/>
        <item x="304"/>
        <item x="174"/>
        <item x="161"/>
        <item x="541"/>
        <item x="444"/>
        <item x="433"/>
        <item x="301"/>
        <item x="381"/>
        <item x="156"/>
        <item x="418"/>
        <item x="335"/>
        <item x="271"/>
        <item x="278"/>
        <item x="279"/>
        <item x="227"/>
        <item x="339"/>
        <item x="508"/>
        <item x="370"/>
        <item x="158"/>
        <item x="116"/>
        <item x="427"/>
        <item x="249"/>
        <item x="363"/>
        <item x="229"/>
        <item x="474"/>
        <item x="187"/>
        <item x="259"/>
        <item x="234"/>
        <item x="387"/>
        <item x="146"/>
        <item x="439"/>
        <item x="179"/>
        <item x="245"/>
        <item x="9"/>
        <item x="401"/>
        <item x="367"/>
        <item x="351"/>
        <item x="451"/>
        <item x="120"/>
        <item x="264"/>
        <item x="470"/>
        <item x="355"/>
        <item x="194"/>
        <item x="241"/>
        <item x="81"/>
        <item x="379"/>
        <item x="10"/>
        <item x="1"/>
        <item x="543"/>
        <item x="516"/>
        <item x="175"/>
        <item x="149"/>
        <item x="183"/>
        <item x="140"/>
        <item x="364"/>
        <item x="222"/>
        <item x="313"/>
        <item x="90"/>
        <item x="170"/>
        <item x="172"/>
        <item x="86"/>
        <item x="461"/>
        <item x="319"/>
        <item x="396"/>
        <item x="403"/>
        <item x="518"/>
        <item x="382"/>
        <item x="31"/>
        <item x="405"/>
        <item x="109"/>
        <item x="311"/>
        <item x="485"/>
        <item x="159"/>
        <item x="392"/>
        <item x="244"/>
        <item x="189"/>
        <item x="221"/>
        <item x="377"/>
        <item x="390"/>
        <item x="65"/>
        <item x="400"/>
        <item x="477"/>
        <item x="315"/>
        <item x="185"/>
        <item x="358"/>
        <item x="520"/>
        <item x="127"/>
        <item x="138"/>
        <item x="223"/>
        <item x="267"/>
        <item x="322"/>
        <item x="349"/>
        <item x="289"/>
        <item x="115"/>
        <item x="412"/>
        <item x="489"/>
        <item x="504"/>
        <item x="83"/>
        <item x="79"/>
        <item x="46"/>
        <item x="84"/>
        <item x="425"/>
        <item x="89"/>
        <item x="521"/>
        <item x="103"/>
        <item x="219"/>
        <item x="494"/>
        <item x="294"/>
        <item x="495"/>
        <item x="505"/>
        <item x="30"/>
        <item x="453"/>
        <item x="528"/>
        <item x="321"/>
        <item x="337"/>
        <item x="384"/>
        <item x="17"/>
        <item x="111"/>
        <item x="186"/>
        <item x="88"/>
        <item x="402"/>
        <item x="236"/>
        <item x="517"/>
        <item x="535"/>
        <item x="446"/>
        <item x="106"/>
        <item x="95"/>
        <item x="196"/>
        <item x="151"/>
        <item x="360"/>
        <item x="421"/>
        <item x="476"/>
        <item x="197"/>
        <item x="250"/>
        <item x="62"/>
        <item x="214"/>
        <item x="539"/>
        <item x="459"/>
        <item x="288"/>
        <item x="239"/>
        <item x="513"/>
        <item x="496"/>
        <item x="36"/>
        <item x="299"/>
        <item x="542"/>
        <item x="59"/>
        <item x="45"/>
        <item x="395"/>
        <item x="101"/>
        <item x="150"/>
        <item x="338"/>
        <item x="142"/>
        <item x="14"/>
        <item x="129"/>
        <item x="502"/>
        <item x="486"/>
        <item x="7"/>
        <item x="211"/>
        <item x="72"/>
        <item x="492"/>
        <item x="64"/>
        <item x="408"/>
        <item x="137"/>
        <item x="297"/>
        <item x="475"/>
        <item x="50"/>
        <item x="122"/>
        <item x="536"/>
        <item x="218"/>
        <item x="328"/>
        <item x="487"/>
        <item x="0"/>
        <item x="207"/>
        <item x="422"/>
        <item x="228"/>
        <item x="440"/>
        <item x="522"/>
        <item x="12"/>
        <item x="347"/>
        <item x="85"/>
        <item x="426"/>
        <item x="51"/>
        <item x="75"/>
        <item x="184"/>
        <item x="314"/>
        <item x="326"/>
        <item x="272"/>
        <item x="73"/>
        <item x="281"/>
        <item x="176"/>
        <item x="341"/>
        <item x="258"/>
        <item x="303"/>
        <item x="22"/>
        <item x="24"/>
        <item x="481"/>
        <item x="480"/>
        <item x="147"/>
        <item x="208"/>
        <item x="435"/>
        <item x="275"/>
        <item x="305"/>
        <item x="215"/>
        <item x="409"/>
        <item x="372"/>
        <item x="434"/>
        <item x="398"/>
        <item x="204"/>
        <item x="437"/>
        <item x="165"/>
        <item x="448"/>
        <item x="423"/>
        <item x="26"/>
        <item x="465"/>
        <item x="327"/>
        <item x="413"/>
        <item x="317"/>
        <item x="104"/>
        <item x="119"/>
        <item x="4"/>
        <item x="380"/>
        <item x="467"/>
        <item x="246"/>
        <item x="454"/>
        <item x="352"/>
        <item x="190"/>
        <item x="354"/>
        <item x="428"/>
        <item x="42"/>
        <item x="353"/>
        <item x="442"/>
        <item x="443"/>
        <item x="260"/>
        <item x="399"/>
        <item x="99"/>
        <item x="368"/>
        <item x="33"/>
        <item x="247"/>
        <item x="393"/>
        <item x="233"/>
        <item x="318"/>
        <item x="202"/>
        <item x="66"/>
        <item x="482"/>
        <item x="284"/>
        <item x="312"/>
        <item x="436"/>
        <item x="472"/>
        <item x="310"/>
        <item x="309"/>
        <item x="167"/>
        <item x="300"/>
        <item x="340"/>
        <item x="462"/>
        <item x="406"/>
        <item x="188"/>
        <item x="270"/>
        <item x="295"/>
        <item x="320"/>
        <item x="261"/>
        <item x="157"/>
        <item x="94"/>
        <item x="268"/>
        <item x="473"/>
        <item x="193"/>
        <item x="397"/>
        <item x="192"/>
        <item x="336"/>
        <item x="533"/>
        <item x="125"/>
        <item x="58"/>
        <item x="510"/>
        <item x="191"/>
        <item x="330"/>
        <item x="416"/>
        <item x="198"/>
        <item x="70"/>
        <item x="248"/>
        <item x="102"/>
        <item x="231"/>
        <item x="182"/>
        <item x="107"/>
        <item x="47"/>
        <item x="391"/>
        <item x="15"/>
        <item x="117"/>
        <item x="424"/>
        <item x="209"/>
        <item x="499"/>
        <item x="410"/>
        <item x="274"/>
        <item x="168"/>
        <item x="357"/>
        <item x="323"/>
        <item x="343"/>
        <item x="118"/>
        <item x="82"/>
        <item x="105"/>
        <item x="38"/>
        <item x="97"/>
        <item x="232"/>
        <item x="316"/>
        <item x="162"/>
        <item x="298"/>
        <item x="471"/>
        <item x="206"/>
        <item x="136"/>
        <item x="348"/>
        <item x="110"/>
        <item x="262"/>
        <item x="199"/>
        <item x="132"/>
        <item x="29"/>
        <item x="37"/>
        <item x="415"/>
        <item x="68"/>
        <item x="388"/>
        <item x="48"/>
        <item x="43"/>
        <item x="307"/>
        <item x="69"/>
        <item x="458"/>
        <item x="225"/>
        <item x="345"/>
        <item x="449"/>
        <item x="203"/>
        <item x="538"/>
        <item x="366"/>
        <item x="61"/>
        <item x="519"/>
        <item x="324"/>
        <item x="180"/>
        <item x="344"/>
        <item x="93"/>
        <item x="431"/>
        <item x="143"/>
        <item x="507"/>
        <item x="220"/>
        <item x="16"/>
        <item x="163"/>
        <item x="6"/>
        <item x="411"/>
        <item x="457"/>
        <item x="195"/>
        <item x="483"/>
        <item x="144"/>
        <item x="524"/>
        <item x="325"/>
        <item x="212"/>
        <item x="378"/>
        <item x="54"/>
        <item x="124"/>
        <item x="342"/>
        <item x="350"/>
        <item x="356"/>
        <item x="114"/>
        <item x="255"/>
        <item x="230"/>
        <item x="41"/>
        <item x="145"/>
        <item x="238"/>
        <item x="27"/>
        <item x="292"/>
        <item x="456"/>
        <item x="466"/>
        <item x="369"/>
        <item x="98"/>
        <item x="525"/>
        <item x="242"/>
        <item x="113"/>
        <item x="148"/>
        <item x="276"/>
        <item x="429"/>
        <item x="544"/>
        <item x="450"/>
        <item x="455"/>
        <item x="532"/>
        <item x="178"/>
        <item x="32"/>
        <item x="53"/>
        <item x="329"/>
        <item x="5"/>
        <item x="430"/>
        <item x="537"/>
        <item x="217"/>
        <item x="283"/>
        <item x="419"/>
        <item x="478"/>
        <item x="153"/>
        <item x="154"/>
        <item x="19"/>
        <item x="362"/>
        <item x="34"/>
        <item x="44"/>
        <item x="21"/>
        <item x="3"/>
        <item x="134"/>
        <item x="254"/>
        <item x="296"/>
        <item x="171"/>
        <item x="91"/>
        <item x="291"/>
        <item x="407"/>
        <item x="121"/>
        <item x="488"/>
        <item x="445"/>
        <item x="155"/>
        <item x="469"/>
        <item x="386"/>
        <item x="11"/>
        <item x="201"/>
        <item x="530"/>
        <item x="2"/>
        <item x="506"/>
        <item x="365"/>
        <item x="280"/>
        <item x="166"/>
        <item x="464"/>
        <item x="74"/>
        <item x="181"/>
        <item x="394"/>
        <item x="511"/>
        <item x="235"/>
        <item x="128"/>
        <item x="265"/>
        <item x="540"/>
        <item x="417"/>
        <item x="383"/>
        <item x="78"/>
        <item x="139"/>
        <item x="112"/>
        <item x="205"/>
        <item x="277"/>
        <item x="169"/>
        <item x="126"/>
        <item x="374"/>
        <item x="526"/>
        <item x="226"/>
        <item x="8"/>
        <item x="92"/>
        <item x="18"/>
        <item x="479"/>
        <item x="468"/>
        <item x="200"/>
        <item x="266"/>
        <item x="282"/>
        <item x="13"/>
        <item x="269"/>
        <item x="512"/>
        <item x="237"/>
        <item x="96"/>
        <item x="285"/>
        <item x="240"/>
        <item x="447"/>
        <item x="432"/>
        <item x="333"/>
        <item x="414"/>
        <item x="213"/>
        <item x="177"/>
        <item x="40"/>
        <item x="361"/>
        <item x="452"/>
        <item x="515"/>
        <item x="460"/>
        <item x="77"/>
        <item x="497"/>
        <item x="498"/>
        <item x="334"/>
        <item x="123"/>
        <item x="290"/>
        <item x="160"/>
        <item x="501"/>
        <item x="385"/>
        <item x="523"/>
        <item x="100"/>
        <item x="332"/>
        <item x="484"/>
        <item x="527"/>
        <item x="359"/>
        <item x="224"/>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numFmtId="14" showAll="0"/>
    <pivotField numFmtId="20" showAll="0"/>
    <pivotField showAll="0"/>
    <pivotField showAll="0"/>
    <pivotField axis="axisPage" dataField="1" multipleItemSelectionAllowed="1" showAll="0">
      <items count="3">
        <item h="1" x="0"/>
        <item x="1"/>
        <item t="default"/>
      </items>
    </pivotField>
    <pivotField showAll="0"/>
    <pivotField showAll="0"/>
    <pivotField showAll="0"/>
    <pivotField numFmtId="164" showAll="0"/>
    <pivotField showAll="0"/>
    <pivotField showAll="0"/>
    <pivotField showAll="0"/>
    <pivotField showAll="0" defaultSubtotal="0"/>
  </pivotFields>
  <rowFields count="1">
    <field x="0"/>
  </rowFields>
  <rowItems count="64">
    <i>
      <x v="376"/>
    </i>
    <i>
      <x v="378"/>
    </i>
    <i>
      <x v="5"/>
    </i>
    <i>
      <x v="230"/>
    </i>
    <i>
      <x v="462"/>
    </i>
    <i>
      <x v="112"/>
    </i>
    <i>
      <x v="184"/>
    </i>
    <i>
      <x v="295"/>
    </i>
    <i>
      <x v="203"/>
    </i>
    <i>
      <x v="247"/>
    </i>
    <i>
      <x v="110"/>
    </i>
    <i>
      <x v="346"/>
    </i>
    <i>
      <x v="434"/>
    </i>
    <i>
      <x v="204"/>
    </i>
    <i>
      <x v="368"/>
    </i>
    <i>
      <x v="217"/>
    </i>
    <i>
      <x v="398"/>
    </i>
    <i>
      <x v="526"/>
    </i>
    <i>
      <x v="322"/>
    </i>
    <i>
      <x v="46"/>
    </i>
    <i>
      <x v="460"/>
    </i>
    <i>
      <x v="408"/>
    </i>
    <i>
      <x v="107"/>
    </i>
    <i>
      <x v="212"/>
    </i>
    <i>
      <x v="421"/>
    </i>
    <i>
      <x v="172"/>
    </i>
    <i>
      <x v="206"/>
    </i>
    <i>
      <x v="97"/>
    </i>
    <i>
      <x v="384"/>
    </i>
    <i>
      <x v="235"/>
    </i>
    <i>
      <x v="413"/>
    </i>
    <i>
      <x v="239"/>
    </i>
    <i>
      <x v="124"/>
    </i>
    <i>
      <x v="246"/>
    </i>
    <i>
      <x v="111"/>
    </i>
    <i>
      <x v="498"/>
    </i>
    <i>
      <x v="49"/>
    </i>
    <i>
      <x v="512"/>
    </i>
    <i>
      <x v="200"/>
    </i>
    <i>
      <x v="176"/>
    </i>
    <i>
      <x v="52"/>
    </i>
    <i>
      <x v="529"/>
    </i>
    <i>
      <x v="412"/>
    </i>
    <i>
      <x/>
    </i>
    <i>
      <x v="418"/>
    </i>
    <i>
      <x v="487"/>
    </i>
    <i>
      <x v="431"/>
    </i>
    <i>
      <x v="297"/>
    </i>
    <i>
      <x v="445"/>
    </i>
    <i>
      <x v="315"/>
    </i>
    <i>
      <x v="461"/>
    </i>
    <i>
      <x v="181"/>
    </i>
    <i>
      <x v="471"/>
    </i>
    <i>
      <x v="329"/>
    </i>
    <i>
      <x v="183"/>
    </i>
    <i>
      <x v="101"/>
    </i>
    <i>
      <x v="517"/>
    </i>
    <i>
      <x v="250"/>
    </i>
    <i>
      <x v="528"/>
    </i>
    <i>
      <x v="256"/>
    </i>
    <i>
      <x v="544"/>
    </i>
    <i>
      <x v="259"/>
    </i>
    <i>
      <x v="289"/>
    </i>
    <i t="grand">
      <x/>
    </i>
  </rowItems>
  <colItems count="1">
    <i/>
  </colItems>
  <pageFields count="1">
    <pageField fld="9" hier="-1"/>
  </pageFields>
  <dataFields count="1">
    <dataField name="Guest Booking"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B38956-DF19-42D3-AD6B-C6FBEECE29DE}"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Booking Rate For Each Property">
  <location ref="A58:A63" firstHeaderRow="1" firstDataRow="1" firstDataCol="1" rowPageCount="2" colPageCount="1"/>
  <pivotFields count="18">
    <pivotField showAll="0"/>
    <pivotField showAll="0"/>
    <pivotField axis="axisPage" multipleItemSelectionAllowed="1" showAll="0">
      <items count="9">
        <item x="2"/>
        <item x="7"/>
        <item x="4"/>
        <item x="1"/>
        <item x="3"/>
        <item x="0"/>
        <item x="5"/>
        <item x="6"/>
        <item t="default"/>
      </items>
    </pivotField>
    <pivotField numFmtId="14" showAll="0"/>
    <pivotField numFmtId="14" showAll="0"/>
    <pivotField numFmtId="14" showAll="0"/>
    <pivotField numFmtId="20" showAll="0"/>
    <pivotField showAll="0"/>
    <pivotField showAll="0"/>
    <pivotField axis="axisPage" multipleItemSelectionAllowed="1" showAll="0">
      <items count="3">
        <item h="1" x="0"/>
        <item x="1"/>
        <item t="default"/>
      </items>
    </pivotField>
    <pivotField showAll="0"/>
    <pivotField showAll="0"/>
    <pivotField showAll="0"/>
    <pivotField numFmtId="164" showAll="0"/>
    <pivotField showAll="0"/>
    <pivotField showAll="0"/>
    <pivotField axis="axisRow" multipleItemSelectionAllowed="1" showAll="0">
      <items count="10">
        <item x="3"/>
        <item x="1"/>
        <item x="6"/>
        <item x="2"/>
        <item x="4"/>
        <item x="0"/>
        <item x="5"/>
        <item x="7"/>
        <item h="1" x="8"/>
        <item t="default"/>
      </items>
    </pivotField>
    <pivotField showAll="0" defaultSubtotal="0"/>
  </pivotFields>
  <rowFields count="1">
    <field x="16"/>
  </rowFields>
  <rowItems count="5">
    <i>
      <x/>
    </i>
    <i>
      <x v="1"/>
    </i>
    <i>
      <x v="3"/>
    </i>
    <i>
      <x v="4"/>
    </i>
    <i t="grand">
      <x/>
    </i>
  </rowItems>
  <colItems count="1">
    <i/>
  </colItems>
  <pageFields count="2">
    <pageField fld="9" hier="-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1026DF-E1E4-427D-AC6F-762AA840BEC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Top 10 Guest ">
  <location ref="A135:B146" firstHeaderRow="1" firstDataRow="1" firstDataCol="1"/>
  <pivotFields count="18">
    <pivotField axis="axisRow" showAll="0" measureFilter="1" sortType="descending">
      <items count="546">
        <item x="251"/>
        <item x="534"/>
        <item x="39"/>
        <item x="49"/>
        <item x="108"/>
        <item x="252"/>
        <item x="287"/>
        <item x="23"/>
        <item x="346"/>
        <item x="441"/>
        <item x="25"/>
        <item x="420"/>
        <item x="263"/>
        <item x="286"/>
        <item x="500"/>
        <item x="20"/>
        <item x="256"/>
        <item x="253"/>
        <item x="491"/>
        <item x="52"/>
        <item x="152"/>
        <item x="141"/>
        <item x="243"/>
        <item x="463"/>
        <item x="306"/>
        <item x="331"/>
        <item x="57"/>
        <item x="308"/>
        <item x="130"/>
        <item x="389"/>
        <item x="80"/>
        <item x="514"/>
        <item x="375"/>
        <item x="293"/>
        <item x="164"/>
        <item x="373"/>
        <item x="257"/>
        <item x="35"/>
        <item x="503"/>
        <item x="531"/>
        <item x="55"/>
        <item x="28"/>
        <item x="273"/>
        <item x="529"/>
        <item x="131"/>
        <item x="63"/>
        <item x="87"/>
        <item x="490"/>
        <item x="216"/>
        <item x="302"/>
        <item x="376"/>
        <item x="135"/>
        <item x="404"/>
        <item x="76"/>
        <item x="493"/>
        <item x="67"/>
        <item x="509"/>
        <item x="173"/>
        <item x="133"/>
        <item x="56"/>
        <item x="210"/>
        <item x="371"/>
        <item x="71"/>
        <item x="438"/>
        <item x="60"/>
        <item x="304"/>
        <item x="174"/>
        <item x="161"/>
        <item x="541"/>
        <item x="444"/>
        <item x="433"/>
        <item x="301"/>
        <item x="381"/>
        <item x="156"/>
        <item x="418"/>
        <item x="335"/>
        <item x="271"/>
        <item x="278"/>
        <item x="279"/>
        <item x="227"/>
        <item x="339"/>
        <item x="508"/>
        <item x="370"/>
        <item x="158"/>
        <item x="116"/>
        <item x="427"/>
        <item x="249"/>
        <item x="363"/>
        <item x="229"/>
        <item x="474"/>
        <item x="187"/>
        <item x="259"/>
        <item x="234"/>
        <item x="387"/>
        <item x="146"/>
        <item x="439"/>
        <item x="179"/>
        <item x="245"/>
        <item x="9"/>
        <item x="401"/>
        <item x="367"/>
        <item x="351"/>
        <item x="451"/>
        <item x="120"/>
        <item x="264"/>
        <item x="470"/>
        <item x="355"/>
        <item x="194"/>
        <item x="241"/>
        <item x="81"/>
        <item x="379"/>
        <item x="10"/>
        <item x="1"/>
        <item x="543"/>
        <item x="516"/>
        <item x="175"/>
        <item x="149"/>
        <item x="183"/>
        <item x="140"/>
        <item x="364"/>
        <item x="222"/>
        <item x="313"/>
        <item x="90"/>
        <item x="170"/>
        <item x="172"/>
        <item x="86"/>
        <item x="461"/>
        <item x="319"/>
        <item x="396"/>
        <item x="403"/>
        <item x="518"/>
        <item x="382"/>
        <item x="31"/>
        <item x="405"/>
        <item x="109"/>
        <item x="311"/>
        <item x="485"/>
        <item x="159"/>
        <item x="392"/>
        <item x="244"/>
        <item x="189"/>
        <item x="221"/>
        <item x="377"/>
        <item x="390"/>
        <item x="65"/>
        <item x="400"/>
        <item x="477"/>
        <item x="315"/>
        <item x="185"/>
        <item x="358"/>
        <item x="520"/>
        <item x="127"/>
        <item x="138"/>
        <item x="223"/>
        <item x="267"/>
        <item x="322"/>
        <item x="349"/>
        <item x="289"/>
        <item x="115"/>
        <item x="412"/>
        <item x="489"/>
        <item x="504"/>
        <item x="83"/>
        <item x="79"/>
        <item x="46"/>
        <item x="84"/>
        <item x="425"/>
        <item x="89"/>
        <item x="521"/>
        <item x="103"/>
        <item x="219"/>
        <item x="494"/>
        <item x="294"/>
        <item x="495"/>
        <item x="505"/>
        <item x="30"/>
        <item x="453"/>
        <item x="528"/>
        <item x="321"/>
        <item x="337"/>
        <item x="384"/>
        <item x="17"/>
        <item x="111"/>
        <item x="186"/>
        <item x="88"/>
        <item x="402"/>
        <item x="236"/>
        <item x="517"/>
        <item x="535"/>
        <item x="446"/>
        <item x="106"/>
        <item x="95"/>
        <item x="196"/>
        <item x="151"/>
        <item x="360"/>
        <item x="421"/>
        <item x="476"/>
        <item x="197"/>
        <item x="250"/>
        <item x="62"/>
        <item x="214"/>
        <item x="539"/>
        <item x="459"/>
        <item x="288"/>
        <item x="239"/>
        <item x="513"/>
        <item x="496"/>
        <item x="36"/>
        <item x="299"/>
        <item x="542"/>
        <item x="59"/>
        <item x="45"/>
        <item x="395"/>
        <item x="101"/>
        <item x="150"/>
        <item x="338"/>
        <item x="142"/>
        <item x="14"/>
        <item x="129"/>
        <item x="502"/>
        <item x="486"/>
        <item x="7"/>
        <item x="211"/>
        <item x="72"/>
        <item x="492"/>
        <item x="64"/>
        <item x="408"/>
        <item x="137"/>
        <item x="297"/>
        <item x="475"/>
        <item x="50"/>
        <item x="122"/>
        <item x="536"/>
        <item x="218"/>
        <item x="328"/>
        <item x="487"/>
        <item x="0"/>
        <item x="207"/>
        <item x="422"/>
        <item x="228"/>
        <item x="440"/>
        <item x="522"/>
        <item x="12"/>
        <item x="347"/>
        <item x="85"/>
        <item x="426"/>
        <item x="51"/>
        <item x="75"/>
        <item x="184"/>
        <item x="314"/>
        <item x="326"/>
        <item x="272"/>
        <item x="73"/>
        <item x="281"/>
        <item x="176"/>
        <item x="341"/>
        <item x="258"/>
        <item x="303"/>
        <item x="22"/>
        <item x="24"/>
        <item x="481"/>
        <item x="480"/>
        <item x="147"/>
        <item x="208"/>
        <item x="435"/>
        <item x="275"/>
        <item x="305"/>
        <item x="215"/>
        <item x="409"/>
        <item x="372"/>
        <item x="434"/>
        <item x="398"/>
        <item x="204"/>
        <item x="437"/>
        <item x="165"/>
        <item x="448"/>
        <item x="423"/>
        <item x="26"/>
        <item x="465"/>
        <item x="327"/>
        <item x="413"/>
        <item x="317"/>
        <item x="104"/>
        <item x="119"/>
        <item x="4"/>
        <item x="380"/>
        <item x="467"/>
        <item x="246"/>
        <item x="454"/>
        <item x="352"/>
        <item x="190"/>
        <item x="354"/>
        <item x="428"/>
        <item x="42"/>
        <item x="353"/>
        <item x="442"/>
        <item x="443"/>
        <item x="260"/>
        <item x="399"/>
        <item x="99"/>
        <item x="368"/>
        <item x="33"/>
        <item x="247"/>
        <item x="393"/>
        <item x="233"/>
        <item x="318"/>
        <item x="202"/>
        <item x="66"/>
        <item x="482"/>
        <item x="284"/>
        <item x="312"/>
        <item x="436"/>
        <item x="472"/>
        <item x="310"/>
        <item x="309"/>
        <item x="167"/>
        <item x="300"/>
        <item x="340"/>
        <item x="462"/>
        <item x="406"/>
        <item x="188"/>
        <item x="270"/>
        <item x="295"/>
        <item x="320"/>
        <item x="261"/>
        <item x="157"/>
        <item x="94"/>
        <item x="268"/>
        <item x="473"/>
        <item x="193"/>
        <item x="397"/>
        <item x="192"/>
        <item x="336"/>
        <item x="533"/>
        <item x="125"/>
        <item x="58"/>
        <item x="510"/>
        <item x="191"/>
        <item x="330"/>
        <item x="416"/>
        <item x="198"/>
        <item x="70"/>
        <item x="248"/>
        <item x="102"/>
        <item x="231"/>
        <item x="182"/>
        <item x="107"/>
        <item x="47"/>
        <item x="391"/>
        <item x="15"/>
        <item x="117"/>
        <item x="424"/>
        <item x="209"/>
        <item x="499"/>
        <item x="410"/>
        <item x="274"/>
        <item x="168"/>
        <item x="357"/>
        <item x="323"/>
        <item x="343"/>
        <item x="118"/>
        <item x="82"/>
        <item x="105"/>
        <item x="38"/>
        <item x="97"/>
        <item x="232"/>
        <item x="316"/>
        <item x="162"/>
        <item x="298"/>
        <item x="471"/>
        <item x="206"/>
        <item x="136"/>
        <item x="348"/>
        <item x="110"/>
        <item x="262"/>
        <item x="199"/>
        <item x="132"/>
        <item x="29"/>
        <item x="37"/>
        <item x="415"/>
        <item x="68"/>
        <item x="388"/>
        <item x="48"/>
        <item x="43"/>
        <item x="307"/>
        <item x="69"/>
        <item x="458"/>
        <item x="225"/>
        <item x="345"/>
        <item x="449"/>
        <item x="203"/>
        <item x="538"/>
        <item x="366"/>
        <item x="61"/>
        <item x="519"/>
        <item x="324"/>
        <item x="180"/>
        <item x="344"/>
        <item x="93"/>
        <item x="431"/>
        <item x="143"/>
        <item x="507"/>
        <item x="220"/>
        <item x="16"/>
        <item x="163"/>
        <item x="6"/>
        <item x="411"/>
        <item x="457"/>
        <item x="195"/>
        <item x="483"/>
        <item x="144"/>
        <item x="524"/>
        <item x="325"/>
        <item x="212"/>
        <item x="378"/>
        <item x="54"/>
        <item x="124"/>
        <item x="342"/>
        <item x="350"/>
        <item x="356"/>
        <item x="114"/>
        <item x="255"/>
        <item x="230"/>
        <item x="41"/>
        <item x="145"/>
        <item x="238"/>
        <item x="27"/>
        <item x="292"/>
        <item x="456"/>
        <item x="466"/>
        <item x="369"/>
        <item x="98"/>
        <item x="525"/>
        <item x="242"/>
        <item x="113"/>
        <item x="148"/>
        <item x="276"/>
        <item x="429"/>
        <item x="544"/>
        <item x="450"/>
        <item x="455"/>
        <item x="532"/>
        <item x="178"/>
        <item x="32"/>
        <item x="53"/>
        <item x="329"/>
        <item x="5"/>
        <item x="430"/>
        <item x="537"/>
        <item x="217"/>
        <item x="283"/>
        <item x="419"/>
        <item x="478"/>
        <item x="153"/>
        <item x="154"/>
        <item x="19"/>
        <item x="362"/>
        <item x="34"/>
        <item x="44"/>
        <item x="21"/>
        <item x="3"/>
        <item x="134"/>
        <item x="254"/>
        <item x="296"/>
        <item x="171"/>
        <item x="91"/>
        <item x="291"/>
        <item x="407"/>
        <item x="121"/>
        <item x="488"/>
        <item x="445"/>
        <item x="155"/>
        <item x="469"/>
        <item x="386"/>
        <item x="11"/>
        <item x="201"/>
        <item x="530"/>
        <item x="2"/>
        <item x="506"/>
        <item x="365"/>
        <item x="280"/>
        <item x="166"/>
        <item x="464"/>
        <item x="74"/>
        <item x="181"/>
        <item x="394"/>
        <item x="511"/>
        <item x="235"/>
        <item x="128"/>
        <item x="265"/>
        <item x="540"/>
        <item x="417"/>
        <item x="383"/>
        <item x="78"/>
        <item x="139"/>
        <item x="112"/>
        <item x="205"/>
        <item x="277"/>
        <item x="169"/>
        <item x="126"/>
        <item x="374"/>
        <item x="526"/>
        <item x="226"/>
        <item x="8"/>
        <item x="92"/>
        <item x="18"/>
        <item x="479"/>
        <item x="468"/>
        <item x="200"/>
        <item x="266"/>
        <item x="282"/>
        <item x="13"/>
        <item x="269"/>
        <item x="512"/>
        <item x="237"/>
        <item x="96"/>
        <item x="285"/>
        <item x="240"/>
        <item x="447"/>
        <item x="432"/>
        <item x="333"/>
        <item x="414"/>
        <item x="213"/>
        <item x="177"/>
        <item x="40"/>
        <item x="361"/>
        <item x="452"/>
        <item x="515"/>
        <item x="460"/>
        <item x="77"/>
        <item x="497"/>
        <item x="498"/>
        <item x="334"/>
        <item x="123"/>
        <item x="290"/>
        <item x="160"/>
        <item x="501"/>
        <item x="385"/>
        <item x="523"/>
        <item x="100"/>
        <item x="332"/>
        <item x="484"/>
        <item x="527"/>
        <item x="359"/>
        <item x="224"/>
        <item t="default"/>
      </items>
      <autoSortScope>
        <pivotArea dataOnly="0" outline="0" fieldPosition="0">
          <references count="1">
            <reference field="4294967294" count="1" selected="0">
              <x v="0"/>
            </reference>
          </references>
        </pivotArea>
      </autoSortScope>
    </pivotField>
    <pivotField showAll="0"/>
    <pivotField showAll="0">
      <items count="9">
        <item x="2"/>
        <item x="7"/>
        <item x="4"/>
        <item x="1"/>
        <item x="3"/>
        <item x="0"/>
        <item x="5"/>
        <item x="6"/>
        <item t="default"/>
      </items>
    </pivotField>
    <pivotField numFmtId="14" showAll="0"/>
    <pivotField numFmtId="14" showAll="0"/>
    <pivotField numFmtId="14" showAll="0"/>
    <pivotField numFmtId="20" showAll="0"/>
    <pivotField showAll="0"/>
    <pivotField showAll="0">
      <items count="6">
        <item x="4"/>
        <item x="1"/>
        <item x="3"/>
        <item x="2"/>
        <item x="0"/>
        <item t="default"/>
      </items>
    </pivotField>
    <pivotField showAll="0">
      <items count="3">
        <item x="0"/>
        <item x="1"/>
        <item t="default"/>
      </items>
    </pivotField>
    <pivotField showAll="0"/>
    <pivotField showAll="0"/>
    <pivotField showAll="0"/>
    <pivotField dataField="1" numFmtId="164" showAll="0"/>
    <pivotField showAll="0"/>
    <pivotField showAll="0"/>
    <pivotField showAll="0"/>
    <pivotField showAll="0" defaultSubtotal="0"/>
  </pivotFields>
  <rowFields count="1">
    <field x="0"/>
  </rowFields>
  <rowItems count="11">
    <i>
      <x v="307"/>
    </i>
    <i>
      <x v="52"/>
    </i>
    <i>
      <x v="407"/>
    </i>
    <i>
      <x v="177"/>
    </i>
    <i>
      <x v="1"/>
    </i>
    <i>
      <x v="437"/>
    </i>
    <i>
      <x v="446"/>
    </i>
    <i>
      <x v="174"/>
    </i>
    <i>
      <x v="168"/>
    </i>
    <i>
      <x v="55"/>
    </i>
    <i t="grand">
      <x/>
    </i>
  </rowItems>
  <colItems count="1">
    <i/>
  </colItems>
  <dataFields count="1">
    <dataField name="Guest Revenue" fld="13"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8015BD-4131-494C-8CDE-060C807FA10C}"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ntals">
  <location ref="A44:B53" firstHeaderRow="1" firstDataRow="1" firstDataCol="1" rowPageCount="1" colPageCount="1"/>
  <pivotFields count="18">
    <pivotField showAll="0"/>
    <pivotField showAll="0"/>
    <pivotField axis="axisRow" showAll="0" sortType="descending">
      <items count="9">
        <item x="2"/>
        <item x="7"/>
        <item x="4"/>
        <item x="1"/>
        <item x="3"/>
        <item x="0"/>
        <item x="5"/>
        <item x="6"/>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numFmtId="20" showAll="0"/>
    <pivotField showAll="0"/>
    <pivotField showAll="0"/>
    <pivotField axis="axisPage" multipleItemSelectionAllowed="1" showAll="0">
      <items count="3">
        <item h="1" x="0"/>
        <item x="1"/>
        <item t="default"/>
      </items>
    </pivotField>
    <pivotField showAll="0"/>
    <pivotField showAll="0"/>
    <pivotField showAll="0"/>
    <pivotField dataField="1" numFmtId="164" showAll="0"/>
    <pivotField showAll="0"/>
    <pivotField showAll="0"/>
    <pivotField showAll="0"/>
    <pivotField showAll="0" defaultSubtotal="0"/>
  </pivotFields>
  <rowFields count="1">
    <field x="2"/>
  </rowFields>
  <rowItems count="9">
    <i>
      <x/>
    </i>
    <i>
      <x v="6"/>
    </i>
    <i>
      <x v="2"/>
    </i>
    <i>
      <x v="3"/>
    </i>
    <i>
      <x v="4"/>
    </i>
    <i>
      <x v="7"/>
    </i>
    <i>
      <x v="1"/>
    </i>
    <i>
      <x v="5"/>
    </i>
    <i t="grand">
      <x/>
    </i>
  </rowItems>
  <colItems count="1">
    <i/>
  </colItems>
  <pageFields count="1">
    <pageField fld="9" hier="-1"/>
  </pageFields>
  <dataFields count="1">
    <dataField name="Revenue Per Property" fld="13" baseField="2" baseItem="0" numFmtId="166"/>
  </dataFields>
  <formats count="2">
    <format dxfId="32">
      <pivotArea collapsedLevelsAreSubtotals="1" fieldPosition="0">
        <references count="1">
          <reference field="2" count="0"/>
        </references>
      </pivotArea>
    </format>
    <format dxfId="31">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2" count="1" selected="0">
            <x v="0"/>
          </reference>
        </references>
      </pivotArea>
    </chartFormat>
    <chartFormat chart="2" format="20">
      <pivotArea type="data" outline="0" fieldPosition="0">
        <references count="2">
          <reference field="4294967294" count="1" selected="0">
            <x v="0"/>
          </reference>
          <reference field="2" count="1" selected="0">
            <x v="6"/>
          </reference>
        </references>
      </pivotArea>
    </chartFormat>
    <chartFormat chart="2" format="21">
      <pivotArea type="data" outline="0" fieldPosition="0">
        <references count="2">
          <reference field="4294967294" count="1" selected="0">
            <x v="0"/>
          </reference>
          <reference field="2" count="1" selected="0">
            <x v="2"/>
          </reference>
        </references>
      </pivotArea>
    </chartFormat>
    <chartFormat chart="2" format="22">
      <pivotArea type="data" outline="0" fieldPosition="0">
        <references count="2">
          <reference field="4294967294" count="1" selected="0">
            <x v="0"/>
          </reference>
          <reference field="2" count="1" selected="0">
            <x v="3"/>
          </reference>
        </references>
      </pivotArea>
    </chartFormat>
    <chartFormat chart="2" format="23">
      <pivotArea type="data" outline="0" fieldPosition="0">
        <references count="2">
          <reference field="4294967294" count="1" selected="0">
            <x v="0"/>
          </reference>
          <reference field="2" count="1" selected="0">
            <x v="4"/>
          </reference>
        </references>
      </pivotArea>
    </chartFormat>
    <chartFormat chart="2" format="24">
      <pivotArea type="data" outline="0" fieldPosition="0">
        <references count="2">
          <reference field="4294967294" count="1" selected="0">
            <x v="0"/>
          </reference>
          <reference field="2" count="1" selected="0">
            <x v="7"/>
          </reference>
        </references>
      </pivotArea>
    </chartFormat>
    <chartFormat chart="2" format="25">
      <pivotArea type="data" outline="0" fieldPosition="0">
        <references count="2">
          <reference field="4294967294" count="1" selected="0">
            <x v="0"/>
          </reference>
          <reference field="2" count="1" selected="0">
            <x v="1"/>
          </reference>
        </references>
      </pivotArea>
    </chartFormat>
    <chartFormat chart="2" format="2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75DCB1-CBC1-4620-A928-46DBE02A2E91}" name="PivotTable4"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4" rowHeaderCaption="Source">
  <location ref="A15:B20" firstHeaderRow="1" firstDataRow="2" firstDataCol="1"/>
  <pivotFields count="18">
    <pivotField showAll="0"/>
    <pivotField showAll="0"/>
    <pivotField showAll="0"/>
    <pivotField numFmtId="14" showAll="0"/>
    <pivotField numFmtId="14" showAll="0"/>
    <pivotField numFmtId="14" showAll="0"/>
    <pivotField numFmtId="20" showAll="0"/>
    <pivotField showAll="0"/>
    <pivotField axis="axisRow" showAll="0" sortType="descending">
      <items count="6">
        <item h="1" x="4"/>
        <item x="1"/>
        <item x="3"/>
        <item h="1" x="2"/>
        <item x="0"/>
        <item t="default"/>
      </items>
      <autoSortScope>
        <pivotArea dataOnly="0" outline="0" fieldPosition="0">
          <references count="2">
            <reference field="4294967294" count="1" selected="0">
              <x v="0"/>
            </reference>
            <reference field="9" count="1" selected="0">
              <x v="1"/>
            </reference>
          </references>
        </pivotArea>
      </autoSortScope>
    </pivotField>
    <pivotField axis="axisCol" dataField="1" showAll="0">
      <items count="3">
        <item h="1" x="0"/>
        <item x="1"/>
        <item t="default"/>
      </items>
    </pivotField>
    <pivotField showAll="0"/>
    <pivotField showAll="0"/>
    <pivotField showAll="0"/>
    <pivotField numFmtId="164" showAll="0"/>
    <pivotField showAll="0"/>
    <pivotField showAll="0"/>
    <pivotField showAll="0"/>
    <pivotField showAll="0" defaultSubtotal="0"/>
  </pivotFields>
  <rowFields count="1">
    <field x="8"/>
  </rowFields>
  <rowItems count="4">
    <i>
      <x v="4"/>
    </i>
    <i>
      <x v="1"/>
    </i>
    <i>
      <x v="2"/>
    </i>
    <i t="grand">
      <x/>
    </i>
  </rowItems>
  <colFields count="1">
    <field x="9"/>
  </colFields>
  <colItems count="1">
    <i>
      <x v="1"/>
    </i>
  </colItems>
  <dataFields count="1">
    <dataField name="Count of Booked" fld="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4"/>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ed" xr10:uid="{45621FCE-2E90-4F55-B5F9-9CA9E9B5CACE}" sourceName="Booked">
  <pivotTables>
    <pivotTable tabId="6" name="PivotTable1"/>
  </pivotTables>
  <data>
    <tabular pivotCacheId="9716349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tal" xr10:uid="{5C407CB2-83FC-4B70-89B8-F82E9CBFC80F}" sourceName="Rental">
  <pivotTables>
    <pivotTable tabId="6" name="PivotTable1"/>
  </pivotTables>
  <data>
    <tabular pivotCacheId="971634977">
      <items count="8">
        <i x="2" s="1"/>
        <i x="7" s="1"/>
        <i x="4" s="1"/>
        <i x="1" s="1"/>
        <i x="3" s="1"/>
        <i x="0"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43D834D8-BAFD-4CDE-995E-A6B9694B554A}" sourceName="Source">
  <pivotTables>
    <pivotTable tabId="6" name="PivotTable1"/>
  </pivotTables>
  <data>
    <tabular pivotCacheId="971634977">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ed" xr10:uid="{EF62D90E-7773-4827-8E85-70719C3F9C58}" cache="Slicer_Booked" caption="Booked" rowHeight="241300"/>
  <slicer name="Rental" xr10:uid="{DCA567A5-9C1E-4AC1-B8BF-4712CCEF3F80}" cache="Slicer_Rental" caption="Rental" rowHeight="241300"/>
  <slicer name="Source" xr10:uid="{40347D04-446D-4544-8F7B-FAB1D6B17A80}" cache="Slicer_Source" caption="Sour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ed 1" xr10:uid="{D50C0053-D6AD-4449-B097-E7811B05F3FC}" cache="Slicer_Booked" caption="Booked" style="SlicerStyleDark6" rowHeight="241300"/>
  <slicer name="Rental 1" xr10:uid="{1DEADFC3-C35B-4350-9070-EBCF0FD09E5D}" cache="Slicer_Rental" caption="Rental" style="SlicerStyleDark4" rowHeight="241300"/>
  <slicer name="Source 1" xr10:uid="{ECEB54EF-CD9D-4BFA-9BA8-BB626A4E6161}" cache="Slicer_Source" caption="Sourc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D050CA-B50B-4E01-97EF-A48864593B4F}" name="Table13" displayName="Table13" ref="A1:P950" totalsRowShown="0">
  <autoFilter ref="A1:P950" xr:uid="{1E4A13B2-29D4-48E3-950D-272A2CC6A708}"/>
  <tableColumns count="16">
    <tableColumn id="1" xr3:uid="{9F3DA230-8573-4BDD-A98E-4E6F2D2592F8}" name="Name"/>
    <tableColumn id="2" xr3:uid="{3E5F709D-5EC4-4120-81C4-EE4C86F4A904}" name="Email"/>
    <tableColumn id="3" xr3:uid="{5918207D-3FD8-4777-A7CA-CD76CA38838B}" name="Rental"/>
    <tableColumn id="4" xr3:uid="{A9A4EC29-6329-4D50-95AE-48A980C99BAE}" name="Arrive" dataDxfId="17"/>
    <tableColumn id="5" xr3:uid="{AD23F439-21BD-4885-9F2E-30F61F99AC79}" name="Depart" dataDxfId="16"/>
    <tableColumn id="7" xr3:uid="{E134774A-D8EB-4D45-AAA7-89C389D8B31B}" name="Received" dataDxfId="15"/>
    <tableColumn id="8" xr3:uid="{0C8D4612-B102-4028-809A-4C9A5CE5D35E}" name="Checkin" dataDxfId="14"/>
    <tableColumn id="9" xr3:uid="{C7A374F4-0C27-432F-896C-218B4D07CB6C}" name="Checkout" dataDxfId="13"/>
    <tableColumn id="12" xr3:uid="{EEA9D27A-787E-4EAC-AAF3-9CE1DF768091}" name="Source"/>
    <tableColumn id="13" xr3:uid="{6E0B3857-716E-4A1B-A171-5061532D6765}" name="Booked" dataDxfId="12"/>
    <tableColumn id="14" xr3:uid="{88B8CCA1-ECE7-4B1C-A798-9C80B0B35027}" name="Adults"/>
    <tableColumn id="15" xr3:uid="{0AAF9874-4CE6-451B-8ED9-8B4533433516}" name="Children"/>
    <tableColumn id="16" xr3:uid="{D30F1B95-8255-499B-9FD8-CDA1BC07A7D1}" name="Currency"/>
    <tableColumn id="17" xr3:uid="{B81E52F8-247F-40C2-87AE-4788E19460CB}" name="Revenue" dataDxfId="11" dataCellStyle="Comma"/>
    <tableColumn id="20" xr3:uid="{74D453B5-36FF-46DB-B761-94289074F002}" name="Occupation" dataDxfId="10">
      <calculatedColumnFormula>Table13[[#This Row],[Adults]]+Table13[[#This Row],[Children]]</calculatedColumnFormula>
    </tableColumn>
    <tableColumn id="21" xr3:uid="{B5F3AB60-C1AD-4A5A-8556-DF87A1DE568B}" name="Duration" dataDxfId="9">
      <calculatedColumnFormula>_xlfn.DAYS(Table13[[#This Row],[Depart]],Table13[[#This Row],[Arrive]])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A13B2-29D4-48E3-950D-272A2CC6A708}" name="Table1" displayName="Table1" ref="A1:U1001" totalsRowShown="0">
  <autoFilter ref="A1:U1001" xr:uid="{1E4A13B2-29D4-48E3-950D-272A2CC6A708}"/>
  <tableColumns count="21">
    <tableColumn id="1" xr3:uid="{568D7F74-7705-4373-A5BF-A2EEB9F6535C}" name="Name"/>
    <tableColumn id="2" xr3:uid="{8BEE573A-6A77-46EF-8F33-AE898BE2F1B7}" name="Email"/>
    <tableColumn id="3" xr3:uid="{8324BE91-3319-46F6-A69E-A2E1868CFE4F}" name="Rental"/>
    <tableColumn id="4" xr3:uid="{9C988864-B694-4401-B1FD-E7CDAA105F53}" name="Arrive" dataDxfId="8"/>
    <tableColumn id="5" xr3:uid="{0F9FB9EC-E5B4-4AEE-8F9B-63E4C5919852}" name="Depart" dataDxfId="7"/>
    <tableColumn id="6" xr3:uid="{F8023D21-D929-4C30-920C-C29F0A5FE449}" name="Diff in Days">
      <calculatedColumnFormula>_xlfn.DAYS(E2,D2)</calculatedColumnFormula>
    </tableColumn>
    <tableColumn id="7" xr3:uid="{4F6B844A-8779-44B0-AD5D-C17EF309DF70}" name="Received" dataDxfId="6"/>
    <tableColumn id="8" xr3:uid="{68A3CEC6-FE5C-4DC0-8750-E86C7AE18AD5}" name="Checkin" dataDxfId="5"/>
    <tableColumn id="9" xr3:uid="{22231DA3-FF42-475E-B101-0960816DC6A3}" name="Checkout" dataDxfId="4"/>
    <tableColumn id="10" xr3:uid="{4B213E75-CEDB-4E7C-8597-53A93968F759}" name="Booking ID"/>
    <tableColumn id="11" xr3:uid="{4A97168A-0E3B-44DC-BA79-AC75D754A754}" name="Inquiry ID"/>
    <tableColumn id="12" xr3:uid="{6FDCA3F0-3C6B-4D25-A34C-6797ECFA4728}" name="Source"/>
    <tableColumn id="13" xr3:uid="{A4996A92-546F-44E9-89A3-FACBDF34083E}" name="Booked" dataDxfId="3"/>
    <tableColumn id="14" xr3:uid="{302794D6-7D0E-4F6C-A2BD-0A14F61BC297}" name="Adults"/>
    <tableColumn id="15" xr3:uid="{1807EC30-772C-4032-B60A-6C8415FA0662}" name="Children"/>
    <tableColumn id="16" xr3:uid="{8691FFE4-1C09-4255-ABB1-7E8E547F04ED}" name="Currency"/>
    <tableColumn id="17" xr3:uid="{C61AA584-D62F-4EB6-8E93-C4CBBCCD0BD3}" name="Revenue" dataDxfId="2" dataCellStyle="Comma"/>
    <tableColumn id="18" xr3:uid="{6B33374D-5751-47DB-8302-3231008A6C76}" name="Column1">
      <calculatedColumnFormula>SUBSTITUTE(C:C,"?","'")</calculatedColumnFormula>
    </tableColumn>
    <tableColumn id="19" xr3:uid="{CC2BD10B-FE79-48FD-9DD6-A6577A76370D}" name="Rental2">
      <calculatedColumnFormula>CLEAN(R:R)</calculatedColumnFormula>
    </tableColumn>
    <tableColumn id="20" xr3:uid="{F3CEDD64-05D2-487E-B8C3-6423305209F3}" name="OCCUPATION" dataDxfId="1">
      <calculatedColumnFormula>Table1[[#This Row],[Adults]]+Table1[[#This Row],[Children]]</calculatedColumnFormula>
    </tableColumn>
    <tableColumn id="21" xr3:uid="{FC17D1AE-6C65-4A9E-A99F-27BC62E41848}" name="DURATION" dataDxfId="0">
      <calculatedColumnFormula>_xlfn.DAYS(Table1[[#This Row],[Depart]],Table1[[#This Row],[Arrive]])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mailto:Guest132@airbnb.com"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mailto:Guest132@airbnb.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ABDB-6C11-4BB1-B0C3-6317576FC191}">
  <dimension ref="A1:B146"/>
  <sheetViews>
    <sheetView tabSelected="1" workbookViewId="0">
      <selection activeCell="B35" sqref="B35"/>
    </sheetView>
  </sheetViews>
  <sheetFormatPr defaultRowHeight="15" x14ac:dyDescent="0.25"/>
  <cols>
    <col min="1" max="1" width="15.140625" bestFit="1" customWidth="1"/>
    <col min="2" max="2" width="15.28515625" bestFit="1" customWidth="1"/>
    <col min="3" max="3" width="37.7109375" bestFit="1" customWidth="1"/>
    <col min="4" max="4" width="39.7109375" bestFit="1" customWidth="1"/>
    <col min="5" max="5" width="11.28515625" bestFit="1" customWidth="1"/>
    <col min="6" max="6" width="17.42578125" bestFit="1" customWidth="1"/>
    <col min="7" max="9" width="12" bestFit="1" customWidth="1"/>
    <col min="10" max="10" width="20.5703125" bestFit="1" customWidth="1"/>
    <col min="11" max="11" width="22.42578125" bestFit="1" customWidth="1"/>
    <col min="12" max="12" width="20.5703125" bestFit="1" customWidth="1"/>
    <col min="13" max="13" width="22.42578125" bestFit="1" customWidth="1"/>
    <col min="14" max="14" width="5" bestFit="1" customWidth="1"/>
    <col min="15" max="17" width="8" bestFit="1" customWidth="1"/>
    <col min="18" max="19" width="5" bestFit="1" customWidth="1"/>
  </cols>
  <sheetData>
    <row r="1" spans="1:2" x14ac:dyDescent="0.25">
      <c r="A1" s="18" t="s">
        <v>11</v>
      </c>
      <c r="B1" t="s">
        <v>23</v>
      </c>
    </row>
    <row r="3" spans="1:2" x14ac:dyDescent="0.25">
      <c r="A3" s="18" t="s">
        <v>2251</v>
      </c>
      <c r="B3" t="s">
        <v>2249</v>
      </c>
    </row>
    <row r="4" spans="1:2" x14ac:dyDescent="0.25">
      <c r="A4" s="19" t="s">
        <v>2224</v>
      </c>
      <c r="B4">
        <v>82</v>
      </c>
    </row>
    <row r="5" spans="1:2" x14ac:dyDescent="0.25">
      <c r="A5" s="19" t="s">
        <v>2223</v>
      </c>
      <c r="B5">
        <v>82</v>
      </c>
    </row>
    <row r="6" spans="1:2" x14ac:dyDescent="0.25">
      <c r="A6" s="19" t="s">
        <v>2226</v>
      </c>
      <c r="B6">
        <v>72</v>
      </c>
    </row>
    <row r="7" spans="1:2" x14ac:dyDescent="0.25">
      <c r="A7" s="19" t="s">
        <v>2225</v>
      </c>
      <c r="B7">
        <v>63</v>
      </c>
    </row>
    <row r="8" spans="1:2" x14ac:dyDescent="0.25">
      <c r="A8" s="19" t="s">
        <v>2228</v>
      </c>
      <c r="B8">
        <v>53</v>
      </c>
    </row>
    <row r="9" spans="1:2" x14ac:dyDescent="0.25">
      <c r="A9" s="19" t="s">
        <v>2227</v>
      </c>
      <c r="B9">
        <v>28</v>
      </c>
    </row>
    <row r="10" spans="1:2" x14ac:dyDescent="0.25">
      <c r="A10" s="19" t="s">
        <v>2229</v>
      </c>
      <c r="B10">
        <v>10</v>
      </c>
    </row>
    <row r="11" spans="1:2" x14ac:dyDescent="0.25">
      <c r="A11" s="19" t="s">
        <v>2222</v>
      </c>
      <c r="B11">
        <v>2</v>
      </c>
    </row>
    <row r="12" spans="1:2" x14ac:dyDescent="0.25">
      <c r="A12" s="19" t="s">
        <v>2247</v>
      </c>
      <c r="B12">
        <v>392</v>
      </c>
    </row>
    <row r="15" spans="1:2" x14ac:dyDescent="0.25">
      <c r="A15" s="18" t="s">
        <v>2249</v>
      </c>
      <c r="B15" s="18" t="s">
        <v>2250</v>
      </c>
    </row>
    <row r="16" spans="1:2" x14ac:dyDescent="0.25">
      <c r="A16" s="18" t="s">
        <v>10</v>
      </c>
      <c r="B16" t="s">
        <v>23</v>
      </c>
    </row>
    <row r="17" spans="1:2" x14ac:dyDescent="0.25">
      <c r="A17" s="19" t="s">
        <v>22</v>
      </c>
      <c r="B17">
        <v>389</v>
      </c>
    </row>
    <row r="18" spans="1:2" x14ac:dyDescent="0.25">
      <c r="A18" s="19" t="s">
        <v>26</v>
      </c>
      <c r="B18">
        <v>2</v>
      </c>
    </row>
    <row r="19" spans="1:2" x14ac:dyDescent="0.25">
      <c r="A19" s="19" t="s">
        <v>35</v>
      </c>
      <c r="B19">
        <v>1</v>
      </c>
    </row>
    <row r="20" spans="1:2" x14ac:dyDescent="0.25">
      <c r="A20" s="19" t="s">
        <v>2247</v>
      </c>
      <c r="B20">
        <v>392</v>
      </c>
    </row>
    <row r="22" spans="1:2" x14ac:dyDescent="0.25">
      <c r="A22" s="18" t="s">
        <v>11</v>
      </c>
      <c r="B22" t="s">
        <v>23</v>
      </c>
    </row>
    <row r="24" spans="1:2" x14ac:dyDescent="0.25">
      <c r="A24" s="18" t="s">
        <v>11</v>
      </c>
      <c r="B24" t="s">
        <v>23</v>
      </c>
    </row>
    <row r="26" spans="1:2" x14ac:dyDescent="0.25">
      <c r="A26" s="18" t="s">
        <v>2258</v>
      </c>
      <c r="B26" t="s">
        <v>2259</v>
      </c>
    </row>
    <row r="27" spans="1:2" x14ac:dyDescent="0.25">
      <c r="A27" s="19" t="s">
        <v>2244</v>
      </c>
      <c r="B27" s="20">
        <v>22184.78</v>
      </c>
    </row>
    <row r="28" spans="1:2" x14ac:dyDescent="0.25">
      <c r="A28" s="19" t="s">
        <v>2245</v>
      </c>
      <c r="B28" s="20">
        <v>20112.34</v>
      </c>
    </row>
    <row r="29" spans="1:2" x14ac:dyDescent="0.25">
      <c r="A29" s="19" t="s">
        <v>2242</v>
      </c>
      <c r="B29" s="20">
        <v>19526.87</v>
      </c>
    </row>
    <row r="30" spans="1:2" x14ac:dyDescent="0.25">
      <c r="A30" s="19" t="s">
        <v>2243</v>
      </c>
      <c r="B30" s="20">
        <v>16006.999999999998</v>
      </c>
    </row>
    <row r="31" spans="1:2" x14ac:dyDescent="0.25">
      <c r="A31" s="19" t="s">
        <v>2241</v>
      </c>
      <c r="B31" s="20">
        <v>14899</v>
      </c>
    </row>
    <row r="32" spans="1:2" x14ac:dyDescent="0.25">
      <c r="A32" s="19" t="s">
        <v>2238</v>
      </c>
      <c r="B32" s="20">
        <v>11440</v>
      </c>
    </row>
    <row r="33" spans="1:2" x14ac:dyDescent="0.25">
      <c r="A33" s="19" t="s">
        <v>2239</v>
      </c>
      <c r="B33" s="20">
        <v>11250</v>
      </c>
    </row>
    <row r="34" spans="1:2" x14ac:dyDescent="0.25">
      <c r="A34" s="19" t="s">
        <v>2240</v>
      </c>
      <c r="B34" s="20">
        <v>8910</v>
      </c>
    </row>
    <row r="35" spans="1:2" x14ac:dyDescent="0.25">
      <c r="A35" s="19" t="s">
        <v>2246</v>
      </c>
      <c r="B35" s="20">
        <v>8095.0400000000009</v>
      </c>
    </row>
    <row r="36" spans="1:2" x14ac:dyDescent="0.25">
      <c r="A36" s="19" t="s">
        <v>2236</v>
      </c>
      <c r="B36" s="20">
        <v>4501.6499999999996</v>
      </c>
    </row>
    <row r="37" spans="1:2" x14ac:dyDescent="0.25">
      <c r="A37" s="19" t="s">
        <v>2237</v>
      </c>
      <c r="B37" s="20">
        <v>2186</v>
      </c>
    </row>
    <row r="38" spans="1:2" x14ac:dyDescent="0.25">
      <c r="A38" s="19" t="s">
        <v>2235</v>
      </c>
      <c r="B38" s="20">
        <v>94.33</v>
      </c>
    </row>
    <row r="39" spans="1:2" x14ac:dyDescent="0.25">
      <c r="A39" s="19" t="s">
        <v>2247</v>
      </c>
      <c r="B39" s="20">
        <v>139207.01</v>
      </c>
    </row>
    <row r="40" spans="1:2" x14ac:dyDescent="0.25">
      <c r="A40" s="18" t="s">
        <v>11</v>
      </c>
      <c r="B40" t="s">
        <v>23</v>
      </c>
    </row>
    <row r="42" spans="1:2" x14ac:dyDescent="0.25">
      <c r="A42" s="18" t="s">
        <v>11</v>
      </c>
      <c r="B42" t="s">
        <v>23</v>
      </c>
    </row>
    <row r="44" spans="1:2" x14ac:dyDescent="0.25">
      <c r="A44" s="18" t="s">
        <v>2251</v>
      </c>
      <c r="B44" t="s">
        <v>2257</v>
      </c>
    </row>
    <row r="45" spans="1:2" x14ac:dyDescent="0.25">
      <c r="A45" s="19" t="s">
        <v>2224</v>
      </c>
      <c r="B45" s="20">
        <v>24864.37</v>
      </c>
    </row>
    <row r="46" spans="1:2" x14ac:dyDescent="0.25">
      <c r="A46" s="19" t="s">
        <v>2227</v>
      </c>
      <c r="B46" s="20">
        <v>20667.960000000003</v>
      </c>
    </row>
    <row r="47" spans="1:2" x14ac:dyDescent="0.25">
      <c r="A47" s="19" t="s">
        <v>2226</v>
      </c>
      <c r="B47" s="20">
        <v>20531.5</v>
      </c>
    </row>
    <row r="48" spans="1:2" x14ac:dyDescent="0.25">
      <c r="A48" s="19" t="s">
        <v>2223</v>
      </c>
      <c r="B48" s="20">
        <v>19543.329999999998</v>
      </c>
    </row>
    <row r="49" spans="1:2" x14ac:dyDescent="0.25">
      <c r="A49" s="19" t="s">
        <v>2225</v>
      </c>
      <c r="B49" s="20">
        <v>19536.650000000001</v>
      </c>
    </row>
    <row r="50" spans="1:2" x14ac:dyDescent="0.25">
      <c r="A50" s="19" t="s">
        <v>2228</v>
      </c>
      <c r="B50" s="20">
        <v>17568.25</v>
      </c>
    </row>
    <row r="51" spans="1:2" x14ac:dyDescent="0.25">
      <c r="A51" s="19" t="s">
        <v>2229</v>
      </c>
      <c r="B51" s="20">
        <v>15507.949999999999</v>
      </c>
    </row>
    <row r="52" spans="1:2" x14ac:dyDescent="0.25">
      <c r="A52" s="19" t="s">
        <v>2222</v>
      </c>
      <c r="B52" s="20">
        <v>987</v>
      </c>
    </row>
    <row r="53" spans="1:2" x14ac:dyDescent="0.25">
      <c r="A53" s="19" t="s">
        <v>2247</v>
      </c>
      <c r="B53" s="20">
        <v>139207.01</v>
      </c>
    </row>
    <row r="55" spans="1:2" x14ac:dyDescent="0.25">
      <c r="A55" s="18" t="s">
        <v>11</v>
      </c>
      <c r="B55" t="s">
        <v>23</v>
      </c>
    </row>
    <row r="56" spans="1:2" x14ac:dyDescent="0.25">
      <c r="A56" s="18" t="s">
        <v>2</v>
      </c>
      <c r="B56" t="s">
        <v>2248</v>
      </c>
    </row>
    <row r="58" spans="1:2" x14ac:dyDescent="0.25">
      <c r="A58" s="18" t="s">
        <v>2252</v>
      </c>
    </row>
    <row r="59" spans="1:2" x14ac:dyDescent="0.25">
      <c r="A59" s="19">
        <v>112.27959770114943</v>
      </c>
    </row>
    <row r="60" spans="1:2" x14ac:dyDescent="0.25">
      <c r="A60" s="19">
        <v>112.96722543352602</v>
      </c>
    </row>
    <row r="61" spans="1:2" x14ac:dyDescent="0.25">
      <c r="A61" s="19">
        <v>115.64823255813953</v>
      </c>
    </row>
    <row r="62" spans="1:2" x14ac:dyDescent="0.25">
      <c r="A62" s="19">
        <v>115.99717514124293</v>
      </c>
    </row>
    <row r="63" spans="1:2" x14ac:dyDescent="0.25">
      <c r="A63" s="19" t="s">
        <v>2247</v>
      </c>
    </row>
    <row r="66" spans="1:2" x14ac:dyDescent="0.25">
      <c r="A66" s="18" t="s">
        <v>11</v>
      </c>
      <c r="B66" t="s">
        <v>23</v>
      </c>
    </row>
    <row r="68" spans="1:2" x14ac:dyDescent="0.25">
      <c r="A68" s="18" t="s">
        <v>2256</v>
      </c>
      <c r="B68" t="s">
        <v>2255</v>
      </c>
    </row>
    <row r="69" spans="1:2" x14ac:dyDescent="0.25">
      <c r="A69" s="19" t="s">
        <v>296</v>
      </c>
      <c r="B69">
        <v>14</v>
      </c>
    </row>
    <row r="70" spans="1:2" x14ac:dyDescent="0.25">
      <c r="A70" s="19" t="s">
        <v>110</v>
      </c>
      <c r="B70">
        <v>9</v>
      </c>
    </row>
    <row r="71" spans="1:2" x14ac:dyDescent="0.25">
      <c r="A71" s="19" t="s">
        <v>589</v>
      </c>
      <c r="B71">
        <v>7</v>
      </c>
    </row>
    <row r="72" spans="1:2" x14ac:dyDescent="0.25">
      <c r="A72" s="19" t="s">
        <v>160</v>
      </c>
      <c r="B72">
        <v>6</v>
      </c>
    </row>
    <row r="73" spans="1:2" x14ac:dyDescent="0.25">
      <c r="A73" s="19" t="s">
        <v>601</v>
      </c>
      <c r="B73">
        <v>5</v>
      </c>
    </row>
    <row r="74" spans="1:2" x14ac:dyDescent="0.25">
      <c r="A74" s="19" t="s">
        <v>31</v>
      </c>
      <c r="B74">
        <v>5</v>
      </c>
    </row>
    <row r="75" spans="1:2" x14ac:dyDescent="0.25">
      <c r="A75" s="19" t="s">
        <v>284</v>
      </c>
      <c r="B75">
        <v>5</v>
      </c>
    </row>
    <row r="76" spans="1:2" x14ac:dyDescent="0.25">
      <c r="A76" s="19" t="s">
        <v>1005</v>
      </c>
      <c r="B76">
        <v>4</v>
      </c>
    </row>
    <row r="77" spans="1:2" x14ac:dyDescent="0.25">
      <c r="A77" s="19" t="s">
        <v>641</v>
      </c>
      <c r="B77">
        <v>4</v>
      </c>
    </row>
    <row r="78" spans="1:2" x14ac:dyDescent="0.25">
      <c r="A78" s="19" t="s">
        <v>192</v>
      </c>
      <c r="B78">
        <v>4</v>
      </c>
    </row>
    <row r="79" spans="1:2" x14ac:dyDescent="0.25">
      <c r="A79" s="19" t="s">
        <v>847</v>
      </c>
      <c r="B79">
        <v>3</v>
      </c>
    </row>
    <row r="80" spans="1:2" x14ac:dyDescent="0.25">
      <c r="A80" s="19" t="s">
        <v>252</v>
      </c>
      <c r="B80">
        <v>3</v>
      </c>
    </row>
    <row r="81" spans="1:2" x14ac:dyDescent="0.25">
      <c r="A81" s="19" t="s">
        <v>242</v>
      </c>
      <c r="B81">
        <v>3</v>
      </c>
    </row>
    <row r="82" spans="1:2" x14ac:dyDescent="0.25">
      <c r="A82" s="19" t="s">
        <v>561</v>
      </c>
      <c r="B82">
        <v>3</v>
      </c>
    </row>
    <row r="83" spans="1:2" x14ac:dyDescent="0.25">
      <c r="A83" s="19" t="s">
        <v>563</v>
      </c>
      <c r="B83">
        <v>3</v>
      </c>
    </row>
    <row r="84" spans="1:2" x14ac:dyDescent="0.25">
      <c r="A84" s="19" t="s">
        <v>42</v>
      </c>
      <c r="B84">
        <v>3</v>
      </c>
    </row>
    <row r="85" spans="1:2" x14ac:dyDescent="0.25">
      <c r="A85" s="19" t="s">
        <v>234</v>
      </c>
      <c r="B85">
        <v>3</v>
      </c>
    </row>
    <row r="86" spans="1:2" x14ac:dyDescent="0.25">
      <c r="A86" s="19" t="s">
        <v>1021</v>
      </c>
      <c r="B86">
        <v>3</v>
      </c>
    </row>
    <row r="87" spans="1:2" x14ac:dyDescent="0.25">
      <c r="A87" s="19" t="s">
        <v>621</v>
      </c>
      <c r="B87">
        <v>3</v>
      </c>
    </row>
    <row r="88" spans="1:2" x14ac:dyDescent="0.25">
      <c r="A88" s="19" t="s">
        <v>204</v>
      </c>
      <c r="B88">
        <v>3</v>
      </c>
    </row>
    <row r="89" spans="1:2" x14ac:dyDescent="0.25">
      <c r="A89" s="19" t="s">
        <v>20</v>
      </c>
      <c r="B89">
        <v>2</v>
      </c>
    </row>
    <row r="90" spans="1:2" x14ac:dyDescent="0.25">
      <c r="A90" s="19" t="s">
        <v>484</v>
      </c>
      <c r="B90">
        <v>2</v>
      </c>
    </row>
    <row r="91" spans="1:2" x14ac:dyDescent="0.25">
      <c r="A91" s="19" t="s">
        <v>372</v>
      </c>
      <c r="B91">
        <v>2</v>
      </c>
    </row>
    <row r="92" spans="1:2" x14ac:dyDescent="0.25">
      <c r="A92" s="19" t="s">
        <v>875</v>
      </c>
      <c r="B92">
        <v>2</v>
      </c>
    </row>
    <row r="93" spans="1:2" x14ac:dyDescent="0.25">
      <c r="A93" s="19" t="s">
        <v>591</v>
      </c>
      <c r="B93">
        <v>2</v>
      </c>
    </row>
    <row r="94" spans="1:2" x14ac:dyDescent="0.25">
      <c r="A94" s="19" t="s">
        <v>508</v>
      </c>
      <c r="B94">
        <v>2</v>
      </c>
    </row>
    <row r="95" spans="1:2" x14ac:dyDescent="0.25">
      <c r="A95" s="19" t="s">
        <v>947</v>
      </c>
      <c r="B95">
        <v>2</v>
      </c>
    </row>
    <row r="96" spans="1:2" x14ac:dyDescent="0.25">
      <c r="A96" s="19" t="s">
        <v>559</v>
      </c>
      <c r="B96">
        <v>2</v>
      </c>
    </row>
    <row r="97" spans="1:2" x14ac:dyDescent="0.25">
      <c r="A97" s="19" t="s">
        <v>697</v>
      </c>
      <c r="B97">
        <v>2</v>
      </c>
    </row>
    <row r="98" spans="1:2" x14ac:dyDescent="0.25">
      <c r="A98" s="19" t="s">
        <v>1137</v>
      </c>
      <c r="B98">
        <v>2</v>
      </c>
    </row>
    <row r="99" spans="1:2" x14ac:dyDescent="0.25">
      <c r="A99" s="19" t="s">
        <v>446</v>
      </c>
      <c r="B99">
        <v>2</v>
      </c>
    </row>
    <row r="100" spans="1:2" x14ac:dyDescent="0.25">
      <c r="A100" s="19" t="s">
        <v>516</v>
      </c>
      <c r="B100">
        <v>2</v>
      </c>
    </row>
    <row r="101" spans="1:2" x14ac:dyDescent="0.25">
      <c r="A101" s="19" t="s">
        <v>486</v>
      </c>
      <c r="B101">
        <v>2</v>
      </c>
    </row>
    <row r="102" spans="1:2" x14ac:dyDescent="0.25">
      <c r="A102" s="19" t="s">
        <v>166</v>
      </c>
      <c r="B102">
        <v>2</v>
      </c>
    </row>
    <row r="103" spans="1:2" x14ac:dyDescent="0.25">
      <c r="A103" s="19" t="s">
        <v>40</v>
      </c>
      <c r="B103">
        <v>2</v>
      </c>
    </row>
    <row r="104" spans="1:2" x14ac:dyDescent="0.25">
      <c r="A104" s="19" t="s">
        <v>400</v>
      </c>
      <c r="B104">
        <v>2</v>
      </c>
    </row>
    <row r="105" spans="1:2" x14ac:dyDescent="0.25">
      <c r="A105" s="19" t="s">
        <v>613</v>
      </c>
      <c r="B105">
        <v>2</v>
      </c>
    </row>
    <row r="106" spans="1:2" x14ac:dyDescent="0.25">
      <c r="A106" s="19" t="s">
        <v>617</v>
      </c>
      <c r="B106">
        <v>2</v>
      </c>
    </row>
    <row r="107" spans="1:2" x14ac:dyDescent="0.25">
      <c r="A107" s="19" t="s">
        <v>376</v>
      </c>
      <c r="B107">
        <v>2</v>
      </c>
    </row>
    <row r="108" spans="1:2" x14ac:dyDescent="0.25">
      <c r="A108" s="19" t="s">
        <v>1047</v>
      </c>
      <c r="B108">
        <v>2</v>
      </c>
    </row>
    <row r="109" spans="1:2" x14ac:dyDescent="0.25">
      <c r="A109" s="19" t="s">
        <v>891</v>
      </c>
      <c r="B109">
        <v>2</v>
      </c>
    </row>
    <row r="110" spans="1:2" x14ac:dyDescent="0.25">
      <c r="A110" s="19" t="s">
        <v>194</v>
      </c>
      <c r="B110">
        <v>2</v>
      </c>
    </row>
    <row r="111" spans="1:2" x14ac:dyDescent="0.25">
      <c r="A111" s="19" t="s">
        <v>685</v>
      </c>
      <c r="B111">
        <v>2</v>
      </c>
    </row>
    <row r="112" spans="1:2" x14ac:dyDescent="0.25">
      <c r="A112" s="19" t="s">
        <v>583</v>
      </c>
      <c r="B112">
        <v>2</v>
      </c>
    </row>
    <row r="113" spans="1:2" x14ac:dyDescent="0.25">
      <c r="A113" s="19" t="s">
        <v>785</v>
      </c>
      <c r="B113">
        <v>2</v>
      </c>
    </row>
    <row r="114" spans="1:2" x14ac:dyDescent="0.25">
      <c r="A114" s="19" t="s">
        <v>543</v>
      </c>
      <c r="B114">
        <v>2</v>
      </c>
    </row>
    <row r="115" spans="1:2" x14ac:dyDescent="0.25">
      <c r="A115" s="19" t="s">
        <v>278</v>
      </c>
      <c r="B115">
        <v>2</v>
      </c>
    </row>
    <row r="116" spans="1:2" x14ac:dyDescent="0.25">
      <c r="A116" s="19" t="s">
        <v>599</v>
      </c>
      <c r="B116">
        <v>2</v>
      </c>
    </row>
    <row r="117" spans="1:2" x14ac:dyDescent="0.25">
      <c r="A117" s="19" t="s">
        <v>755</v>
      </c>
      <c r="B117">
        <v>2</v>
      </c>
    </row>
    <row r="118" spans="1:2" x14ac:dyDescent="0.25">
      <c r="A118" s="19" t="s">
        <v>344</v>
      </c>
      <c r="B118">
        <v>2</v>
      </c>
    </row>
    <row r="119" spans="1:2" x14ac:dyDescent="0.25">
      <c r="A119" s="19" t="s">
        <v>298</v>
      </c>
      <c r="B119">
        <v>2</v>
      </c>
    </row>
    <row r="120" spans="1:2" x14ac:dyDescent="0.25">
      <c r="A120" s="19" t="s">
        <v>64</v>
      </c>
      <c r="B120">
        <v>2</v>
      </c>
    </row>
    <row r="121" spans="1:2" x14ac:dyDescent="0.25">
      <c r="A121" s="19" t="s">
        <v>384</v>
      </c>
      <c r="B121">
        <v>2</v>
      </c>
    </row>
    <row r="122" spans="1:2" x14ac:dyDescent="0.25">
      <c r="A122" s="19" t="s">
        <v>468</v>
      </c>
      <c r="B122">
        <v>2</v>
      </c>
    </row>
    <row r="123" spans="1:2" x14ac:dyDescent="0.25">
      <c r="A123" s="19" t="s">
        <v>450</v>
      </c>
      <c r="B123">
        <v>2</v>
      </c>
    </row>
    <row r="124" spans="1:2" x14ac:dyDescent="0.25">
      <c r="A124" s="19" t="s">
        <v>567</v>
      </c>
      <c r="B124">
        <v>2</v>
      </c>
    </row>
    <row r="125" spans="1:2" x14ac:dyDescent="0.25">
      <c r="A125" s="19" t="s">
        <v>478</v>
      </c>
      <c r="B125">
        <v>2</v>
      </c>
    </row>
    <row r="126" spans="1:2" x14ac:dyDescent="0.25">
      <c r="A126" s="19" t="s">
        <v>725</v>
      </c>
      <c r="B126">
        <v>2</v>
      </c>
    </row>
    <row r="127" spans="1:2" x14ac:dyDescent="0.25">
      <c r="A127" s="19" t="s">
        <v>1039</v>
      </c>
      <c r="B127">
        <v>2</v>
      </c>
    </row>
    <row r="128" spans="1:2" x14ac:dyDescent="0.25">
      <c r="A128" s="19" t="s">
        <v>597</v>
      </c>
      <c r="B128">
        <v>2</v>
      </c>
    </row>
    <row r="129" spans="1:2" x14ac:dyDescent="0.25">
      <c r="A129" s="19" t="s">
        <v>426</v>
      </c>
      <c r="B129">
        <v>2</v>
      </c>
    </row>
    <row r="130" spans="1:2" x14ac:dyDescent="0.25">
      <c r="A130" s="19" t="s">
        <v>90</v>
      </c>
      <c r="B130">
        <v>2</v>
      </c>
    </row>
    <row r="131" spans="1:2" x14ac:dyDescent="0.25">
      <c r="A131" s="19" t="s">
        <v>609</v>
      </c>
      <c r="B131">
        <v>2</v>
      </c>
    </row>
    <row r="132" spans="1:2" x14ac:dyDescent="0.25">
      <c r="A132" s="19" t="s">
        <v>2247</v>
      </c>
      <c r="B132">
        <v>179</v>
      </c>
    </row>
    <row r="135" spans="1:2" x14ac:dyDescent="0.25">
      <c r="A135" s="18" t="s">
        <v>2253</v>
      </c>
      <c r="B135" t="s">
        <v>2254</v>
      </c>
    </row>
    <row r="136" spans="1:2" x14ac:dyDescent="0.25">
      <c r="A136" s="19" t="s">
        <v>895</v>
      </c>
      <c r="B136" s="20">
        <v>1440000</v>
      </c>
    </row>
    <row r="137" spans="1:2" x14ac:dyDescent="0.25">
      <c r="A137" s="19" t="s">
        <v>891</v>
      </c>
      <c r="B137" s="20">
        <v>1432655.25</v>
      </c>
    </row>
    <row r="138" spans="1:2" x14ac:dyDescent="0.25">
      <c r="A138" s="19" t="s">
        <v>995</v>
      </c>
      <c r="B138" s="20">
        <v>1300000</v>
      </c>
    </row>
    <row r="139" spans="1:2" x14ac:dyDescent="0.25">
      <c r="A139" s="19" t="s">
        <v>1081</v>
      </c>
      <c r="B139" s="20">
        <v>1275000</v>
      </c>
    </row>
    <row r="140" spans="1:2" x14ac:dyDescent="0.25">
      <c r="A140" s="19" t="s">
        <v>1071</v>
      </c>
      <c r="B140" s="20">
        <v>1200000</v>
      </c>
    </row>
    <row r="141" spans="1:2" x14ac:dyDescent="0.25">
      <c r="A141" s="19" t="s">
        <v>893</v>
      </c>
      <c r="B141" s="20">
        <v>1170000</v>
      </c>
    </row>
    <row r="142" spans="1:2" x14ac:dyDescent="0.25">
      <c r="A142" s="19" t="s">
        <v>945</v>
      </c>
      <c r="B142" s="20">
        <v>910000</v>
      </c>
    </row>
    <row r="143" spans="1:2" x14ac:dyDescent="0.25">
      <c r="A143" s="19" t="s">
        <v>923</v>
      </c>
      <c r="B143" s="20">
        <v>910000</v>
      </c>
    </row>
    <row r="144" spans="1:2" x14ac:dyDescent="0.25">
      <c r="A144" s="19" t="s">
        <v>1143</v>
      </c>
      <c r="B144" s="20">
        <v>900000</v>
      </c>
    </row>
    <row r="145" spans="1:2" x14ac:dyDescent="0.25">
      <c r="A145" s="19" t="s">
        <v>871</v>
      </c>
      <c r="B145" s="20">
        <v>550000</v>
      </c>
    </row>
    <row r="146" spans="1:2" x14ac:dyDescent="0.25">
      <c r="A146" s="19" t="s">
        <v>2247</v>
      </c>
      <c r="B146" s="20">
        <v>11087655.25</v>
      </c>
    </row>
  </sheetData>
  <pageMargins left="0.7" right="0.7" top="0.75" bottom="0.75" header="0.3" footer="0.3"/>
  <pageSetup orientation="portrait" horizontalDpi="300" verticalDpi="300"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B005-7D78-43DA-80BA-91327744ACC3}">
  <dimension ref="A1:Z1"/>
  <sheetViews>
    <sheetView showGridLines="0" workbookViewId="0">
      <selection activeCell="J29" sqref="J29"/>
    </sheetView>
  </sheetViews>
  <sheetFormatPr defaultRowHeight="15" x14ac:dyDescent="0.25"/>
  <sheetData>
    <row r="1" spans="1:26" ht="36" x14ac:dyDescent="0.25">
      <c r="A1" s="21"/>
      <c r="B1" s="22"/>
      <c r="C1" s="22"/>
      <c r="D1" s="23" t="s">
        <v>2260</v>
      </c>
      <c r="E1" s="23"/>
      <c r="F1" s="23"/>
      <c r="G1" s="23"/>
      <c r="H1" s="23"/>
      <c r="I1" s="23"/>
      <c r="J1" s="23"/>
      <c r="K1" s="23"/>
      <c r="L1" s="23"/>
      <c r="M1" s="22"/>
      <c r="N1" s="22"/>
      <c r="O1" s="22"/>
      <c r="P1" s="22"/>
      <c r="Q1" s="22"/>
      <c r="R1" s="22"/>
      <c r="S1" s="22"/>
      <c r="T1" s="22"/>
      <c r="U1" s="22"/>
      <c r="V1" s="22"/>
      <c r="W1" s="22"/>
      <c r="X1" s="22"/>
      <c r="Y1" s="22"/>
      <c r="Z1"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379AA-C442-496D-BAA9-78C6C672F28C}">
  <dimension ref="A1:Z950"/>
  <sheetViews>
    <sheetView topLeftCell="B1" workbookViewId="0">
      <selection activeCell="Q7" sqref="Q7"/>
    </sheetView>
  </sheetViews>
  <sheetFormatPr defaultRowHeight="15" x14ac:dyDescent="0.25"/>
  <cols>
    <col min="1" max="1" width="9.5703125" bestFit="1" customWidth="1"/>
    <col min="2" max="2" width="29.85546875" bestFit="1" customWidth="1"/>
    <col min="3" max="3" width="43.5703125" bestFit="1" customWidth="1"/>
    <col min="4" max="5" width="10.7109375" bestFit="1" customWidth="1"/>
    <col min="6" max="6" width="11.42578125" bestFit="1" customWidth="1"/>
    <col min="7" max="7" width="10.28515625" bestFit="1" customWidth="1"/>
    <col min="8" max="8" width="11.5703125" bestFit="1" customWidth="1"/>
    <col min="9" max="9" width="12.42578125" bestFit="1" customWidth="1"/>
    <col min="10" max="10" width="10" style="12" bestFit="1" customWidth="1"/>
    <col min="11" max="11" width="9" bestFit="1" customWidth="1"/>
    <col min="12" max="12" width="10.85546875" bestFit="1" customWidth="1"/>
    <col min="13" max="13" width="11.140625" bestFit="1" customWidth="1"/>
    <col min="14" max="14" width="12.42578125" style="6" customWidth="1"/>
    <col min="15" max="15" width="14.7109375" customWidth="1"/>
    <col min="16" max="16" width="11.7109375" customWidth="1"/>
    <col min="17" max="17" width="43.5703125" bestFit="1" customWidth="1"/>
    <col min="18" max="18" width="14.42578125" bestFit="1" customWidth="1"/>
    <col min="19" max="19" width="10.28515625" bestFit="1" customWidth="1"/>
    <col min="20" max="20" width="16.140625" bestFit="1" customWidth="1"/>
    <col min="21" max="21" width="16.140625" customWidth="1"/>
    <col min="22" max="22" width="24.140625" bestFit="1" customWidth="1"/>
    <col min="23" max="23" width="43.5703125" bestFit="1" customWidth="1"/>
    <col min="24" max="24" width="3" bestFit="1" customWidth="1"/>
    <col min="25" max="25" width="20.28515625" customWidth="1"/>
    <col min="26" max="26" width="19.28515625" bestFit="1" customWidth="1"/>
    <col min="27" max="27" width="3.85546875" customWidth="1"/>
  </cols>
  <sheetData>
    <row r="1" spans="1:26" x14ac:dyDescent="0.25">
      <c r="A1" t="s">
        <v>0</v>
      </c>
      <c r="B1" t="s">
        <v>1</v>
      </c>
      <c r="C1" t="s">
        <v>2</v>
      </c>
      <c r="D1" t="s">
        <v>3</v>
      </c>
      <c r="E1" t="s">
        <v>4</v>
      </c>
      <c r="F1" t="s">
        <v>5</v>
      </c>
      <c r="G1" t="s">
        <v>6</v>
      </c>
      <c r="H1" t="s">
        <v>7</v>
      </c>
      <c r="I1" t="s">
        <v>10</v>
      </c>
      <c r="J1" s="12" t="s">
        <v>11</v>
      </c>
      <c r="K1" t="s">
        <v>12</v>
      </c>
      <c r="L1" t="s">
        <v>13</v>
      </c>
      <c r="M1" t="s">
        <v>14</v>
      </c>
      <c r="N1" s="6" t="s">
        <v>2213</v>
      </c>
      <c r="O1" t="s">
        <v>2261</v>
      </c>
      <c r="P1" t="s">
        <v>2262</v>
      </c>
    </row>
    <row r="2" spans="1:26" x14ac:dyDescent="0.25">
      <c r="A2" t="s">
        <v>1119</v>
      </c>
      <c r="B2" t="s">
        <v>1120</v>
      </c>
      <c r="C2" t="s">
        <v>2222</v>
      </c>
      <c r="D2" s="1">
        <v>43831</v>
      </c>
      <c r="E2" s="1">
        <v>44133</v>
      </c>
      <c r="F2" s="1">
        <v>44146</v>
      </c>
      <c r="G2" s="2">
        <v>0.45833333333333331</v>
      </c>
      <c r="H2" s="2">
        <v>0.41666666666666669</v>
      </c>
      <c r="I2" t="s">
        <v>22</v>
      </c>
      <c r="J2" s="12" t="s">
        <v>18</v>
      </c>
      <c r="K2">
        <v>2</v>
      </c>
      <c r="L2">
        <v>0</v>
      </c>
      <c r="M2" t="s">
        <v>19</v>
      </c>
      <c r="N2" s="6">
        <v>36240</v>
      </c>
      <c r="O2">
        <f>Table13[[#This Row],[Adults]]+Table13[[#This Row],[Children]]</f>
        <v>2</v>
      </c>
      <c r="P2">
        <f>_xlfn.DAYS(Table13[[#This Row],[Depart]],Table13[[#This Row],[Arrive]])</f>
        <v>302</v>
      </c>
    </row>
    <row r="3" spans="1:26" x14ac:dyDescent="0.25">
      <c r="A3" t="s">
        <v>31</v>
      </c>
      <c r="B3" t="s">
        <v>32</v>
      </c>
      <c r="C3" t="s">
        <v>2223</v>
      </c>
      <c r="D3" s="1">
        <v>43850</v>
      </c>
      <c r="E3" s="1">
        <v>43856</v>
      </c>
      <c r="F3" s="1">
        <v>43947</v>
      </c>
      <c r="G3" s="2">
        <v>0.33333333333333331</v>
      </c>
      <c r="H3" s="3">
        <v>1</v>
      </c>
      <c r="I3" t="s">
        <v>22</v>
      </c>
      <c r="J3" s="12" t="s">
        <v>23</v>
      </c>
      <c r="K3">
        <v>1</v>
      </c>
      <c r="L3">
        <v>0</v>
      </c>
      <c r="M3" t="s">
        <v>19</v>
      </c>
      <c r="N3" s="6">
        <v>94.33</v>
      </c>
      <c r="O3">
        <f>Table13[[#This Row],[Adults]]+Table13[[#This Row],[Children]]</f>
        <v>1</v>
      </c>
      <c r="P3">
        <f>_xlfn.DAYS(Table13[[#This Row],[Depart]],Table13[[#This Row],[Arrive]])</f>
        <v>6</v>
      </c>
    </row>
    <row r="4" spans="1:26" x14ac:dyDescent="0.25">
      <c r="A4" t="s">
        <v>200</v>
      </c>
      <c r="B4" t="s">
        <v>201</v>
      </c>
      <c r="C4" t="s">
        <v>2224</v>
      </c>
      <c r="D4" s="1">
        <v>43851</v>
      </c>
      <c r="E4" s="1">
        <v>43852</v>
      </c>
      <c r="F4" s="1">
        <v>43947</v>
      </c>
      <c r="G4" s="2">
        <v>0.33333333333333331</v>
      </c>
      <c r="H4" s="3">
        <v>1</v>
      </c>
      <c r="I4" t="s">
        <v>22</v>
      </c>
      <c r="J4" s="12" t="s">
        <v>23</v>
      </c>
      <c r="K4">
        <v>2</v>
      </c>
      <c r="L4">
        <v>0</v>
      </c>
      <c r="M4" t="s">
        <v>19</v>
      </c>
      <c r="N4" s="6">
        <v>0</v>
      </c>
      <c r="O4">
        <f>Table13[[#This Row],[Adults]]+Table13[[#This Row],[Children]]</f>
        <v>2</v>
      </c>
      <c r="P4">
        <f>_xlfn.DAYS(Table13[[#This Row],[Depart]],Table13[[#This Row],[Arrive]])</f>
        <v>1</v>
      </c>
    </row>
    <row r="5" spans="1:26" x14ac:dyDescent="0.25">
      <c r="A5" t="s">
        <v>20</v>
      </c>
      <c r="B5" t="s">
        <v>21</v>
      </c>
      <c r="C5" t="s">
        <v>2223</v>
      </c>
      <c r="D5" s="1">
        <v>43872</v>
      </c>
      <c r="E5" s="1">
        <v>43874</v>
      </c>
      <c r="F5" s="1">
        <v>43872</v>
      </c>
      <c r="G5" s="2">
        <v>0.33333333333333331</v>
      </c>
      <c r="H5" s="3">
        <v>1</v>
      </c>
      <c r="I5" t="s">
        <v>22</v>
      </c>
      <c r="J5" s="12" t="s">
        <v>23</v>
      </c>
      <c r="K5">
        <v>1</v>
      </c>
      <c r="L5">
        <v>1</v>
      </c>
      <c r="M5" t="s">
        <v>19</v>
      </c>
      <c r="N5" s="6">
        <v>110</v>
      </c>
      <c r="O5">
        <f>Table13[[#This Row],[Adults]]+Table13[[#This Row],[Children]]</f>
        <v>2</v>
      </c>
      <c r="P5">
        <f>_xlfn.DAYS(Table13[[#This Row],[Depart]],Table13[[#This Row],[Arrive]])</f>
        <v>2</v>
      </c>
    </row>
    <row r="6" spans="1:26" x14ac:dyDescent="0.25">
      <c r="A6" t="s">
        <v>182</v>
      </c>
      <c r="B6" t="s">
        <v>183</v>
      </c>
      <c r="C6" t="s">
        <v>2225</v>
      </c>
      <c r="D6" s="1">
        <v>43872</v>
      </c>
      <c r="E6" s="1">
        <v>43873</v>
      </c>
      <c r="F6" s="1">
        <v>43930</v>
      </c>
      <c r="G6" s="2">
        <v>0.33333333333333331</v>
      </c>
      <c r="H6" s="3">
        <v>1</v>
      </c>
      <c r="I6" t="s">
        <v>22</v>
      </c>
      <c r="J6" s="12" t="s">
        <v>23</v>
      </c>
      <c r="K6">
        <v>1</v>
      </c>
      <c r="L6">
        <v>0</v>
      </c>
      <c r="M6" t="s">
        <v>19</v>
      </c>
      <c r="N6" s="6">
        <v>110</v>
      </c>
      <c r="O6">
        <f>Table13[[#This Row],[Adults]]+Table13[[#This Row],[Children]]</f>
        <v>1</v>
      </c>
      <c r="P6">
        <f>_xlfn.DAYS(Table13[[#This Row],[Depart]],Table13[[#This Row],[Arrive]])</f>
        <v>1</v>
      </c>
    </row>
    <row r="7" spans="1:26" x14ac:dyDescent="0.25">
      <c r="A7" t="s">
        <v>945</v>
      </c>
      <c r="B7" t="s">
        <v>946</v>
      </c>
      <c r="C7" t="s">
        <v>2226</v>
      </c>
      <c r="D7" s="1">
        <v>43872</v>
      </c>
      <c r="E7" s="1">
        <v>43901</v>
      </c>
      <c r="F7" s="1">
        <v>44127</v>
      </c>
      <c r="G7" s="2">
        <v>0.5</v>
      </c>
      <c r="H7" s="2">
        <v>0.58333333333333337</v>
      </c>
      <c r="I7" t="s">
        <v>22</v>
      </c>
      <c r="J7" s="12" t="s">
        <v>18</v>
      </c>
      <c r="K7">
        <v>1</v>
      </c>
      <c r="L7">
        <v>0</v>
      </c>
      <c r="M7" t="s">
        <v>19</v>
      </c>
      <c r="N7" s="6">
        <v>130000</v>
      </c>
      <c r="O7">
        <f>Table13[[#This Row],[Adults]]+Table13[[#This Row],[Children]]</f>
        <v>1</v>
      </c>
      <c r="P7">
        <f>_xlfn.DAYS(Table13[[#This Row],[Depart]],Table13[[#This Row],[Arrive]])</f>
        <v>29</v>
      </c>
    </row>
    <row r="8" spans="1:26" x14ac:dyDescent="0.25">
      <c r="A8" t="s">
        <v>945</v>
      </c>
      <c r="B8" t="s">
        <v>946</v>
      </c>
      <c r="C8" t="s">
        <v>2226</v>
      </c>
      <c r="D8" s="1">
        <v>43872</v>
      </c>
      <c r="E8" s="1">
        <v>43901</v>
      </c>
      <c r="F8" s="1">
        <v>44127</v>
      </c>
      <c r="G8" s="2">
        <v>0.5</v>
      </c>
      <c r="H8" s="2">
        <v>0.58333333333333337</v>
      </c>
      <c r="I8" t="s">
        <v>22</v>
      </c>
      <c r="J8" s="12" t="s">
        <v>18</v>
      </c>
      <c r="K8">
        <v>1</v>
      </c>
      <c r="L8">
        <v>0</v>
      </c>
      <c r="M8" t="s">
        <v>19</v>
      </c>
      <c r="N8" s="6">
        <v>130000</v>
      </c>
      <c r="O8">
        <f>Table13[[#This Row],[Adults]]+Table13[[#This Row],[Children]]</f>
        <v>1</v>
      </c>
      <c r="P8">
        <f>_xlfn.DAYS(Table13[[#This Row],[Depart]],Table13[[#This Row],[Arrive]])</f>
        <v>29</v>
      </c>
    </row>
    <row r="9" spans="1:26" x14ac:dyDescent="0.25">
      <c r="A9" t="s">
        <v>945</v>
      </c>
      <c r="B9" t="s">
        <v>946</v>
      </c>
      <c r="C9" t="s">
        <v>2226</v>
      </c>
      <c r="D9" s="1">
        <v>43872</v>
      </c>
      <c r="E9" s="1">
        <v>43901</v>
      </c>
      <c r="F9" s="1">
        <v>44127</v>
      </c>
      <c r="G9" s="2">
        <v>0.5</v>
      </c>
      <c r="H9" s="2">
        <v>0.58333333333333337</v>
      </c>
      <c r="I9" t="s">
        <v>22</v>
      </c>
      <c r="J9" s="12" t="s">
        <v>18</v>
      </c>
      <c r="K9">
        <v>1</v>
      </c>
      <c r="L9">
        <v>0</v>
      </c>
      <c r="M9" t="s">
        <v>19</v>
      </c>
      <c r="N9" s="6">
        <v>130000</v>
      </c>
      <c r="O9">
        <f>Table13[[#This Row],[Adults]]+Table13[[#This Row],[Children]]</f>
        <v>1</v>
      </c>
      <c r="P9">
        <f>_xlfn.DAYS(Table13[[#This Row],[Depart]],Table13[[#This Row],[Arrive]])</f>
        <v>29</v>
      </c>
    </row>
    <row r="10" spans="1:26" x14ac:dyDescent="0.25">
      <c r="A10" t="s">
        <v>31</v>
      </c>
      <c r="B10" t="s">
        <v>32</v>
      </c>
      <c r="C10" t="s">
        <v>2226</v>
      </c>
      <c r="D10" s="1">
        <v>43873</v>
      </c>
      <c r="E10" s="1">
        <v>43874</v>
      </c>
      <c r="F10" s="1">
        <v>43873</v>
      </c>
      <c r="G10" s="2">
        <v>0.33333333333333331</v>
      </c>
      <c r="H10" s="3">
        <v>1</v>
      </c>
      <c r="I10" t="s">
        <v>22</v>
      </c>
      <c r="J10" s="12" t="s">
        <v>18</v>
      </c>
      <c r="K10">
        <v>2</v>
      </c>
      <c r="L10">
        <v>1</v>
      </c>
      <c r="M10" t="s">
        <v>19</v>
      </c>
      <c r="N10" s="6">
        <v>110</v>
      </c>
      <c r="O10">
        <f>Table13[[#This Row],[Adults]]+Table13[[#This Row],[Children]]</f>
        <v>3</v>
      </c>
      <c r="P10">
        <f>_xlfn.DAYS(Table13[[#This Row],[Depart]],Table13[[#This Row],[Arrive]])</f>
        <v>1</v>
      </c>
      <c r="Q10" s="16" t="s">
        <v>2230</v>
      </c>
      <c r="R10" s="16" t="s">
        <v>2231</v>
      </c>
      <c r="S10" s="16" t="s">
        <v>2232</v>
      </c>
      <c r="T10" s="16" t="s">
        <v>2233</v>
      </c>
      <c r="U10" s="16" t="s">
        <v>2213</v>
      </c>
      <c r="V10" s="16" t="s">
        <v>2234</v>
      </c>
    </row>
    <row r="11" spans="1:26" x14ac:dyDescent="0.25">
      <c r="A11" t="s">
        <v>20</v>
      </c>
      <c r="B11" t="s">
        <v>21</v>
      </c>
      <c r="C11" t="s">
        <v>2226</v>
      </c>
      <c r="D11" s="1">
        <v>43874</v>
      </c>
      <c r="E11" s="1">
        <v>43875</v>
      </c>
      <c r="F11" s="1">
        <v>43873</v>
      </c>
      <c r="G11" s="2">
        <v>0.33333333333333331</v>
      </c>
      <c r="H11" s="3">
        <v>1</v>
      </c>
      <c r="I11" t="s">
        <v>22</v>
      </c>
      <c r="J11" s="12" t="s">
        <v>23</v>
      </c>
      <c r="K11">
        <v>2</v>
      </c>
      <c r="L11">
        <v>1</v>
      </c>
      <c r="M11" t="s">
        <v>19</v>
      </c>
      <c r="N11" s="6">
        <v>110</v>
      </c>
      <c r="O11">
        <f>Table13[[#This Row],[Adults]]+Table13[[#This Row],[Children]]</f>
        <v>3</v>
      </c>
      <c r="P11">
        <f>_xlfn.DAYS(Table13[[#This Row],[Depart]],Table13[[#This Row],[Arrive]])</f>
        <v>1</v>
      </c>
      <c r="Q11" t="str" cm="1">
        <f t="array" ref="Q11:Q18">_xlfn.UNIQUE(Table13[Rental])</f>
        <v>Sophia Luxury Home</v>
      </c>
      <c r="R11">
        <f>COUNTIFS(Table13[Rental],Q11,Table13[Booked],"YES")</f>
        <v>2</v>
      </c>
      <c r="S11">
        <f>SUMIFS(Table13[Duration],Table13[Rental],Q11,Table13[Booked],"yes")</f>
        <v>8</v>
      </c>
      <c r="T11">
        <f>SUMIFS(Table13[Occupation],Table13[Rental],Q11,Table13[Booked],"yes")</f>
        <v>11</v>
      </c>
      <c r="U11" s="17">
        <f>SUMIFS(Table13[Revenue],Table13[Rental],Q11,Table13[Booked],"yes")</f>
        <v>987</v>
      </c>
      <c r="V11" s="17">
        <f>U11/S11</f>
        <v>123.375</v>
      </c>
      <c r="W11" t="str" cm="1">
        <f t="array" ref="W11:X12">_xlfn._xlws.FILTER(Q11:R18,R11:R18=MAX(R11:R18))</f>
        <v>Ope's 5 Star Short Let Apartment in Lekki</v>
      </c>
      <c r="X11">
        <v>82</v>
      </c>
      <c r="Y11" t="str" cm="1">
        <f t="array" ref="Y11:Z18">_xlfn.SORTBY(Q11:R18,R11:R18,-1)</f>
        <v>Ope's 5 Star Short Let Apartment in Lekki</v>
      </c>
      <c r="Z11">
        <v>82</v>
      </c>
    </row>
    <row r="12" spans="1:26" x14ac:dyDescent="0.25">
      <c r="A12" t="s">
        <v>31</v>
      </c>
      <c r="B12" t="s">
        <v>32</v>
      </c>
      <c r="C12" t="s">
        <v>2223</v>
      </c>
      <c r="D12" s="1">
        <v>43874</v>
      </c>
      <c r="E12" s="1">
        <v>43879</v>
      </c>
      <c r="F12" s="1">
        <v>43872</v>
      </c>
      <c r="G12" s="2">
        <v>0.33333333333333331</v>
      </c>
      <c r="H12" s="3">
        <v>1</v>
      </c>
      <c r="I12" t="s">
        <v>22</v>
      </c>
      <c r="J12" s="12" t="s">
        <v>23</v>
      </c>
      <c r="K12">
        <v>2</v>
      </c>
      <c r="L12">
        <v>1</v>
      </c>
      <c r="M12" t="s">
        <v>19</v>
      </c>
      <c r="N12" s="6">
        <v>550</v>
      </c>
      <c r="O12">
        <f>Table13[[#This Row],[Adults]]+Table13[[#This Row],[Children]]</f>
        <v>3</v>
      </c>
      <c r="P12">
        <f>_xlfn.DAYS(Table13[[#This Row],[Depart]],Table13[[#This Row],[Arrive]])</f>
        <v>5</v>
      </c>
      <c r="Q12" t="str">
        <v>Ope's 5 Star Short Let Apartment in Lekki</v>
      </c>
      <c r="R12">
        <f>COUNTIFS(Table13[Rental],Q12,Table13[Booked],"YES")</f>
        <v>82</v>
      </c>
      <c r="S12">
        <f>SUMIFS(Table13[Duration],Table13[Rental],Q12,Table13[Booked],"yes")</f>
        <v>173</v>
      </c>
      <c r="T12">
        <f>SUMIFS(Table13[Occupation],Table13[Rental],Q12,Table13[Booked],"yes")</f>
        <v>380</v>
      </c>
      <c r="U12" s="17">
        <f>SUMIFS(Table13[Revenue],Table13[Rental],Q12,Table13[Booked],"yes")</f>
        <v>19543.330000000002</v>
      </c>
      <c r="V12" s="17">
        <f t="shared" ref="V12:V18" si="0">U12/S12</f>
        <v>112.96722543352602</v>
      </c>
      <c r="W12" t="str">
        <v xml:space="preserve"> The Daniels 5 Star Short Let Apartment in Lekki</v>
      </c>
      <c r="X12">
        <v>82</v>
      </c>
      <c r="Y12" t="str">
        <v xml:space="preserve"> The Daniels 5 Star Short Let Apartment in Lekki</v>
      </c>
      <c r="Z12">
        <v>82</v>
      </c>
    </row>
    <row r="13" spans="1:26" x14ac:dyDescent="0.25">
      <c r="A13" t="s">
        <v>20</v>
      </c>
      <c r="B13" t="s">
        <v>21</v>
      </c>
      <c r="C13" t="s">
        <v>2225</v>
      </c>
      <c r="D13" s="1">
        <v>43875</v>
      </c>
      <c r="E13" s="1">
        <v>43876</v>
      </c>
      <c r="F13" s="1">
        <v>43873</v>
      </c>
      <c r="G13" s="2">
        <v>0.33333333333333331</v>
      </c>
      <c r="H13" s="3">
        <v>1</v>
      </c>
      <c r="I13" t="s">
        <v>22</v>
      </c>
      <c r="J13" s="12" t="s">
        <v>18</v>
      </c>
      <c r="K13">
        <v>2</v>
      </c>
      <c r="L13">
        <v>1</v>
      </c>
      <c r="M13" t="s">
        <v>19</v>
      </c>
      <c r="N13" s="6">
        <v>1</v>
      </c>
      <c r="O13">
        <f>Table13[[#This Row],[Adults]]+Table13[[#This Row],[Children]]</f>
        <v>3</v>
      </c>
      <c r="P13">
        <f>_xlfn.DAYS(Table13[[#This Row],[Depart]],Table13[[#This Row],[Arrive]])</f>
        <v>1</v>
      </c>
      <c r="Q13" t="str">
        <v xml:space="preserve"> The Daniels 5 Star Short Let Apartment in Lekki</v>
      </c>
      <c r="R13">
        <f>COUNTIFS(Table13[Rental],Q13,Table13[Booked],"YES")</f>
        <v>82</v>
      </c>
      <c r="S13">
        <f>SUMIFS(Table13[Duration],Table13[Rental],Q13,Table13[Booked],"yes")</f>
        <v>215</v>
      </c>
      <c r="T13">
        <f>SUMIFS(Table13[Occupation],Table13[Rental],Q13,Table13[Booked],"yes")</f>
        <v>359</v>
      </c>
      <c r="U13" s="17">
        <f>SUMIFS(Table13[Revenue],Table13[Rental],Q13,Table13[Booked],"yes")</f>
        <v>24864.37</v>
      </c>
      <c r="V13" s="17">
        <f t="shared" si="0"/>
        <v>115.64823255813953</v>
      </c>
      <c r="Y13" t="str">
        <v>Keji's 5 Star Short let Apartment in Lekki</v>
      </c>
      <c r="Z13">
        <v>72</v>
      </c>
    </row>
    <row r="14" spans="1:26" x14ac:dyDescent="0.25">
      <c r="A14" t="s">
        <v>27</v>
      </c>
      <c r="B14" t="s">
        <v>28</v>
      </c>
      <c r="C14" t="s">
        <v>2226</v>
      </c>
      <c r="D14" s="1">
        <v>43876</v>
      </c>
      <c r="E14" s="1">
        <v>43877</v>
      </c>
      <c r="F14" s="1">
        <v>43874</v>
      </c>
      <c r="G14" s="2">
        <v>0.33333333333333331</v>
      </c>
      <c r="H14" s="3">
        <v>1</v>
      </c>
      <c r="I14" t="s">
        <v>26</v>
      </c>
      <c r="J14" s="12" t="s">
        <v>18</v>
      </c>
      <c r="K14">
        <v>2</v>
      </c>
      <c r="L14">
        <v>0</v>
      </c>
      <c r="M14" t="s">
        <v>19</v>
      </c>
      <c r="N14" s="6">
        <v>96</v>
      </c>
      <c r="O14">
        <f>Table13[[#This Row],[Adults]]+Table13[[#This Row],[Children]]</f>
        <v>2</v>
      </c>
      <c r="P14">
        <f>_xlfn.DAYS(Table13[[#This Row],[Depart]],Table13[[#This Row],[Arrive]])</f>
        <v>1</v>
      </c>
      <c r="Q14" t="str">
        <v>Phiola's 5 Star Short Let Apartment in Lekki</v>
      </c>
      <c r="R14">
        <f>COUNTIFS(Table13[Rental],Q14,Table13[Booked],"YES")</f>
        <v>63</v>
      </c>
      <c r="S14">
        <f>SUMIFS(Table13[Duration],Table13[Rental],Q14,Table13[Booked],"yes")</f>
        <v>174</v>
      </c>
      <c r="T14">
        <f>SUMIFS(Table13[Occupation],Table13[Rental],Q14,Table13[Booked],"yes")</f>
        <v>286</v>
      </c>
      <c r="U14" s="17">
        <f>SUMIFS(Table13[Revenue],Table13[Rental],Q14,Table13[Booked],"yes")</f>
        <v>19536.650000000001</v>
      </c>
      <c r="V14" s="17">
        <f t="shared" si="0"/>
        <v>112.27959770114943</v>
      </c>
      <c r="Y14" t="str">
        <v>Phiola's 5 Star Short Let Apartment in Lekki</v>
      </c>
      <c r="Z14">
        <v>63</v>
      </c>
    </row>
    <row r="15" spans="1:26" x14ac:dyDescent="0.25">
      <c r="A15" t="s">
        <v>29</v>
      </c>
      <c r="B15" t="s">
        <v>30</v>
      </c>
      <c r="C15" t="s">
        <v>2223</v>
      </c>
      <c r="D15" s="1">
        <v>43877</v>
      </c>
      <c r="E15" s="1">
        <v>43883</v>
      </c>
      <c r="F15" s="1">
        <v>43874</v>
      </c>
      <c r="G15" s="2">
        <v>0.33333333333333331</v>
      </c>
      <c r="H15" s="3">
        <v>1</v>
      </c>
      <c r="I15" t="s">
        <v>26</v>
      </c>
      <c r="J15" s="12" t="s">
        <v>18</v>
      </c>
      <c r="K15">
        <v>1</v>
      </c>
      <c r="L15">
        <v>0</v>
      </c>
      <c r="M15" t="s">
        <v>19</v>
      </c>
      <c r="N15" s="6">
        <v>637</v>
      </c>
      <c r="O15">
        <f>Table13[[#This Row],[Adults]]+Table13[[#This Row],[Children]]</f>
        <v>1</v>
      </c>
      <c r="P15">
        <f>_xlfn.DAYS(Table13[[#This Row],[Depart]],Table13[[#This Row],[Arrive]])</f>
        <v>6</v>
      </c>
      <c r="Q15" t="str">
        <v>Keji's 5 Star Short let Apartment in Lekki</v>
      </c>
      <c r="R15">
        <f>COUNTIFS(Table13[Rental],Q15,Table13[Booked],"YES")</f>
        <v>72</v>
      </c>
      <c r="S15">
        <f>SUMIFS(Table13[Duration],Table13[Rental],Q15,Table13[Booked],"yes")</f>
        <v>177</v>
      </c>
      <c r="T15">
        <f>SUMIFS(Table13[Occupation],Table13[Rental],Q15,Table13[Booked],"yes")</f>
        <v>358</v>
      </c>
      <c r="U15" s="17">
        <f>SUMIFS(Table13[Revenue],Table13[Rental],Q15,Table13[Booked],"yes")</f>
        <v>20531.5</v>
      </c>
      <c r="V15" s="17">
        <f t="shared" si="0"/>
        <v>115.99717514124293</v>
      </c>
      <c r="Y15" t="str">
        <v>Zoe's 5 Star Short let Apartment in Lekki</v>
      </c>
      <c r="Z15">
        <v>53</v>
      </c>
    </row>
    <row r="16" spans="1:26" x14ac:dyDescent="0.25">
      <c r="A16" t="s">
        <v>36</v>
      </c>
      <c r="B16" t="s">
        <v>37</v>
      </c>
      <c r="C16" t="s">
        <v>2223</v>
      </c>
      <c r="D16" s="1">
        <v>43879</v>
      </c>
      <c r="E16" s="1">
        <v>43881</v>
      </c>
      <c r="F16" s="1">
        <v>43876</v>
      </c>
      <c r="G16" s="2">
        <v>0.33333333333333331</v>
      </c>
      <c r="H16" s="3">
        <v>1</v>
      </c>
      <c r="I16" t="s">
        <v>26</v>
      </c>
      <c r="J16" s="12" t="s">
        <v>18</v>
      </c>
      <c r="K16">
        <v>1</v>
      </c>
      <c r="L16">
        <v>0</v>
      </c>
      <c r="M16" t="s">
        <v>19</v>
      </c>
      <c r="N16" s="6">
        <v>212</v>
      </c>
      <c r="O16">
        <f>Table13[[#This Row],[Adults]]+Table13[[#This Row],[Children]]</f>
        <v>1</v>
      </c>
      <c r="P16">
        <f>_xlfn.DAYS(Table13[[#This Row],[Depart]],Table13[[#This Row],[Arrive]])</f>
        <v>2</v>
      </c>
      <c r="Q16" t="str">
        <v>Tiara's Luxury Home Away From Home</v>
      </c>
      <c r="R16">
        <f>COUNTIFS(Table13[Rental],Q16,Table13[Booked],"YES")</f>
        <v>28</v>
      </c>
      <c r="S16">
        <f>SUMIFS(Table13[Duration],Table13[Rental],Q16,Table13[Booked],"yes")</f>
        <v>110</v>
      </c>
      <c r="T16">
        <f>SUMIFS(Table13[Occupation],Table13[Rental],Q16,Table13[Booked],"yes")</f>
        <v>139</v>
      </c>
      <c r="U16" s="17">
        <f>SUMIFS(Table13[Revenue],Table13[Rental],Q16,Table13[Booked],"yes")</f>
        <v>20667.96</v>
      </c>
      <c r="V16" s="17">
        <f t="shared" si="0"/>
        <v>187.89054545454545</v>
      </c>
      <c r="Y16" t="str">
        <v>Tiara's Luxury Home Away From Home</v>
      </c>
      <c r="Z16">
        <v>28</v>
      </c>
    </row>
    <row r="17" spans="1:26" x14ac:dyDescent="0.25">
      <c r="A17" t="s">
        <v>31</v>
      </c>
      <c r="B17" t="s">
        <v>32</v>
      </c>
      <c r="C17" t="s">
        <v>2223</v>
      </c>
      <c r="D17" s="1">
        <v>43879</v>
      </c>
      <c r="E17" s="1">
        <v>43880</v>
      </c>
      <c r="F17" s="1">
        <v>43879</v>
      </c>
      <c r="G17" s="2">
        <v>0.33333333333333331</v>
      </c>
      <c r="H17" s="3">
        <v>1</v>
      </c>
      <c r="I17" t="s">
        <v>22</v>
      </c>
      <c r="J17" s="12" t="s">
        <v>23</v>
      </c>
      <c r="K17">
        <v>2</v>
      </c>
      <c r="L17">
        <v>1</v>
      </c>
      <c r="M17" t="s">
        <v>19</v>
      </c>
      <c r="N17" s="6">
        <v>110</v>
      </c>
      <c r="O17">
        <f>Table13[[#This Row],[Adults]]+Table13[[#This Row],[Children]]</f>
        <v>3</v>
      </c>
      <c r="P17">
        <f>_xlfn.DAYS(Table13[[#This Row],[Depart]],Table13[[#This Row],[Arrive]])</f>
        <v>1</v>
      </c>
      <c r="Q17" t="str">
        <v>Zoe's 5 Star Short let Apartment in Lekki</v>
      </c>
      <c r="R17">
        <f>COUNTIFS(Table13[Rental],Q17,Table13[Booked],"YES")</f>
        <v>53</v>
      </c>
      <c r="S17">
        <f>SUMIFS(Table13[Duration],Table13[Rental],Q17,Table13[Booked],"yes")</f>
        <v>152</v>
      </c>
      <c r="T17">
        <f>SUMIFS(Table13[Occupation],Table13[Rental],Q17,Table13[Booked],"yes")</f>
        <v>238</v>
      </c>
      <c r="U17" s="17">
        <f>SUMIFS(Table13[Revenue],Table13[Rental],Q17,Table13[Booked],"yes")</f>
        <v>17568.25</v>
      </c>
      <c r="V17" s="17">
        <f t="shared" si="0"/>
        <v>115.58059210526316</v>
      </c>
      <c r="Y17" t="str">
        <v>Achikare 's Luxury Home Away from Home</v>
      </c>
      <c r="Z17">
        <v>10</v>
      </c>
    </row>
    <row r="18" spans="1:26" x14ac:dyDescent="0.25">
      <c r="A18" t="s">
        <v>44</v>
      </c>
      <c r="B18" t="s">
        <v>45</v>
      </c>
      <c r="C18" t="s">
        <v>2227</v>
      </c>
      <c r="D18" s="1">
        <v>43879</v>
      </c>
      <c r="E18" s="1">
        <v>43880</v>
      </c>
      <c r="F18" s="1">
        <v>43879</v>
      </c>
      <c r="G18" s="2">
        <v>0.58333333333333337</v>
      </c>
      <c r="H18" s="2">
        <v>0.45833333333333331</v>
      </c>
      <c r="I18" t="s">
        <v>26</v>
      </c>
      <c r="J18" s="12" t="s">
        <v>18</v>
      </c>
      <c r="K18">
        <v>4</v>
      </c>
      <c r="L18">
        <v>0</v>
      </c>
      <c r="M18" t="s">
        <v>19</v>
      </c>
      <c r="N18" s="6">
        <v>85</v>
      </c>
      <c r="O18">
        <f>Table13[[#This Row],[Adults]]+Table13[[#This Row],[Children]]</f>
        <v>4</v>
      </c>
      <c r="P18">
        <f>_xlfn.DAYS(Table13[[#This Row],[Depart]],Table13[[#This Row],[Arrive]])</f>
        <v>1</v>
      </c>
      <c r="Q18" t="str">
        <v>Achikare 's Luxury Home Away from Home</v>
      </c>
      <c r="R18">
        <f>COUNTIFS(Table13[Rental],Q18,Table13[Booked],"YES")</f>
        <v>10</v>
      </c>
      <c r="S18">
        <f>SUMIFS(Table13[Duration],Table13[Rental],Q18,Table13[Booked],"yes")</f>
        <v>74</v>
      </c>
      <c r="T18">
        <f>SUMIFS(Table13[Occupation],Table13[Rental],Q18,Table13[Booked],"yes")</f>
        <v>51</v>
      </c>
      <c r="U18" s="17">
        <f>SUMIFS(Table13[Revenue],Table13[Rental],Q18,Table13[Booked],"yes")</f>
        <v>15507.950000000003</v>
      </c>
      <c r="V18" s="17">
        <f t="shared" si="0"/>
        <v>209.56689189189191</v>
      </c>
      <c r="Y18" t="str">
        <v>Sophia Luxury Home</v>
      </c>
      <c r="Z18">
        <v>2</v>
      </c>
    </row>
    <row r="19" spans="1:26" x14ac:dyDescent="0.25">
      <c r="A19" t="s">
        <v>40</v>
      </c>
      <c r="B19" t="s">
        <v>41</v>
      </c>
      <c r="C19" t="s">
        <v>2224</v>
      </c>
      <c r="D19" s="1">
        <v>43880</v>
      </c>
      <c r="E19" s="1">
        <v>43881</v>
      </c>
      <c r="F19" s="1">
        <v>43879</v>
      </c>
      <c r="G19" s="2">
        <v>0.33333333333333331</v>
      </c>
      <c r="H19" s="3">
        <v>1</v>
      </c>
      <c r="I19" t="s">
        <v>22</v>
      </c>
      <c r="J19" s="12" t="s">
        <v>23</v>
      </c>
      <c r="K19">
        <v>2</v>
      </c>
      <c r="L19">
        <v>1</v>
      </c>
      <c r="M19" t="s">
        <v>19</v>
      </c>
      <c r="N19" s="6">
        <v>110</v>
      </c>
      <c r="O19">
        <f>Table13[[#This Row],[Adults]]+Table13[[#This Row],[Children]]</f>
        <v>3</v>
      </c>
      <c r="P19">
        <f>_xlfn.DAYS(Table13[[#This Row],[Depart]],Table13[[#This Row],[Arrive]])</f>
        <v>1</v>
      </c>
    </row>
    <row r="20" spans="1:26" x14ac:dyDescent="0.25">
      <c r="A20" t="s">
        <v>36</v>
      </c>
      <c r="B20" t="s">
        <v>37</v>
      </c>
      <c r="C20" t="s">
        <v>2224</v>
      </c>
      <c r="D20" s="1">
        <v>43881</v>
      </c>
      <c r="E20" s="1">
        <v>43883</v>
      </c>
      <c r="F20" s="1">
        <v>43880</v>
      </c>
      <c r="G20" s="2">
        <v>0.33333333333333331</v>
      </c>
      <c r="H20" s="3">
        <v>1</v>
      </c>
      <c r="I20" t="s">
        <v>26</v>
      </c>
      <c r="J20" s="12" t="s">
        <v>18</v>
      </c>
      <c r="K20">
        <v>1</v>
      </c>
      <c r="L20">
        <v>0</v>
      </c>
      <c r="M20" t="s">
        <v>19</v>
      </c>
      <c r="N20" s="6">
        <v>212</v>
      </c>
      <c r="O20">
        <f>Table13[[#This Row],[Adults]]+Table13[[#This Row],[Children]]</f>
        <v>1</v>
      </c>
      <c r="P20">
        <f>_xlfn.DAYS(Table13[[#This Row],[Depart]],Table13[[#This Row],[Arrive]])</f>
        <v>2</v>
      </c>
      <c r="Q20" t="str" cm="1">
        <f t="array" ref="Q20:Q24">_xlfn.UNIQUE(Table13[Source])</f>
        <v>tokeet</v>
      </c>
      <c r="R20">
        <f>COUNTIFS(Table13[Source],Q20,Table13[Booked],"YES")</f>
        <v>389</v>
      </c>
    </row>
    <row r="21" spans="1:26" x14ac:dyDescent="0.25">
      <c r="A21" t="s">
        <v>31</v>
      </c>
      <c r="B21" t="s">
        <v>32</v>
      </c>
      <c r="C21" t="s">
        <v>2224</v>
      </c>
      <c r="D21" s="1">
        <v>43881</v>
      </c>
      <c r="E21" s="1">
        <v>43883</v>
      </c>
      <c r="F21" s="1">
        <v>43880</v>
      </c>
      <c r="G21" s="2">
        <v>0.33333333333333331</v>
      </c>
      <c r="H21" s="3">
        <v>1</v>
      </c>
      <c r="I21" t="s">
        <v>22</v>
      </c>
      <c r="J21" s="12" t="s">
        <v>23</v>
      </c>
      <c r="K21">
        <v>2</v>
      </c>
      <c r="L21">
        <v>0</v>
      </c>
      <c r="M21" t="s">
        <v>19</v>
      </c>
      <c r="N21" s="6">
        <v>110</v>
      </c>
      <c r="O21">
        <f>Table13[[#This Row],[Adults]]+Table13[[#This Row],[Children]]</f>
        <v>2</v>
      </c>
      <c r="P21">
        <f>_xlfn.DAYS(Table13[[#This Row],[Depart]],Table13[[#This Row],[Arrive]])</f>
        <v>2</v>
      </c>
      <c r="Q21" t="str">
        <v>airbnb</v>
      </c>
      <c r="R21">
        <f>COUNTIFS(Table13[Source],Q21,Table13[Booked],"YES")</f>
        <v>2</v>
      </c>
    </row>
    <row r="22" spans="1:26" x14ac:dyDescent="0.25">
      <c r="A22" t="s">
        <v>58</v>
      </c>
      <c r="B22" t="s">
        <v>59</v>
      </c>
      <c r="C22" t="s">
        <v>2223</v>
      </c>
      <c r="D22" s="1">
        <v>43884</v>
      </c>
      <c r="E22" s="1">
        <v>43886</v>
      </c>
      <c r="F22" s="1">
        <v>43883</v>
      </c>
      <c r="G22" s="2">
        <v>0.33333333333333331</v>
      </c>
      <c r="H22" s="3">
        <v>1</v>
      </c>
      <c r="I22" t="s">
        <v>26</v>
      </c>
      <c r="J22" s="12" t="s">
        <v>18</v>
      </c>
      <c r="K22">
        <v>1</v>
      </c>
      <c r="L22">
        <v>0</v>
      </c>
      <c r="M22" t="s">
        <v>19</v>
      </c>
      <c r="N22" s="6">
        <v>212</v>
      </c>
      <c r="O22">
        <f>Table13[[#This Row],[Adults]]+Table13[[#This Row],[Children]]</f>
        <v>1</v>
      </c>
      <c r="P22">
        <f>_xlfn.DAYS(Table13[[#This Row],[Depart]],Table13[[#This Row],[Arrive]])</f>
        <v>2</v>
      </c>
      <c r="Q22" t="str">
        <v>Booking.com</v>
      </c>
      <c r="R22">
        <f>COUNTIFS(Table13[Source],Q22,Table13[Booked],"YES")</f>
        <v>0</v>
      </c>
    </row>
    <row r="23" spans="1:26" x14ac:dyDescent="0.25">
      <c r="A23" t="s">
        <v>66</v>
      </c>
      <c r="B23" t="s">
        <v>67</v>
      </c>
      <c r="C23" t="s">
        <v>2223</v>
      </c>
      <c r="D23" s="1">
        <v>43884</v>
      </c>
      <c r="E23" s="1">
        <v>43886</v>
      </c>
      <c r="F23" s="1">
        <v>43883</v>
      </c>
      <c r="G23" s="2">
        <v>0.33333333333333331</v>
      </c>
      <c r="H23" s="3">
        <v>1</v>
      </c>
      <c r="I23" t="s">
        <v>22</v>
      </c>
      <c r="J23" s="12" t="s">
        <v>23</v>
      </c>
      <c r="K23">
        <v>3</v>
      </c>
      <c r="L23">
        <v>0</v>
      </c>
      <c r="M23" t="s">
        <v>19</v>
      </c>
      <c r="N23" s="6">
        <v>220</v>
      </c>
      <c r="O23">
        <f>Table13[[#This Row],[Adults]]+Table13[[#This Row],[Children]]</f>
        <v>3</v>
      </c>
      <c r="P23">
        <f>_xlfn.DAYS(Table13[[#This Row],[Depart]],Table13[[#This Row],[Arrive]])</f>
        <v>2</v>
      </c>
      <c r="Q23" t="str">
        <v>airbnbapiv2</v>
      </c>
      <c r="R23">
        <f>COUNTIFS(Table13[Source],Q23,Table13[Booked],"YES")</f>
        <v>1</v>
      </c>
    </row>
    <row r="24" spans="1:26" x14ac:dyDescent="0.25">
      <c r="A24" t="s">
        <v>54</v>
      </c>
      <c r="B24" t="s">
        <v>55</v>
      </c>
      <c r="C24" t="s">
        <v>2223</v>
      </c>
      <c r="D24" s="1">
        <v>43885</v>
      </c>
      <c r="E24" s="1">
        <v>43887</v>
      </c>
      <c r="F24" s="1">
        <v>43882</v>
      </c>
      <c r="G24" s="2">
        <v>0.33333333333333331</v>
      </c>
      <c r="H24" s="3">
        <v>1</v>
      </c>
      <c r="I24" t="s">
        <v>26</v>
      </c>
      <c r="J24" s="12" t="s">
        <v>18</v>
      </c>
      <c r="K24">
        <v>4</v>
      </c>
      <c r="L24">
        <v>0</v>
      </c>
      <c r="M24" t="s">
        <v>19</v>
      </c>
      <c r="N24" s="6">
        <v>212</v>
      </c>
      <c r="O24">
        <f>Table13[[#This Row],[Adults]]+Table13[[#This Row],[Children]]</f>
        <v>4</v>
      </c>
      <c r="P24">
        <f>_xlfn.DAYS(Table13[[#This Row],[Depart]],Table13[[#This Row],[Arrive]])</f>
        <v>2</v>
      </c>
      <c r="Q24" t="str">
        <v>Agoda.com</v>
      </c>
      <c r="R24">
        <f>COUNTIFS(Table13[Source],Q24,Table13[Booked],"YES")</f>
        <v>0</v>
      </c>
    </row>
    <row r="25" spans="1:26" x14ac:dyDescent="0.25">
      <c r="A25" t="s">
        <v>42</v>
      </c>
      <c r="B25" t="s">
        <v>43</v>
      </c>
      <c r="C25" t="s">
        <v>2223</v>
      </c>
      <c r="D25" s="1">
        <v>43886</v>
      </c>
      <c r="E25" s="1">
        <v>43887</v>
      </c>
      <c r="F25" s="1">
        <v>43885</v>
      </c>
      <c r="G25" s="2">
        <v>0.33333333333333331</v>
      </c>
      <c r="H25" s="3">
        <v>1</v>
      </c>
      <c r="I25" t="s">
        <v>22</v>
      </c>
      <c r="J25" s="12" t="s">
        <v>23</v>
      </c>
      <c r="K25">
        <v>3</v>
      </c>
      <c r="L25">
        <v>0</v>
      </c>
      <c r="M25" t="s">
        <v>19</v>
      </c>
      <c r="N25" s="6">
        <v>110</v>
      </c>
      <c r="O25">
        <f>Table13[[#This Row],[Adults]]+Table13[[#This Row],[Children]]</f>
        <v>3</v>
      </c>
      <c r="P25">
        <f>_xlfn.DAYS(Table13[[#This Row],[Depart]],Table13[[#This Row],[Arrive]])</f>
        <v>1</v>
      </c>
    </row>
    <row r="26" spans="1:26" x14ac:dyDescent="0.25">
      <c r="A26" t="s">
        <v>38</v>
      </c>
      <c r="B26" t="s">
        <v>39</v>
      </c>
      <c r="C26" t="s">
        <v>2226</v>
      </c>
      <c r="D26" s="1">
        <v>43888</v>
      </c>
      <c r="E26" s="1">
        <v>43889</v>
      </c>
      <c r="F26" s="1">
        <v>43875</v>
      </c>
      <c r="G26" s="2">
        <v>0.33333333333333331</v>
      </c>
      <c r="H26" s="3">
        <v>1</v>
      </c>
      <c r="I26" t="s">
        <v>26</v>
      </c>
      <c r="J26" s="12" t="s">
        <v>18</v>
      </c>
      <c r="K26">
        <v>1</v>
      </c>
      <c r="L26">
        <v>0</v>
      </c>
      <c r="M26" t="s">
        <v>19</v>
      </c>
      <c r="N26" s="6">
        <v>106</v>
      </c>
      <c r="O26">
        <f>Table13[[#This Row],[Adults]]+Table13[[#This Row],[Children]]</f>
        <v>1</v>
      </c>
      <c r="P26">
        <f>_xlfn.DAYS(Table13[[#This Row],[Depart]],Table13[[#This Row],[Arrive]])</f>
        <v>1</v>
      </c>
    </row>
    <row r="27" spans="1:26" x14ac:dyDescent="0.25">
      <c r="A27" t="s">
        <v>42</v>
      </c>
      <c r="B27" t="s">
        <v>43</v>
      </c>
      <c r="C27" t="s">
        <v>2223</v>
      </c>
      <c r="D27" s="1">
        <v>43888</v>
      </c>
      <c r="E27" s="1">
        <v>43889</v>
      </c>
      <c r="F27" s="1">
        <v>43879</v>
      </c>
      <c r="G27" s="2">
        <v>0.33333333333333331</v>
      </c>
      <c r="H27" s="3">
        <v>1</v>
      </c>
      <c r="I27" t="s">
        <v>22</v>
      </c>
      <c r="J27" s="12" t="s">
        <v>18</v>
      </c>
      <c r="K27">
        <v>3</v>
      </c>
      <c r="L27">
        <v>0</v>
      </c>
      <c r="M27" t="s">
        <v>19</v>
      </c>
      <c r="N27" s="6">
        <v>110</v>
      </c>
      <c r="O27">
        <f>Table13[[#This Row],[Adults]]+Table13[[#This Row],[Children]]</f>
        <v>3</v>
      </c>
      <c r="P27">
        <f>_xlfn.DAYS(Table13[[#This Row],[Depart]],Table13[[#This Row],[Arrive]])</f>
        <v>1</v>
      </c>
    </row>
    <row r="28" spans="1:26" x14ac:dyDescent="0.25">
      <c r="A28" t="s">
        <v>50</v>
      </c>
      <c r="B28" t="s">
        <v>51</v>
      </c>
      <c r="C28" t="s">
        <v>2226</v>
      </c>
      <c r="D28" s="1">
        <v>43888</v>
      </c>
      <c r="E28" s="1">
        <v>43889</v>
      </c>
      <c r="F28" s="1">
        <v>43880</v>
      </c>
      <c r="G28" s="2">
        <v>0.33333333333333331</v>
      </c>
      <c r="H28" s="3">
        <v>1</v>
      </c>
      <c r="I28" t="s">
        <v>26</v>
      </c>
      <c r="J28" s="12" t="s">
        <v>18</v>
      </c>
      <c r="K28">
        <v>1</v>
      </c>
      <c r="L28">
        <v>0</v>
      </c>
      <c r="M28" t="s">
        <v>19</v>
      </c>
      <c r="N28" s="6">
        <v>106</v>
      </c>
      <c r="O28">
        <f>Table13[[#This Row],[Adults]]+Table13[[#This Row],[Children]]</f>
        <v>1</v>
      </c>
      <c r="P28">
        <f>_xlfn.DAYS(Table13[[#This Row],[Depart]],Table13[[#This Row],[Arrive]])</f>
        <v>1</v>
      </c>
    </row>
    <row r="29" spans="1:26" x14ac:dyDescent="0.25">
      <c r="A29" t="s">
        <v>42</v>
      </c>
      <c r="B29" t="s">
        <v>43</v>
      </c>
      <c r="C29" t="s">
        <v>2223</v>
      </c>
      <c r="D29" s="1">
        <v>43889</v>
      </c>
      <c r="E29" s="1">
        <v>43890</v>
      </c>
      <c r="F29" s="1">
        <v>43879</v>
      </c>
      <c r="G29" s="2">
        <v>0.33333333333333331</v>
      </c>
      <c r="H29" s="3">
        <v>1</v>
      </c>
      <c r="I29" t="s">
        <v>22</v>
      </c>
      <c r="J29" s="12" t="s">
        <v>23</v>
      </c>
      <c r="K29">
        <v>2</v>
      </c>
      <c r="L29">
        <v>0</v>
      </c>
      <c r="M29" t="s">
        <v>19</v>
      </c>
      <c r="N29" s="6">
        <v>110</v>
      </c>
      <c r="O29">
        <f>Table13[[#This Row],[Adults]]+Table13[[#This Row],[Children]]</f>
        <v>2</v>
      </c>
      <c r="P29">
        <f>_xlfn.DAYS(Table13[[#This Row],[Depart]],Table13[[#This Row],[Arrive]])</f>
        <v>1</v>
      </c>
    </row>
    <row r="30" spans="1:26" x14ac:dyDescent="0.25">
      <c r="A30" t="s">
        <v>64</v>
      </c>
      <c r="B30" t="s">
        <v>65</v>
      </c>
      <c r="C30" t="s">
        <v>2226</v>
      </c>
      <c r="D30" s="1">
        <v>43889</v>
      </c>
      <c r="E30" s="1">
        <v>43890</v>
      </c>
      <c r="F30" s="1">
        <v>43884</v>
      </c>
      <c r="G30" s="2">
        <v>0.33333333333333331</v>
      </c>
      <c r="H30" s="3">
        <v>1</v>
      </c>
      <c r="I30" t="s">
        <v>22</v>
      </c>
      <c r="J30" s="12" t="s">
        <v>23</v>
      </c>
      <c r="K30">
        <v>3</v>
      </c>
      <c r="L30">
        <v>0</v>
      </c>
      <c r="M30" t="s">
        <v>19</v>
      </c>
      <c r="N30" s="6">
        <v>110</v>
      </c>
      <c r="O30">
        <f>Table13[[#This Row],[Adults]]+Table13[[#This Row],[Children]]</f>
        <v>3</v>
      </c>
      <c r="P30">
        <f>_xlfn.DAYS(Table13[[#This Row],[Depart]],Table13[[#This Row],[Arrive]])</f>
        <v>1</v>
      </c>
    </row>
    <row r="31" spans="1:26" x14ac:dyDescent="0.25">
      <c r="A31" t="s">
        <v>56</v>
      </c>
      <c r="B31" t="s">
        <v>57</v>
      </c>
      <c r="C31" t="s">
        <v>2225</v>
      </c>
      <c r="D31" s="1">
        <v>43890</v>
      </c>
      <c r="E31" s="1">
        <v>43894</v>
      </c>
      <c r="F31" s="1">
        <v>43880</v>
      </c>
      <c r="G31" s="2">
        <v>0.33333333333333331</v>
      </c>
      <c r="H31" s="3">
        <v>1</v>
      </c>
      <c r="I31" t="s">
        <v>22</v>
      </c>
      <c r="J31" s="12" t="s">
        <v>18</v>
      </c>
      <c r="K31">
        <v>4</v>
      </c>
      <c r="L31">
        <v>0</v>
      </c>
      <c r="M31" t="s">
        <v>19</v>
      </c>
      <c r="N31" s="6">
        <v>220</v>
      </c>
      <c r="O31">
        <f>Table13[[#This Row],[Adults]]+Table13[[#This Row],[Children]]</f>
        <v>4</v>
      </c>
      <c r="P31">
        <f>_xlfn.DAYS(Table13[[#This Row],[Depart]],Table13[[#This Row],[Arrive]])</f>
        <v>4</v>
      </c>
    </row>
    <row r="32" spans="1:26" x14ac:dyDescent="0.25">
      <c r="A32" t="s">
        <v>64</v>
      </c>
      <c r="B32" t="s">
        <v>65</v>
      </c>
      <c r="C32" t="s">
        <v>2226</v>
      </c>
      <c r="D32" s="1">
        <v>43890</v>
      </c>
      <c r="E32" s="1">
        <v>43891</v>
      </c>
      <c r="F32" s="1">
        <v>43884</v>
      </c>
      <c r="G32" s="2">
        <v>0.33333333333333331</v>
      </c>
      <c r="H32" s="3">
        <v>1</v>
      </c>
      <c r="I32" t="s">
        <v>22</v>
      </c>
      <c r="J32" s="12" t="s">
        <v>23</v>
      </c>
      <c r="K32">
        <v>3</v>
      </c>
      <c r="L32">
        <v>0</v>
      </c>
      <c r="M32" t="s">
        <v>19</v>
      </c>
      <c r="N32" s="6">
        <v>110</v>
      </c>
      <c r="O32">
        <f>Table13[[#This Row],[Adults]]+Table13[[#This Row],[Children]]</f>
        <v>3</v>
      </c>
      <c r="P32">
        <f>_xlfn.DAYS(Table13[[#This Row],[Depart]],Table13[[#This Row],[Arrive]])</f>
        <v>1</v>
      </c>
    </row>
    <row r="33" spans="1:16" x14ac:dyDescent="0.25">
      <c r="A33" t="s">
        <v>72</v>
      </c>
      <c r="B33" t="s">
        <v>73</v>
      </c>
      <c r="C33" t="s">
        <v>2223</v>
      </c>
      <c r="D33" s="1">
        <v>43890</v>
      </c>
      <c r="E33" s="1">
        <v>43891</v>
      </c>
      <c r="F33" s="1">
        <v>43885</v>
      </c>
      <c r="G33" s="2">
        <v>0.33333333333333331</v>
      </c>
      <c r="H33" s="3">
        <v>1</v>
      </c>
      <c r="I33" t="s">
        <v>26</v>
      </c>
      <c r="J33" s="12" t="s">
        <v>18</v>
      </c>
      <c r="K33">
        <v>1</v>
      </c>
      <c r="L33">
        <v>0</v>
      </c>
      <c r="M33" t="s">
        <v>19</v>
      </c>
      <c r="N33" s="6">
        <v>106</v>
      </c>
      <c r="O33">
        <f>Table13[[#This Row],[Adults]]+Table13[[#This Row],[Children]]</f>
        <v>1</v>
      </c>
      <c r="P33">
        <f>_xlfn.DAYS(Table13[[#This Row],[Depart]],Table13[[#This Row],[Arrive]])</f>
        <v>1</v>
      </c>
    </row>
    <row r="34" spans="1:16" x14ac:dyDescent="0.25">
      <c r="A34" t="s">
        <v>80</v>
      </c>
      <c r="B34" t="s">
        <v>81</v>
      </c>
      <c r="C34" t="s">
        <v>2223</v>
      </c>
      <c r="D34" s="1">
        <v>43890</v>
      </c>
      <c r="E34" s="1">
        <v>43891</v>
      </c>
      <c r="F34" s="1">
        <v>43889</v>
      </c>
      <c r="G34" s="2">
        <v>0.33333333333333331</v>
      </c>
      <c r="H34" s="3">
        <v>1</v>
      </c>
      <c r="I34" t="s">
        <v>26</v>
      </c>
      <c r="J34" s="12" t="s">
        <v>18</v>
      </c>
      <c r="K34">
        <v>4</v>
      </c>
      <c r="L34">
        <v>0</v>
      </c>
      <c r="M34" t="s">
        <v>19</v>
      </c>
      <c r="N34" s="6">
        <v>106</v>
      </c>
      <c r="O34">
        <f>Table13[[#This Row],[Adults]]+Table13[[#This Row],[Children]]</f>
        <v>4</v>
      </c>
      <c r="P34">
        <f>_xlfn.DAYS(Table13[[#This Row],[Depart]],Table13[[#This Row],[Arrive]])</f>
        <v>1</v>
      </c>
    </row>
    <row r="35" spans="1:16" x14ac:dyDescent="0.25">
      <c r="A35" t="s">
        <v>56</v>
      </c>
      <c r="B35" t="s">
        <v>57</v>
      </c>
      <c r="C35" t="s">
        <v>2225</v>
      </c>
      <c r="D35" s="1">
        <v>43890</v>
      </c>
      <c r="E35" s="1">
        <v>43894</v>
      </c>
      <c r="F35" s="1">
        <v>43889</v>
      </c>
      <c r="G35" s="2">
        <v>0.33333333333333331</v>
      </c>
      <c r="H35" s="3">
        <v>1</v>
      </c>
      <c r="I35" t="s">
        <v>22</v>
      </c>
      <c r="J35" s="12" t="s">
        <v>23</v>
      </c>
      <c r="K35">
        <v>3</v>
      </c>
      <c r="L35">
        <v>0</v>
      </c>
      <c r="M35" t="s">
        <v>19</v>
      </c>
      <c r="N35" s="6">
        <v>96</v>
      </c>
      <c r="O35">
        <f>Table13[[#This Row],[Adults]]+Table13[[#This Row],[Children]]</f>
        <v>3</v>
      </c>
      <c r="P35">
        <f>_xlfn.DAYS(Table13[[#This Row],[Depart]],Table13[[#This Row],[Arrive]])</f>
        <v>4</v>
      </c>
    </row>
    <row r="36" spans="1:16" x14ac:dyDescent="0.25">
      <c r="A36" t="s">
        <v>86</v>
      </c>
      <c r="B36" t="s">
        <v>87</v>
      </c>
      <c r="C36" t="s">
        <v>2223</v>
      </c>
      <c r="D36" s="1">
        <v>43890</v>
      </c>
      <c r="E36" s="1">
        <v>43892</v>
      </c>
      <c r="F36" s="1">
        <v>43890</v>
      </c>
      <c r="G36" s="2">
        <v>0.33333333333333331</v>
      </c>
      <c r="H36" s="3">
        <v>1</v>
      </c>
      <c r="I36" t="s">
        <v>22</v>
      </c>
      <c r="J36" s="12" t="s">
        <v>23</v>
      </c>
      <c r="K36">
        <v>2</v>
      </c>
      <c r="L36">
        <v>0</v>
      </c>
      <c r="M36" t="s">
        <v>19</v>
      </c>
      <c r="N36" s="6">
        <v>220</v>
      </c>
      <c r="O36">
        <f>Table13[[#This Row],[Adults]]+Table13[[#This Row],[Children]]</f>
        <v>2</v>
      </c>
      <c r="P36">
        <f>_xlfn.DAYS(Table13[[#This Row],[Depart]],Table13[[#This Row],[Arrive]])</f>
        <v>2</v>
      </c>
    </row>
    <row r="37" spans="1:16" x14ac:dyDescent="0.25">
      <c r="A37" t="s">
        <v>801</v>
      </c>
      <c r="B37" t="s">
        <v>802</v>
      </c>
      <c r="C37" t="s">
        <v>2223</v>
      </c>
      <c r="D37" s="1">
        <v>43890</v>
      </c>
      <c r="E37" s="1">
        <v>43892</v>
      </c>
      <c r="F37" s="1">
        <v>43890</v>
      </c>
      <c r="G37" s="2">
        <v>0.33333333333333331</v>
      </c>
      <c r="H37" s="3">
        <v>1</v>
      </c>
      <c r="I37" t="s">
        <v>26</v>
      </c>
      <c r="J37" s="12" t="s">
        <v>18</v>
      </c>
      <c r="K37">
        <v>3</v>
      </c>
      <c r="L37">
        <v>0</v>
      </c>
      <c r="M37" t="s">
        <v>19</v>
      </c>
      <c r="N37" s="6">
        <v>212</v>
      </c>
      <c r="O37">
        <f>Table13[[#This Row],[Adults]]+Table13[[#This Row],[Children]]</f>
        <v>3</v>
      </c>
      <c r="P37">
        <f>_xlfn.DAYS(Table13[[#This Row],[Depart]],Table13[[#This Row],[Arrive]])</f>
        <v>2</v>
      </c>
    </row>
    <row r="38" spans="1:16" x14ac:dyDescent="0.25">
      <c r="A38" t="s">
        <v>68</v>
      </c>
      <c r="B38" t="s">
        <v>69</v>
      </c>
      <c r="C38" t="s">
        <v>2225</v>
      </c>
      <c r="D38" s="1">
        <v>43891</v>
      </c>
      <c r="E38" s="1">
        <v>43897</v>
      </c>
      <c r="F38" s="1">
        <v>43885</v>
      </c>
      <c r="G38" s="2">
        <v>0.33333333333333331</v>
      </c>
      <c r="H38" s="3">
        <v>1</v>
      </c>
      <c r="I38" t="s">
        <v>26</v>
      </c>
      <c r="J38" s="12" t="s">
        <v>18</v>
      </c>
      <c r="K38">
        <v>1</v>
      </c>
      <c r="L38">
        <v>0</v>
      </c>
      <c r="M38" t="s">
        <v>19</v>
      </c>
      <c r="N38" s="6">
        <v>656</v>
      </c>
      <c r="O38">
        <f>Table13[[#This Row],[Adults]]+Table13[[#This Row],[Children]]</f>
        <v>1</v>
      </c>
      <c r="P38">
        <f>_xlfn.DAYS(Table13[[#This Row],[Depart]],Table13[[#This Row],[Arrive]])</f>
        <v>6</v>
      </c>
    </row>
    <row r="39" spans="1:16" x14ac:dyDescent="0.25">
      <c r="A39" t="s">
        <v>90</v>
      </c>
      <c r="B39" t="s">
        <v>91</v>
      </c>
      <c r="C39" t="s">
        <v>2223</v>
      </c>
      <c r="D39" s="1">
        <v>43892</v>
      </c>
      <c r="E39" s="1">
        <v>43893</v>
      </c>
      <c r="F39" s="1">
        <v>43892</v>
      </c>
      <c r="G39" s="2">
        <v>0.33333333333333331</v>
      </c>
      <c r="H39" s="3">
        <v>1</v>
      </c>
      <c r="I39" t="s">
        <v>22</v>
      </c>
      <c r="J39" s="12" t="s">
        <v>23</v>
      </c>
      <c r="K39">
        <v>2</v>
      </c>
      <c r="L39">
        <v>0</v>
      </c>
      <c r="M39" t="s">
        <v>19</v>
      </c>
      <c r="N39" s="6">
        <v>110</v>
      </c>
      <c r="O39">
        <f>Table13[[#This Row],[Adults]]+Table13[[#This Row],[Children]]</f>
        <v>2</v>
      </c>
      <c r="P39">
        <f>_xlfn.DAYS(Table13[[#This Row],[Depart]],Table13[[#This Row],[Arrive]])</f>
        <v>1</v>
      </c>
    </row>
    <row r="40" spans="1:16" x14ac:dyDescent="0.25">
      <c r="A40" t="s">
        <v>98</v>
      </c>
      <c r="B40" t="s">
        <v>99</v>
      </c>
      <c r="C40" t="s">
        <v>2225</v>
      </c>
      <c r="D40" s="1">
        <v>43895</v>
      </c>
      <c r="E40" s="1">
        <v>43897</v>
      </c>
      <c r="F40" s="1">
        <v>43895</v>
      </c>
      <c r="G40" s="2">
        <v>0.33333333333333331</v>
      </c>
      <c r="H40" s="3">
        <v>1</v>
      </c>
      <c r="I40" t="s">
        <v>22</v>
      </c>
      <c r="J40" s="12" t="s">
        <v>23</v>
      </c>
      <c r="K40">
        <v>2</v>
      </c>
      <c r="L40">
        <v>0</v>
      </c>
      <c r="M40" t="s">
        <v>19</v>
      </c>
      <c r="N40" s="6">
        <v>220</v>
      </c>
      <c r="O40">
        <f>Table13[[#This Row],[Adults]]+Table13[[#This Row],[Children]]</f>
        <v>2</v>
      </c>
      <c r="P40">
        <f>_xlfn.DAYS(Table13[[#This Row],[Depart]],Table13[[#This Row],[Arrive]])</f>
        <v>2</v>
      </c>
    </row>
    <row r="41" spans="1:16" x14ac:dyDescent="0.25">
      <c r="A41" t="s">
        <v>60</v>
      </c>
      <c r="B41" t="s">
        <v>61</v>
      </c>
      <c r="C41" t="s">
        <v>2223</v>
      </c>
      <c r="D41" s="1">
        <v>43897</v>
      </c>
      <c r="E41" s="1">
        <v>43905</v>
      </c>
      <c r="F41" s="1">
        <v>43882</v>
      </c>
      <c r="G41" s="2">
        <v>0.33333333333333331</v>
      </c>
      <c r="H41" s="3">
        <v>1</v>
      </c>
      <c r="I41" t="s">
        <v>26</v>
      </c>
      <c r="J41" s="12" t="s">
        <v>18</v>
      </c>
      <c r="K41">
        <v>1</v>
      </c>
      <c r="L41">
        <v>0</v>
      </c>
      <c r="M41" t="s">
        <v>19</v>
      </c>
      <c r="N41" s="6">
        <v>849</v>
      </c>
      <c r="O41">
        <f>Table13[[#This Row],[Adults]]+Table13[[#This Row],[Children]]</f>
        <v>1</v>
      </c>
      <c r="P41">
        <f>_xlfn.DAYS(Table13[[#This Row],[Depart]],Table13[[#This Row],[Arrive]])</f>
        <v>8</v>
      </c>
    </row>
    <row r="42" spans="1:16" x14ac:dyDescent="0.25">
      <c r="A42" t="s">
        <v>96</v>
      </c>
      <c r="B42" t="s">
        <v>97</v>
      </c>
      <c r="C42" t="s">
        <v>2225</v>
      </c>
      <c r="D42" s="1">
        <v>43897</v>
      </c>
      <c r="E42" s="1">
        <v>43898</v>
      </c>
      <c r="F42" s="1">
        <v>43894</v>
      </c>
      <c r="G42" s="2">
        <v>0.33333333333333331</v>
      </c>
      <c r="H42" s="3">
        <v>1</v>
      </c>
      <c r="I42" t="s">
        <v>22</v>
      </c>
      <c r="J42" s="12" t="s">
        <v>23</v>
      </c>
      <c r="K42">
        <v>1</v>
      </c>
      <c r="L42">
        <v>0</v>
      </c>
      <c r="M42" t="s">
        <v>19</v>
      </c>
      <c r="N42" s="6">
        <v>110</v>
      </c>
      <c r="O42">
        <f>Table13[[#This Row],[Adults]]+Table13[[#This Row],[Children]]</f>
        <v>1</v>
      </c>
      <c r="P42">
        <f>_xlfn.DAYS(Table13[[#This Row],[Depart]],Table13[[#This Row],[Arrive]])</f>
        <v>1</v>
      </c>
    </row>
    <row r="43" spans="1:16" x14ac:dyDescent="0.25">
      <c r="A43" t="s">
        <v>84</v>
      </c>
      <c r="B43" t="s">
        <v>85</v>
      </c>
      <c r="C43" t="s">
        <v>2226</v>
      </c>
      <c r="D43" s="1">
        <v>43899</v>
      </c>
      <c r="E43" s="1">
        <v>43900</v>
      </c>
      <c r="F43" s="1">
        <v>43883</v>
      </c>
      <c r="G43" s="2">
        <v>0.33333333333333331</v>
      </c>
      <c r="H43" s="3">
        <v>1</v>
      </c>
      <c r="I43" t="s">
        <v>26</v>
      </c>
      <c r="J43" s="12" t="s">
        <v>18</v>
      </c>
      <c r="K43">
        <v>1</v>
      </c>
      <c r="L43">
        <v>0</v>
      </c>
      <c r="M43" t="s">
        <v>19</v>
      </c>
      <c r="N43" s="6">
        <v>106</v>
      </c>
      <c r="O43">
        <f>Table13[[#This Row],[Adults]]+Table13[[#This Row],[Children]]</f>
        <v>1</v>
      </c>
      <c r="P43">
        <f>_xlfn.DAYS(Table13[[#This Row],[Depart]],Table13[[#This Row],[Arrive]])</f>
        <v>1</v>
      </c>
    </row>
    <row r="44" spans="1:16" x14ac:dyDescent="0.25">
      <c r="A44" t="s">
        <v>52</v>
      </c>
      <c r="B44" t="s">
        <v>53</v>
      </c>
      <c r="C44" t="s">
        <v>2223</v>
      </c>
      <c r="D44" s="1">
        <v>43900</v>
      </c>
      <c r="E44" s="1">
        <v>43905</v>
      </c>
      <c r="F44" s="1">
        <v>43879</v>
      </c>
      <c r="G44" s="2">
        <v>0.33333333333333331</v>
      </c>
      <c r="H44" s="3">
        <v>1</v>
      </c>
      <c r="I44" t="s">
        <v>26</v>
      </c>
      <c r="J44" s="12" t="s">
        <v>18</v>
      </c>
      <c r="K44">
        <v>1</v>
      </c>
      <c r="L44">
        <v>0</v>
      </c>
      <c r="M44" t="s">
        <v>19</v>
      </c>
      <c r="N44" s="6">
        <v>531</v>
      </c>
      <c r="O44">
        <f>Table13[[#This Row],[Adults]]+Table13[[#This Row],[Children]]</f>
        <v>1</v>
      </c>
      <c r="P44">
        <f>_xlfn.DAYS(Table13[[#This Row],[Depart]],Table13[[#This Row],[Arrive]])</f>
        <v>5</v>
      </c>
    </row>
    <row r="45" spans="1:16" x14ac:dyDescent="0.25">
      <c r="A45" t="s">
        <v>102</v>
      </c>
      <c r="B45" t="s">
        <v>103</v>
      </c>
      <c r="C45" t="s">
        <v>2226</v>
      </c>
      <c r="D45" s="1">
        <v>43900</v>
      </c>
      <c r="E45" s="1">
        <v>43909</v>
      </c>
      <c r="F45" s="1">
        <v>43851</v>
      </c>
      <c r="G45" s="2">
        <v>0.33333333333333331</v>
      </c>
      <c r="H45" s="3">
        <v>1</v>
      </c>
      <c r="I45" t="s">
        <v>17</v>
      </c>
      <c r="J45" s="12" t="s">
        <v>18</v>
      </c>
      <c r="K45">
        <v>3</v>
      </c>
      <c r="L45">
        <v>0</v>
      </c>
      <c r="M45" t="s">
        <v>19</v>
      </c>
      <c r="N45" s="6">
        <v>1197</v>
      </c>
      <c r="O45">
        <f>Table13[[#This Row],[Adults]]+Table13[[#This Row],[Children]]</f>
        <v>3</v>
      </c>
      <c r="P45">
        <f>_xlfn.DAYS(Table13[[#This Row],[Depart]],Table13[[#This Row],[Arrive]])</f>
        <v>9</v>
      </c>
    </row>
    <row r="46" spans="1:16" x14ac:dyDescent="0.25">
      <c r="A46" t="s">
        <v>108</v>
      </c>
      <c r="B46" t="s">
        <v>109</v>
      </c>
      <c r="C46" t="s">
        <v>2225</v>
      </c>
      <c r="D46" s="1">
        <v>43900</v>
      </c>
      <c r="E46" s="1">
        <v>43901</v>
      </c>
      <c r="F46" s="1">
        <v>43900</v>
      </c>
      <c r="G46" s="2">
        <v>0.33333333333333331</v>
      </c>
      <c r="H46" s="3">
        <v>1</v>
      </c>
      <c r="I46" t="s">
        <v>22</v>
      </c>
      <c r="J46" s="12" t="s">
        <v>23</v>
      </c>
      <c r="K46">
        <v>5</v>
      </c>
      <c r="L46">
        <v>0</v>
      </c>
      <c r="M46" t="s">
        <v>19</v>
      </c>
      <c r="N46" s="6">
        <v>110</v>
      </c>
      <c r="O46">
        <f>Table13[[#This Row],[Adults]]+Table13[[#This Row],[Children]]</f>
        <v>5</v>
      </c>
      <c r="P46">
        <f>_xlfn.DAYS(Table13[[#This Row],[Depart]],Table13[[#This Row],[Arrive]])</f>
        <v>1</v>
      </c>
    </row>
    <row r="47" spans="1:16" x14ac:dyDescent="0.25">
      <c r="A47" t="s">
        <v>136</v>
      </c>
      <c r="B47" t="s">
        <v>137</v>
      </c>
      <c r="C47" t="s">
        <v>2226</v>
      </c>
      <c r="D47" s="1">
        <v>43900</v>
      </c>
      <c r="E47" s="1">
        <v>43902</v>
      </c>
      <c r="F47" s="1">
        <v>43897</v>
      </c>
      <c r="G47" s="2">
        <v>0.33333333333333331</v>
      </c>
      <c r="H47" s="3">
        <v>1</v>
      </c>
      <c r="I47" t="s">
        <v>22</v>
      </c>
      <c r="J47" s="12" t="s">
        <v>18</v>
      </c>
      <c r="K47">
        <v>3</v>
      </c>
      <c r="L47">
        <v>0</v>
      </c>
      <c r="M47" t="s">
        <v>19</v>
      </c>
      <c r="N47" s="6">
        <v>220</v>
      </c>
      <c r="O47">
        <f>Table13[[#This Row],[Adults]]+Table13[[#This Row],[Children]]</f>
        <v>3</v>
      </c>
      <c r="P47">
        <f>_xlfn.DAYS(Table13[[#This Row],[Depart]],Table13[[#This Row],[Arrive]])</f>
        <v>2</v>
      </c>
    </row>
    <row r="48" spans="1:16" x14ac:dyDescent="0.25">
      <c r="A48" t="s">
        <v>961</v>
      </c>
      <c r="B48" t="s">
        <v>962</v>
      </c>
      <c r="C48" t="s">
        <v>2226</v>
      </c>
      <c r="D48" s="1">
        <v>43901</v>
      </c>
      <c r="E48" s="1">
        <v>43932</v>
      </c>
      <c r="F48" s="1">
        <v>44134</v>
      </c>
      <c r="G48" s="2">
        <v>0.5</v>
      </c>
      <c r="H48" s="2">
        <v>0.58333333333333337</v>
      </c>
      <c r="I48" t="s">
        <v>22</v>
      </c>
      <c r="J48" s="12" t="s">
        <v>18</v>
      </c>
      <c r="K48">
        <v>2</v>
      </c>
      <c r="L48">
        <v>0</v>
      </c>
      <c r="M48" t="s">
        <v>19</v>
      </c>
      <c r="N48" s="6">
        <v>85000</v>
      </c>
      <c r="O48">
        <f>Table13[[#This Row],[Adults]]+Table13[[#This Row],[Children]]</f>
        <v>2</v>
      </c>
      <c r="P48">
        <f>_xlfn.DAYS(Table13[[#This Row],[Depart]],Table13[[#This Row],[Arrive]])</f>
        <v>31</v>
      </c>
    </row>
    <row r="49" spans="1:16" x14ac:dyDescent="0.25">
      <c r="A49" t="s">
        <v>961</v>
      </c>
      <c r="B49" t="s">
        <v>962</v>
      </c>
      <c r="C49" t="s">
        <v>2226</v>
      </c>
      <c r="D49" s="1">
        <v>43901</v>
      </c>
      <c r="E49" s="1">
        <v>43932</v>
      </c>
      <c r="F49" s="1">
        <v>44134</v>
      </c>
      <c r="G49" s="2">
        <v>0.5</v>
      </c>
      <c r="H49" s="2">
        <v>0.58333333333333337</v>
      </c>
      <c r="I49" t="s">
        <v>22</v>
      </c>
      <c r="J49" s="12" t="s">
        <v>18</v>
      </c>
      <c r="K49">
        <v>2</v>
      </c>
      <c r="L49">
        <v>0</v>
      </c>
      <c r="M49" t="s">
        <v>19</v>
      </c>
      <c r="N49" s="6">
        <v>85000</v>
      </c>
      <c r="O49">
        <f>Table13[[#This Row],[Adults]]+Table13[[#This Row],[Children]]</f>
        <v>2</v>
      </c>
      <c r="P49">
        <f>_xlfn.DAYS(Table13[[#This Row],[Depart]],Table13[[#This Row],[Arrive]])</f>
        <v>31</v>
      </c>
    </row>
    <row r="50" spans="1:16" x14ac:dyDescent="0.25">
      <c r="A50" t="s">
        <v>961</v>
      </c>
      <c r="B50" t="s">
        <v>962</v>
      </c>
      <c r="C50" t="s">
        <v>2226</v>
      </c>
      <c r="D50" s="1">
        <v>43901</v>
      </c>
      <c r="E50" s="1">
        <v>43932</v>
      </c>
      <c r="F50" s="1">
        <v>44134</v>
      </c>
      <c r="G50" s="2">
        <v>0.5</v>
      </c>
      <c r="H50" s="2">
        <v>0.58333333333333337</v>
      </c>
      <c r="I50" t="s">
        <v>22</v>
      </c>
      <c r="J50" s="12" t="s">
        <v>18</v>
      </c>
      <c r="K50">
        <v>2</v>
      </c>
      <c r="L50">
        <v>0</v>
      </c>
      <c r="M50" t="s">
        <v>19</v>
      </c>
      <c r="N50" s="6">
        <v>85000</v>
      </c>
      <c r="O50">
        <f>Table13[[#This Row],[Adults]]+Table13[[#This Row],[Children]]</f>
        <v>2</v>
      </c>
      <c r="P50">
        <f>_xlfn.DAYS(Table13[[#This Row],[Depart]],Table13[[#This Row],[Arrive]])</f>
        <v>31</v>
      </c>
    </row>
    <row r="51" spans="1:16" x14ac:dyDescent="0.25">
      <c r="A51" t="s">
        <v>965</v>
      </c>
      <c r="B51" t="s">
        <v>966</v>
      </c>
      <c r="C51" t="s">
        <v>2226</v>
      </c>
      <c r="D51" s="1">
        <v>43901</v>
      </c>
      <c r="E51" s="1">
        <v>43932</v>
      </c>
      <c r="F51" s="1">
        <v>44134</v>
      </c>
      <c r="G51" s="2">
        <v>0.5</v>
      </c>
      <c r="H51" s="2">
        <v>0.58333333333333337</v>
      </c>
      <c r="I51" t="s">
        <v>22</v>
      </c>
      <c r="J51" s="12" t="s">
        <v>18</v>
      </c>
      <c r="K51">
        <v>1</v>
      </c>
      <c r="L51">
        <v>0</v>
      </c>
      <c r="M51" t="s">
        <v>19</v>
      </c>
      <c r="N51" s="6">
        <v>85000</v>
      </c>
      <c r="O51">
        <f>Table13[[#This Row],[Adults]]+Table13[[#This Row],[Children]]</f>
        <v>1</v>
      </c>
      <c r="P51">
        <f>_xlfn.DAYS(Table13[[#This Row],[Depart]],Table13[[#This Row],[Arrive]])</f>
        <v>31</v>
      </c>
    </row>
    <row r="52" spans="1:16" x14ac:dyDescent="0.25">
      <c r="A52" t="s">
        <v>114</v>
      </c>
      <c r="B52" t="s">
        <v>115</v>
      </c>
      <c r="C52" t="s">
        <v>2226</v>
      </c>
      <c r="D52" s="1">
        <v>43902</v>
      </c>
      <c r="E52" s="1">
        <v>43903</v>
      </c>
      <c r="F52" s="1">
        <v>43902</v>
      </c>
      <c r="G52" s="2">
        <v>0.33333333333333331</v>
      </c>
      <c r="H52" s="3">
        <v>1</v>
      </c>
      <c r="I52" t="s">
        <v>17</v>
      </c>
      <c r="J52" s="12" t="s">
        <v>18</v>
      </c>
      <c r="K52">
        <v>2</v>
      </c>
      <c r="L52">
        <v>0</v>
      </c>
      <c r="M52" t="s">
        <v>19</v>
      </c>
      <c r="N52" s="6">
        <v>121.41</v>
      </c>
      <c r="O52">
        <f>Table13[[#This Row],[Adults]]+Table13[[#This Row],[Children]]</f>
        <v>2</v>
      </c>
      <c r="P52">
        <f>_xlfn.DAYS(Table13[[#This Row],[Depart]],Table13[[#This Row],[Arrive]])</f>
        <v>1</v>
      </c>
    </row>
    <row r="53" spans="1:16" x14ac:dyDescent="0.25">
      <c r="A53" t="s">
        <v>112</v>
      </c>
      <c r="B53" t="s">
        <v>113</v>
      </c>
      <c r="C53" t="s">
        <v>2226</v>
      </c>
      <c r="D53" s="1">
        <v>43903</v>
      </c>
      <c r="E53" s="1">
        <v>43905</v>
      </c>
      <c r="F53" s="1">
        <v>43901</v>
      </c>
      <c r="G53" s="2">
        <v>0.33333333333333331</v>
      </c>
      <c r="H53" s="3">
        <v>1</v>
      </c>
      <c r="I53" t="s">
        <v>22</v>
      </c>
      <c r="J53" s="12" t="s">
        <v>23</v>
      </c>
      <c r="K53">
        <v>3</v>
      </c>
      <c r="L53">
        <v>0</v>
      </c>
      <c r="M53" t="s">
        <v>19</v>
      </c>
      <c r="N53" s="6">
        <v>220</v>
      </c>
      <c r="O53">
        <f>Table13[[#This Row],[Adults]]+Table13[[#This Row],[Children]]</f>
        <v>3</v>
      </c>
      <c r="P53">
        <f>_xlfn.DAYS(Table13[[#This Row],[Depart]],Table13[[#This Row],[Arrive]])</f>
        <v>2</v>
      </c>
    </row>
    <row r="54" spans="1:16" x14ac:dyDescent="0.25">
      <c r="A54" t="s">
        <v>110</v>
      </c>
      <c r="B54" t="s">
        <v>111</v>
      </c>
      <c r="C54" t="s">
        <v>2225</v>
      </c>
      <c r="D54" s="1">
        <v>43907</v>
      </c>
      <c r="E54" s="1">
        <v>43909</v>
      </c>
      <c r="F54" s="1">
        <v>43898</v>
      </c>
      <c r="G54" s="2">
        <v>0.33333333333333331</v>
      </c>
      <c r="H54" s="3">
        <v>1</v>
      </c>
      <c r="I54" t="s">
        <v>17</v>
      </c>
      <c r="J54" s="12" t="s">
        <v>18</v>
      </c>
      <c r="K54">
        <v>6</v>
      </c>
      <c r="L54">
        <v>0</v>
      </c>
      <c r="M54" t="s">
        <v>19</v>
      </c>
      <c r="N54" s="6">
        <v>255.6</v>
      </c>
      <c r="O54">
        <f>Table13[[#This Row],[Adults]]+Table13[[#This Row],[Children]]</f>
        <v>6</v>
      </c>
      <c r="P54">
        <f>_xlfn.DAYS(Table13[[#This Row],[Depart]],Table13[[#This Row],[Arrive]])</f>
        <v>2</v>
      </c>
    </row>
    <row r="55" spans="1:16" x14ac:dyDescent="0.25">
      <c r="A55" t="s">
        <v>116</v>
      </c>
      <c r="B55" t="s">
        <v>117</v>
      </c>
      <c r="C55" t="s">
        <v>2225</v>
      </c>
      <c r="D55" s="1">
        <v>43907</v>
      </c>
      <c r="E55" s="1">
        <v>43908</v>
      </c>
      <c r="F55" s="1">
        <v>43902</v>
      </c>
      <c r="G55" s="2">
        <v>0.33333333333333331</v>
      </c>
      <c r="H55" s="3">
        <v>1</v>
      </c>
      <c r="I55" t="s">
        <v>22</v>
      </c>
      <c r="J55" s="12" t="s">
        <v>18</v>
      </c>
      <c r="K55">
        <v>3</v>
      </c>
      <c r="L55">
        <v>0</v>
      </c>
      <c r="M55" t="s">
        <v>19</v>
      </c>
      <c r="N55" s="6">
        <v>110</v>
      </c>
      <c r="O55">
        <f>Table13[[#This Row],[Adults]]+Table13[[#This Row],[Children]]</f>
        <v>3</v>
      </c>
      <c r="P55">
        <f>_xlfn.DAYS(Table13[[#This Row],[Depart]],Table13[[#This Row],[Arrive]])</f>
        <v>1</v>
      </c>
    </row>
    <row r="56" spans="1:16" x14ac:dyDescent="0.25">
      <c r="A56" t="s">
        <v>116</v>
      </c>
      <c r="B56" t="s">
        <v>117</v>
      </c>
      <c r="C56" t="s">
        <v>2225</v>
      </c>
      <c r="D56" s="1">
        <v>43907</v>
      </c>
      <c r="E56" s="1">
        <v>43908</v>
      </c>
      <c r="F56" s="1">
        <v>43903</v>
      </c>
      <c r="G56" s="2">
        <v>0.33333333333333331</v>
      </c>
      <c r="H56" s="3">
        <v>1</v>
      </c>
      <c r="I56" t="s">
        <v>22</v>
      </c>
      <c r="J56" s="12" t="s">
        <v>18</v>
      </c>
      <c r="K56">
        <v>2</v>
      </c>
      <c r="L56">
        <v>0</v>
      </c>
      <c r="M56" t="s">
        <v>19</v>
      </c>
      <c r="N56" s="6">
        <v>110</v>
      </c>
      <c r="O56">
        <f>Table13[[#This Row],[Adults]]+Table13[[#This Row],[Children]]</f>
        <v>2</v>
      </c>
      <c r="P56">
        <f>_xlfn.DAYS(Table13[[#This Row],[Depart]],Table13[[#This Row],[Arrive]])</f>
        <v>1</v>
      </c>
    </row>
    <row r="57" spans="1:16" x14ac:dyDescent="0.25">
      <c r="A57" t="s">
        <v>110</v>
      </c>
      <c r="B57" t="s">
        <v>111</v>
      </c>
      <c r="C57" t="s">
        <v>2225</v>
      </c>
      <c r="D57" s="1">
        <v>43908</v>
      </c>
      <c r="E57" s="1">
        <v>43910</v>
      </c>
      <c r="F57" s="1">
        <v>43902</v>
      </c>
      <c r="G57" s="2">
        <v>0.33333333333333331</v>
      </c>
      <c r="H57" s="3">
        <v>1</v>
      </c>
      <c r="I57" t="s">
        <v>22</v>
      </c>
      <c r="J57" s="12" t="s">
        <v>18</v>
      </c>
      <c r="K57">
        <v>3</v>
      </c>
      <c r="L57">
        <v>0</v>
      </c>
      <c r="M57" t="s">
        <v>19</v>
      </c>
      <c r="N57" s="6">
        <v>220</v>
      </c>
      <c r="O57">
        <f>Table13[[#This Row],[Adults]]+Table13[[#This Row],[Children]]</f>
        <v>3</v>
      </c>
      <c r="P57">
        <f>_xlfn.DAYS(Table13[[#This Row],[Depart]],Table13[[#This Row],[Arrive]])</f>
        <v>2</v>
      </c>
    </row>
    <row r="58" spans="1:16" x14ac:dyDescent="0.25">
      <c r="A58" t="s">
        <v>48</v>
      </c>
      <c r="B58" t="s">
        <v>49</v>
      </c>
      <c r="C58" t="s">
        <v>2223</v>
      </c>
      <c r="D58" s="1">
        <v>43908</v>
      </c>
      <c r="E58" s="1">
        <v>43909</v>
      </c>
      <c r="F58" s="1">
        <v>43895</v>
      </c>
      <c r="G58" s="2">
        <v>0.33333333333333331</v>
      </c>
      <c r="H58" s="3">
        <v>1</v>
      </c>
      <c r="I58" t="s">
        <v>22</v>
      </c>
      <c r="J58" s="12" t="s">
        <v>18</v>
      </c>
      <c r="K58">
        <v>2</v>
      </c>
      <c r="L58">
        <v>0</v>
      </c>
      <c r="M58" t="s">
        <v>19</v>
      </c>
      <c r="N58" s="6">
        <v>110</v>
      </c>
      <c r="O58">
        <f>Table13[[#This Row],[Adults]]+Table13[[#This Row],[Children]]</f>
        <v>2</v>
      </c>
      <c r="P58">
        <f>_xlfn.DAYS(Table13[[#This Row],[Depart]],Table13[[#This Row],[Arrive]])</f>
        <v>1</v>
      </c>
    </row>
    <row r="59" spans="1:16" x14ac:dyDescent="0.25">
      <c r="A59" t="s">
        <v>116</v>
      </c>
      <c r="B59" t="s">
        <v>117</v>
      </c>
      <c r="C59" t="s">
        <v>2225</v>
      </c>
      <c r="D59" s="1">
        <v>43908</v>
      </c>
      <c r="E59" s="1">
        <v>43911</v>
      </c>
      <c r="F59" s="1">
        <v>43903</v>
      </c>
      <c r="G59" s="2">
        <v>0.33333333333333331</v>
      </c>
      <c r="H59" s="3">
        <v>1</v>
      </c>
      <c r="I59" t="s">
        <v>22</v>
      </c>
      <c r="J59" s="12" t="s">
        <v>23</v>
      </c>
      <c r="K59">
        <v>2</v>
      </c>
      <c r="L59">
        <v>0</v>
      </c>
      <c r="M59" t="s">
        <v>19</v>
      </c>
      <c r="N59" s="6">
        <v>454.65</v>
      </c>
      <c r="O59">
        <f>Table13[[#This Row],[Adults]]+Table13[[#This Row],[Children]]</f>
        <v>2</v>
      </c>
      <c r="P59">
        <f>_xlfn.DAYS(Table13[[#This Row],[Depart]],Table13[[#This Row],[Arrive]])</f>
        <v>3</v>
      </c>
    </row>
    <row r="60" spans="1:16" x14ac:dyDescent="0.25">
      <c r="A60" t="s">
        <v>48</v>
      </c>
      <c r="B60" t="s">
        <v>49</v>
      </c>
      <c r="C60" t="s">
        <v>2224</v>
      </c>
      <c r="D60" s="1">
        <v>43909</v>
      </c>
      <c r="E60" s="1">
        <v>43914</v>
      </c>
      <c r="F60" s="1">
        <v>43879</v>
      </c>
      <c r="G60" s="2">
        <v>0.33333333333333331</v>
      </c>
      <c r="H60" s="3">
        <v>1</v>
      </c>
      <c r="I60" t="s">
        <v>26</v>
      </c>
      <c r="J60" s="12" t="s">
        <v>18</v>
      </c>
      <c r="K60">
        <v>1</v>
      </c>
      <c r="L60">
        <v>0</v>
      </c>
      <c r="M60" t="s">
        <v>19</v>
      </c>
      <c r="N60" s="6">
        <v>550</v>
      </c>
      <c r="O60">
        <f>Table13[[#This Row],[Adults]]+Table13[[#This Row],[Children]]</f>
        <v>1</v>
      </c>
      <c r="P60">
        <f>_xlfn.DAYS(Table13[[#This Row],[Depart]],Table13[[#This Row],[Arrive]])</f>
        <v>5</v>
      </c>
    </row>
    <row r="61" spans="1:16" x14ac:dyDescent="0.25">
      <c r="A61" t="s">
        <v>110</v>
      </c>
      <c r="B61" t="s">
        <v>111</v>
      </c>
      <c r="C61" t="s">
        <v>2225</v>
      </c>
      <c r="D61" s="1">
        <v>43909</v>
      </c>
      <c r="E61" s="1">
        <v>43910</v>
      </c>
      <c r="F61" s="1">
        <v>43901</v>
      </c>
      <c r="G61" s="2">
        <v>0.33333333333333331</v>
      </c>
      <c r="H61" s="3">
        <v>1</v>
      </c>
      <c r="I61" t="s">
        <v>22</v>
      </c>
      <c r="J61" s="12" t="s">
        <v>18</v>
      </c>
      <c r="K61">
        <v>3</v>
      </c>
      <c r="L61">
        <v>0</v>
      </c>
      <c r="M61" t="s">
        <v>19</v>
      </c>
      <c r="N61" s="6">
        <v>110</v>
      </c>
      <c r="O61">
        <f>Table13[[#This Row],[Adults]]+Table13[[#This Row],[Children]]</f>
        <v>3</v>
      </c>
      <c r="P61">
        <f>_xlfn.DAYS(Table13[[#This Row],[Depart]],Table13[[#This Row],[Arrive]])</f>
        <v>1</v>
      </c>
    </row>
    <row r="62" spans="1:16" x14ac:dyDescent="0.25">
      <c r="A62" t="s">
        <v>96</v>
      </c>
      <c r="B62" t="s">
        <v>97</v>
      </c>
      <c r="C62" t="s">
        <v>2223</v>
      </c>
      <c r="D62" s="1">
        <v>43909</v>
      </c>
      <c r="E62" s="1">
        <v>43910</v>
      </c>
      <c r="F62" s="1">
        <v>43903</v>
      </c>
      <c r="G62" s="2">
        <v>0.33333333333333331</v>
      </c>
      <c r="H62" s="3">
        <v>1</v>
      </c>
      <c r="I62" t="s">
        <v>22</v>
      </c>
      <c r="J62" s="12" t="s">
        <v>18</v>
      </c>
      <c r="K62">
        <v>2</v>
      </c>
      <c r="L62">
        <v>0</v>
      </c>
      <c r="M62" t="s">
        <v>19</v>
      </c>
      <c r="N62" s="6">
        <v>110</v>
      </c>
      <c r="O62">
        <f>Table13[[#This Row],[Adults]]+Table13[[#This Row],[Children]]</f>
        <v>2</v>
      </c>
      <c r="P62">
        <f>_xlfn.DAYS(Table13[[#This Row],[Depart]],Table13[[#This Row],[Arrive]])</f>
        <v>1</v>
      </c>
    </row>
    <row r="63" spans="1:16" x14ac:dyDescent="0.25">
      <c r="A63" t="s">
        <v>110</v>
      </c>
      <c r="B63" t="s">
        <v>111</v>
      </c>
      <c r="C63" t="s">
        <v>2223</v>
      </c>
      <c r="D63" s="1">
        <v>43909</v>
      </c>
      <c r="E63" s="1">
        <v>43911</v>
      </c>
      <c r="F63" s="1">
        <v>43908</v>
      </c>
      <c r="G63" s="2">
        <v>0.33333333333333331</v>
      </c>
      <c r="H63" s="3">
        <v>1</v>
      </c>
      <c r="I63" t="s">
        <v>22</v>
      </c>
      <c r="J63" s="12" t="s">
        <v>23</v>
      </c>
      <c r="K63">
        <v>6</v>
      </c>
      <c r="L63">
        <v>0</v>
      </c>
      <c r="M63" t="s">
        <v>19</v>
      </c>
      <c r="N63" s="6">
        <v>307</v>
      </c>
      <c r="O63">
        <f>Table13[[#This Row],[Adults]]+Table13[[#This Row],[Children]]</f>
        <v>6</v>
      </c>
      <c r="P63">
        <f>_xlfn.DAYS(Table13[[#This Row],[Depart]],Table13[[#This Row],[Arrive]])</f>
        <v>2</v>
      </c>
    </row>
    <row r="64" spans="1:16" x14ac:dyDescent="0.25">
      <c r="A64" t="s">
        <v>148</v>
      </c>
      <c r="B64" t="s">
        <v>149</v>
      </c>
      <c r="C64" t="s">
        <v>2224</v>
      </c>
      <c r="D64" s="1">
        <v>43909</v>
      </c>
      <c r="E64" s="1">
        <v>43911</v>
      </c>
      <c r="F64" s="1">
        <v>43909</v>
      </c>
      <c r="G64" s="2">
        <v>0.33333333333333331</v>
      </c>
      <c r="H64" s="3">
        <v>1</v>
      </c>
      <c r="I64" t="s">
        <v>22</v>
      </c>
      <c r="J64" s="12" t="s">
        <v>23</v>
      </c>
      <c r="K64">
        <v>2</v>
      </c>
      <c r="L64">
        <v>0</v>
      </c>
      <c r="M64" t="s">
        <v>19</v>
      </c>
      <c r="N64" s="6">
        <v>220</v>
      </c>
      <c r="O64">
        <f>Table13[[#This Row],[Adults]]+Table13[[#This Row],[Children]]</f>
        <v>2</v>
      </c>
      <c r="P64">
        <f>_xlfn.DAYS(Table13[[#This Row],[Depart]],Table13[[#This Row],[Arrive]])</f>
        <v>2</v>
      </c>
    </row>
    <row r="65" spans="1:16" x14ac:dyDescent="0.25">
      <c r="A65" t="s">
        <v>118</v>
      </c>
      <c r="B65" t="s">
        <v>119</v>
      </c>
      <c r="C65" t="s">
        <v>2223</v>
      </c>
      <c r="D65" s="1">
        <v>43910</v>
      </c>
      <c r="E65" s="1">
        <v>43911</v>
      </c>
      <c r="F65" s="1">
        <v>43896</v>
      </c>
      <c r="G65" s="2">
        <v>0.33333333333333331</v>
      </c>
      <c r="H65" s="3">
        <v>1</v>
      </c>
      <c r="I65" t="s">
        <v>22</v>
      </c>
      <c r="J65" s="12" t="s">
        <v>18</v>
      </c>
      <c r="K65">
        <v>1</v>
      </c>
      <c r="L65">
        <v>0</v>
      </c>
      <c r="M65" t="s">
        <v>19</v>
      </c>
      <c r="N65" s="6">
        <v>110</v>
      </c>
      <c r="O65">
        <f>Table13[[#This Row],[Adults]]+Table13[[#This Row],[Children]]</f>
        <v>1</v>
      </c>
      <c r="P65">
        <f>_xlfn.DAYS(Table13[[#This Row],[Depart]],Table13[[#This Row],[Arrive]])</f>
        <v>1</v>
      </c>
    </row>
    <row r="66" spans="1:16" x14ac:dyDescent="0.25">
      <c r="A66" t="s">
        <v>48</v>
      </c>
      <c r="B66" t="s">
        <v>49</v>
      </c>
      <c r="C66" t="s">
        <v>2224</v>
      </c>
      <c r="D66" s="1">
        <v>43910</v>
      </c>
      <c r="E66" s="1">
        <v>43915</v>
      </c>
      <c r="F66" s="1">
        <v>43885</v>
      </c>
      <c r="G66" s="2">
        <v>0.33333333333333331</v>
      </c>
      <c r="H66" s="3">
        <v>1</v>
      </c>
      <c r="I66" t="s">
        <v>22</v>
      </c>
      <c r="J66" s="12" t="s">
        <v>18</v>
      </c>
      <c r="K66">
        <v>2</v>
      </c>
      <c r="L66">
        <v>0</v>
      </c>
      <c r="M66" t="s">
        <v>19</v>
      </c>
      <c r="N66" s="6">
        <v>550</v>
      </c>
      <c r="O66">
        <f>Table13[[#This Row],[Adults]]+Table13[[#This Row],[Children]]</f>
        <v>2</v>
      </c>
      <c r="P66">
        <f>_xlfn.DAYS(Table13[[#This Row],[Depart]],Table13[[#This Row],[Arrive]])</f>
        <v>5</v>
      </c>
    </row>
    <row r="67" spans="1:16" x14ac:dyDescent="0.25">
      <c r="A67" t="s">
        <v>140</v>
      </c>
      <c r="B67" t="s">
        <v>141</v>
      </c>
      <c r="C67" t="s">
        <v>2225</v>
      </c>
      <c r="D67" s="1">
        <v>43910</v>
      </c>
      <c r="E67" s="1">
        <v>43912</v>
      </c>
      <c r="F67" s="1">
        <v>43908</v>
      </c>
      <c r="G67" s="2">
        <v>0.33333333333333331</v>
      </c>
      <c r="H67" s="3">
        <v>1</v>
      </c>
      <c r="I67" t="s">
        <v>17</v>
      </c>
      <c r="J67" s="12" t="s">
        <v>18</v>
      </c>
      <c r="K67">
        <v>2</v>
      </c>
      <c r="L67">
        <v>0</v>
      </c>
      <c r="M67" t="s">
        <v>19</v>
      </c>
      <c r="N67" s="6">
        <v>255.6</v>
      </c>
      <c r="O67">
        <f>Table13[[#This Row],[Adults]]+Table13[[#This Row],[Children]]</f>
        <v>2</v>
      </c>
      <c r="P67">
        <f>_xlfn.DAYS(Table13[[#This Row],[Depart]],Table13[[#This Row],[Arrive]])</f>
        <v>2</v>
      </c>
    </row>
    <row r="68" spans="1:16" x14ac:dyDescent="0.25">
      <c r="A68" t="s">
        <v>134</v>
      </c>
      <c r="B68" t="s">
        <v>135</v>
      </c>
      <c r="C68" t="s">
        <v>2225</v>
      </c>
      <c r="D68" s="1">
        <v>43911</v>
      </c>
      <c r="E68" s="1">
        <v>43926</v>
      </c>
      <c r="F68" s="1">
        <v>43881</v>
      </c>
      <c r="G68" s="2">
        <v>0.33333333333333331</v>
      </c>
      <c r="H68" s="3">
        <v>1</v>
      </c>
      <c r="I68" t="s">
        <v>22</v>
      </c>
      <c r="J68" s="12" t="s">
        <v>18</v>
      </c>
      <c r="K68">
        <v>2</v>
      </c>
      <c r="L68">
        <v>0</v>
      </c>
      <c r="M68" t="s">
        <v>19</v>
      </c>
      <c r="N68" s="6">
        <v>1650</v>
      </c>
      <c r="O68">
        <f>Table13[[#This Row],[Adults]]+Table13[[#This Row],[Children]]</f>
        <v>2</v>
      </c>
      <c r="P68">
        <f>_xlfn.DAYS(Table13[[#This Row],[Depart]],Table13[[#This Row],[Arrive]])</f>
        <v>15</v>
      </c>
    </row>
    <row r="69" spans="1:16" x14ac:dyDescent="0.25">
      <c r="A69" t="s">
        <v>108</v>
      </c>
      <c r="B69" t="s">
        <v>109</v>
      </c>
      <c r="C69" t="s">
        <v>2225</v>
      </c>
      <c r="D69" s="1">
        <v>43911</v>
      </c>
      <c r="E69" s="1">
        <v>43914</v>
      </c>
      <c r="F69" s="1">
        <v>43910</v>
      </c>
      <c r="G69" s="2">
        <v>0.33333333333333331</v>
      </c>
      <c r="H69" s="3">
        <v>1</v>
      </c>
      <c r="I69" t="s">
        <v>22</v>
      </c>
      <c r="J69" s="12" t="s">
        <v>18</v>
      </c>
      <c r="K69">
        <v>1</v>
      </c>
      <c r="L69">
        <v>0</v>
      </c>
      <c r="M69" t="s">
        <v>19</v>
      </c>
      <c r="N69" s="6">
        <v>330</v>
      </c>
      <c r="O69">
        <f>Table13[[#This Row],[Adults]]+Table13[[#This Row],[Children]]</f>
        <v>1</v>
      </c>
      <c r="P69">
        <f>_xlfn.DAYS(Table13[[#This Row],[Depart]],Table13[[#This Row],[Arrive]])</f>
        <v>3</v>
      </c>
    </row>
    <row r="70" spans="1:16" x14ac:dyDescent="0.25">
      <c r="A70" t="s">
        <v>110</v>
      </c>
      <c r="B70" t="s">
        <v>111</v>
      </c>
      <c r="C70" t="s">
        <v>2224</v>
      </c>
      <c r="D70" s="1">
        <v>43911</v>
      </c>
      <c r="E70" s="1">
        <v>43914</v>
      </c>
      <c r="F70" s="1">
        <v>43911</v>
      </c>
      <c r="G70" s="2">
        <v>0.33333333333333331</v>
      </c>
      <c r="H70" s="3">
        <v>1</v>
      </c>
      <c r="I70" t="s">
        <v>22</v>
      </c>
      <c r="J70" s="12" t="s">
        <v>23</v>
      </c>
      <c r="K70">
        <v>2</v>
      </c>
      <c r="L70">
        <v>0</v>
      </c>
      <c r="M70" t="s">
        <v>19</v>
      </c>
      <c r="N70" s="6">
        <v>440</v>
      </c>
      <c r="O70">
        <f>Table13[[#This Row],[Adults]]+Table13[[#This Row],[Children]]</f>
        <v>2</v>
      </c>
      <c r="P70">
        <f>_xlfn.DAYS(Table13[[#This Row],[Depart]],Table13[[#This Row],[Arrive]])</f>
        <v>3</v>
      </c>
    </row>
    <row r="71" spans="1:16" x14ac:dyDescent="0.25">
      <c r="A71" t="s">
        <v>120</v>
      </c>
      <c r="B71" t="s">
        <v>121</v>
      </c>
      <c r="C71" t="s">
        <v>2226</v>
      </c>
      <c r="D71" s="1">
        <v>43912</v>
      </c>
      <c r="E71" s="1">
        <v>43918</v>
      </c>
      <c r="F71" s="1">
        <v>43904</v>
      </c>
      <c r="G71" s="2">
        <v>0.33333333333333331</v>
      </c>
      <c r="H71" s="3">
        <v>1</v>
      </c>
      <c r="I71" t="s">
        <v>22</v>
      </c>
      <c r="J71" s="12" t="s">
        <v>18</v>
      </c>
      <c r="K71">
        <v>2</v>
      </c>
      <c r="L71">
        <v>0</v>
      </c>
      <c r="M71" t="s">
        <v>19</v>
      </c>
      <c r="N71" s="6">
        <v>660</v>
      </c>
      <c r="O71">
        <f>Table13[[#This Row],[Adults]]+Table13[[#This Row],[Children]]</f>
        <v>2</v>
      </c>
      <c r="P71">
        <f>_xlfn.DAYS(Table13[[#This Row],[Depart]],Table13[[#This Row],[Arrive]])</f>
        <v>6</v>
      </c>
    </row>
    <row r="72" spans="1:16" x14ac:dyDescent="0.25">
      <c r="A72" t="s">
        <v>146</v>
      </c>
      <c r="B72" t="s">
        <v>147</v>
      </c>
      <c r="C72" t="s">
        <v>2226</v>
      </c>
      <c r="D72" s="1">
        <v>43912</v>
      </c>
      <c r="E72" s="1">
        <v>43915</v>
      </c>
      <c r="F72" s="1">
        <v>43910</v>
      </c>
      <c r="G72" s="2">
        <v>0.33333333333333331</v>
      </c>
      <c r="H72" s="3">
        <v>1</v>
      </c>
      <c r="I72" t="s">
        <v>26</v>
      </c>
      <c r="J72" s="12" t="s">
        <v>18</v>
      </c>
      <c r="K72">
        <v>1</v>
      </c>
      <c r="L72">
        <v>0</v>
      </c>
      <c r="M72" t="s">
        <v>19</v>
      </c>
      <c r="N72" s="6">
        <v>319</v>
      </c>
      <c r="O72">
        <f>Table13[[#This Row],[Adults]]+Table13[[#This Row],[Children]]</f>
        <v>1</v>
      </c>
      <c r="P72">
        <f>_xlfn.DAYS(Table13[[#This Row],[Depart]],Table13[[#This Row],[Arrive]])</f>
        <v>3</v>
      </c>
    </row>
    <row r="73" spans="1:16" x14ac:dyDescent="0.25">
      <c r="A73" t="s">
        <v>152</v>
      </c>
      <c r="B73" t="s">
        <v>153</v>
      </c>
      <c r="C73" t="s">
        <v>2223</v>
      </c>
      <c r="D73" s="1">
        <v>43912</v>
      </c>
      <c r="E73" s="1">
        <v>43913</v>
      </c>
      <c r="F73" s="1">
        <v>43912</v>
      </c>
      <c r="G73" s="2">
        <v>0.33333333333333331</v>
      </c>
      <c r="H73" s="3">
        <v>1</v>
      </c>
      <c r="I73" t="s">
        <v>22</v>
      </c>
      <c r="J73" s="12" t="s">
        <v>18</v>
      </c>
      <c r="K73">
        <v>2</v>
      </c>
      <c r="L73">
        <v>0</v>
      </c>
      <c r="M73" t="s">
        <v>19</v>
      </c>
      <c r="N73" s="6">
        <v>105</v>
      </c>
      <c r="O73">
        <f>Table13[[#This Row],[Adults]]+Table13[[#This Row],[Children]]</f>
        <v>2</v>
      </c>
      <c r="P73">
        <f>_xlfn.DAYS(Table13[[#This Row],[Depart]],Table13[[#This Row],[Arrive]])</f>
        <v>1</v>
      </c>
    </row>
    <row r="74" spans="1:16" x14ac:dyDescent="0.25">
      <c r="A74" t="s">
        <v>132</v>
      </c>
      <c r="B74" t="s">
        <v>133</v>
      </c>
      <c r="C74" t="s">
        <v>2223</v>
      </c>
      <c r="D74" s="1">
        <v>43913</v>
      </c>
      <c r="E74" s="1">
        <v>43914</v>
      </c>
      <c r="F74" s="1">
        <v>43908</v>
      </c>
      <c r="G74" s="2">
        <v>0.33333333333333331</v>
      </c>
      <c r="H74" s="3">
        <v>1</v>
      </c>
      <c r="I74" t="s">
        <v>22</v>
      </c>
      <c r="J74" s="12" t="s">
        <v>23</v>
      </c>
      <c r="K74">
        <v>5</v>
      </c>
      <c r="L74">
        <v>0</v>
      </c>
      <c r="M74" t="s">
        <v>19</v>
      </c>
      <c r="N74" s="6">
        <v>110</v>
      </c>
      <c r="O74">
        <f>Table13[[#This Row],[Adults]]+Table13[[#This Row],[Children]]</f>
        <v>5</v>
      </c>
      <c r="P74">
        <f>_xlfn.DAYS(Table13[[#This Row],[Depart]],Table13[[#This Row],[Arrive]])</f>
        <v>1</v>
      </c>
    </row>
    <row r="75" spans="1:16" x14ac:dyDescent="0.25">
      <c r="A75" t="s">
        <v>152</v>
      </c>
      <c r="B75" t="s">
        <v>153</v>
      </c>
      <c r="C75" t="s">
        <v>2225</v>
      </c>
      <c r="D75" s="1">
        <v>43913</v>
      </c>
      <c r="E75" s="1">
        <v>43915</v>
      </c>
      <c r="F75" s="1">
        <v>43912</v>
      </c>
      <c r="G75" s="2">
        <v>0.33333333333333331</v>
      </c>
      <c r="H75" s="3">
        <v>1</v>
      </c>
      <c r="I75" t="s">
        <v>22</v>
      </c>
      <c r="J75" s="12" t="s">
        <v>18</v>
      </c>
      <c r="K75">
        <v>3</v>
      </c>
      <c r="L75">
        <v>0</v>
      </c>
      <c r="M75" t="s">
        <v>19</v>
      </c>
      <c r="N75" s="6">
        <v>210</v>
      </c>
      <c r="O75">
        <f>Table13[[#This Row],[Adults]]+Table13[[#This Row],[Children]]</f>
        <v>3</v>
      </c>
      <c r="P75">
        <f>_xlfn.DAYS(Table13[[#This Row],[Depart]],Table13[[#This Row],[Arrive]])</f>
        <v>2</v>
      </c>
    </row>
    <row r="76" spans="1:16" x14ac:dyDescent="0.25">
      <c r="A76" t="s">
        <v>136</v>
      </c>
      <c r="B76" t="s">
        <v>137</v>
      </c>
      <c r="C76" t="s">
        <v>2225</v>
      </c>
      <c r="D76" s="1">
        <v>43913</v>
      </c>
      <c r="E76" s="1">
        <v>43914</v>
      </c>
      <c r="F76" s="1">
        <v>43912</v>
      </c>
      <c r="G76" s="2">
        <v>0.33333333333333331</v>
      </c>
      <c r="H76" s="3">
        <v>1</v>
      </c>
      <c r="I76" t="s">
        <v>22</v>
      </c>
      <c r="J76" s="12" t="s">
        <v>18</v>
      </c>
      <c r="K76">
        <v>1</v>
      </c>
      <c r="L76">
        <v>0</v>
      </c>
      <c r="M76" t="s">
        <v>19</v>
      </c>
      <c r="N76" s="6">
        <v>110</v>
      </c>
      <c r="O76">
        <f>Table13[[#This Row],[Adults]]+Table13[[#This Row],[Children]]</f>
        <v>1</v>
      </c>
      <c r="P76">
        <f>_xlfn.DAYS(Table13[[#This Row],[Depart]],Table13[[#This Row],[Arrive]])</f>
        <v>1</v>
      </c>
    </row>
    <row r="77" spans="1:16" x14ac:dyDescent="0.25">
      <c r="A77" t="s">
        <v>33</v>
      </c>
      <c r="B77" t="s">
        <v>34</v>
      </c>
      <c r="C77" t="s">
        <v>2225</v>
      </c>
      <c r="D77" s="1">
        <v>43914</v>
      </c>
      <c r="E77" s="1">
        <v>43930</v>
      </c>
      <c r="F77" s="1">
        <v>43870</v>
      </c>
      <c r="G77" s="2">
        <v>0.33333333333333331</v>
      </c>
      <c r="H77" s="3">
        <v>1</v>
      </c>
      <c r="I77" t="s">
        <v>35</v>
      </c>
      <c r="J77" s="12" t="s">
        <v>18</v>
      </c>
      <c r="K77">
        <v>3</v>
      </c>
      <c r="L77">
        <v>0</v>
      </c>
      <c r="M77" t="s">
        <v>19</v>
      </c>
      <c r="N77" s="6">
        <v>910</v>
      </c>
      <c r="O77">
        <f>Table13[[#This Row],[Adults]]+Table13[[#This Row],[Children]]</f>
        <v>3</v>
      </c>
      <c r="P77">
        <f>_xlfn.DAYS(Table13[[#This Row],[Depart]],Table13[[#This Row],[Arrive]])</f>
        <v>16</v>
      </c>
    </row>
    <row r="78" spans="1:16" x14ac:dyDescent="0.25">
      <c r="A78" t="s">
        <v>156</v>
      </c>
      <c r="B78" t="s">
        <v>157</v>
      </c>
      <c r="C78" t="s">
        <v>2223</v>
      </c>
      <c r="D78" s="1">
        <v>43914</v>
      </c>
      <c r="E78" s="1">
        <v>43916</v>
      </c>
      <c r="F78" s="1">
        <v>43913</v>
      </c>
      <c r="G78" s="2">
        <v>0.33333333333333331</v>
      </c>
      <c r="H78" s="3">
        <v>1</v>
      </c>
      <c r="I78" t="s">
        <v>26</v>
      </c>
      <c r="J78" s="12" t="s">
        <v>18</v>
      </c>
      <c r="K78">
        <v>4</v>
      </c>
      <c r="L78">
        <v>0</v>
      </c>
      <c r="M78" t="s">
        <v>19</v>
      </c>
      <c r="N78" s="6">
        <v>212</v>
      </c>
      <c r="O78">
        <f>Table13[[#This Row],[Adults]]+Table13[[#This Row],[Children]]</f>
        <v>4</v>
      </c>
      <c r="P78">
        <f>_xlfn.DAYS(Table13[[#This Row],[Depart]],Table13[[#This Row],[Arrive]])</f>
        <v>2</v>
      </c>
    </row>
    <row r="79" spans="1:16" x14ac:dyDescent="0.25">
      <c r="A79" t="s">
        <v>108</v>
      </c>
      <c r="B79" t="s">
        <v>109</v>
      </c>
      <c r="C79" t="s">
        <v>2224</v>
      </c>
      <c r="D79" s="1">
        <v>43914</v>
      </c>
      <c r="E79" s="1">
        <v>43916</v>
      </c>
      <c r="F79" s="1">
        <v>43911</v>
      </c>
      <c r="G79" s="2">
        <v>0.33333333333333331</v>
      </c>
      <c r="H79" s="3">
        <v>1</v>
      </c>
      <c r="I79" t="s">
        <v>22</v>
      </c>
      <c r="J79" s="12" t="s">
        <v>18</v>
      </c>
      <c r="K79">
        <v>5</v>
      </c>
      <c r="L79">
        <v>0</v>
      </c>
      <c r="M79" t="s">
        <v>19</v>
      </c>
      <c r="N79" s="6">
        <v>220</v>
      </c>
      <c r="O79">
        <f>Table13[[#This Row],[Adults]]+Table13[[#This Row],[Children]]</f>
        <v>5</v>
      </c>
      <c r="P79">
        <f>_xlfn.DAYS(Table13[[#This Row],[Depart]],Table13[[#This Row],[Arrive]])</f>
        <v>2</v>
      </c>
    </row>
    <row r="80" spans="1:16" x14ac:dyDescent="0.25">
      <c r="A80" t="s">
        <v>110</v>
      </c>
      <c r="B80" t="s">
        <v>111</v>
      </c>
      <c r="C80" t="s">
        <v>2224</v>
      </c>
      <c r="D80" s="1">
        <v>43914</v>
      </c>
      <c r="E80" s="1">
        <v>43915</v>
      </c>
      <c r="F80" s="1">
        <v>43914</v>
      </c>
      <c r="G80" s="2">
        <v>0.33333333333333331</v>
      </c>
      <c r="H80" s="3">
        <v>1</v>
      </c>
      <c r="I80" t="s">
        <v>22</v>
      </c>
      <c r="J80" s="12" t="s">
        <v>23</v>
      </c>
      <c r="K80">
        <v>1</v>
      </c>
      <c r="L80">
        <v>0</v>
      </c>
      <c r="M80" t="s">
        <v>19</v>
      </c>
      <c r="N80" s="6">
        <v>110</v>
      </c>
      <c r="O80">
        <f>Table13[[#This Row],[Adults]]+Table13[[#This Row],[Children]]</f>
        <v>1</v>
      </c>
      <c r="P80">
        <f>_xlfn.DAYS(Table13[[#This Row],[Depart]],Table13[[#This Row],[Arrive]])</f>
        <v>1</v>
      </c>
    </row>
    <row r="81" spans="1:16" x14ac:dyDescent="0.25">
      <c r="A81" t="s">
        <v>110</v>
      </c>
      <c r="B81" t="s">
        <v>111</v>
      </c>
      <c r="C81" t="s">
        <v>2223</v>
      </c>
      <c r="D81" s="1">
        <v>43914</v>
      </c>
      <c r="E81" s="1">
        <v>43915</v>
      </c>
      <c r="F81" s="1">
        <v>43913</v>
      </c>
      <c r="G81" s="2">
        <v>0.33333333333333331</v>
      </c>
      <c r="H81" s="3">
        <v>1</v>
      </c>
      <c r="I81" t="s">
        <v>22</v>
      </c>
      <c r="J81" s="12" t="s">
        <v>18</v>
      </c>
      <c r="K81">
        <v>3</v>
      </c>
      <c r="L81">
        <v>0</v>
      </c>
      <c r="M81" t="s">
        <v>19</v>
      </c>
      <c r="N81" s="6">
        <v>110</v>
      </c>
      <c r="O81">
        <f>Table13[[#This Row],[Adults]]+Table13[[#This Row],[Children]]</f>
        <v>3</v>
      </c>
      <c r="P81">
        <f>_xlfn.DAYS(Table13[[#This Row],[Depart]],Table13[[#This Row],[Arrive]])</f>
        <v>1</v>
      </c>
    </row>
    <row r="82" spans="1:16" x14ac:dyDescent="0.25">
      <c r="A82" t="s">
        <v>160</v>
      </c>
      <c r="B82" t="s">
        <v>161</v>
      </c>
      <c r="C82" t="s">
        <v>2223</v>
      </c>
      <c r="D82" s="1">
        <v>43914</v>
      </c>
      <c r="E82" s="1">
        <v>43919</v>
      </c>
      <c r="F82" s="1">
        <v>43914</v>
      </c>
      <c r="G82" s="2">
        <v>0.33333333333333331</v>
      </c>
      <c r="H82" s="3">
        <v>1</v>
      </c>
      <c r="I82" t="s">
        <v>22</v>
      </c>
      <c r="J82" s="12" t="s">
        <v>23</v>
      </c>
      <c r="K82">
        <v>5</v>
      </c>
      <c r="L82">
        <v>0</v>
      </c>
      <c r="M82" t="s">
        <v>19</v>
      </c>
      <c r="N82" s="6">
        <v>550</v>
      </c>
      <c r="O82">
        <f>Table13[[#This Row],[Adults]]+Table13[[#This Row],[Children]]</f>
        <v>5</v>
      </c>
      <c r="P82">
        <f>_xlfn.DAYS(Table13[[#This Row],[Depart]],Table13[[#This Row],[Arrive]])</f>
        <v>5</v>
      </c>
    </row>
    <row r="83" spans="1:16" x14ac:dyDescent="0.25">
      <c r="A83" t="s">
        <v>152</v>
      </c>
      <c r="B83" t="s">
        <v>153</v>
      </c>
      <c r="C83" t="s">
        <v>2226</v>
      </c>
      <c r="D83" s="1">
        <v>43915</v>
      </c>
      <c r="E83" s="1">
        <v>43918</v>
      </c>
      <c r="F83" s="1">
        <v>43912</v>
      </c>
      <c r="G83" s="2">
        <v>0.33333333333333331</v>
      </c>
      <c r="H83" s="3">
        <v>1</v>
      </c>
      <c r="I83" t="s">
        <v>22</v>
      </c>
      <c r="J83" s="12" t="s">
        <v>18</v>
      </c>
      <c r="K83">
        <v>2</v>
      </c>
      <c r="L83">
        <v>0</v>
      </c>
      <c r="M83" t="s">
        <v>19</v>
      </c>
      <c r="N83" s="6">
        <v>315</v>
      </c>
      <c r="O83">
        <f>Table13[[#This Row],[Adults]]+Table13[[#This Row],[Children]]</f>
        <v>2</v>
      </c>
      <c r="P83">
        <f>_xlfn.DAYS(Table13[[#This Row],[Depart]],Table13[[#This Row],[Arrive]])</f>
        <v>3</v>
      </c>
    </row>
    <row r="84" spans="1:16" x14ac:dyDescent="0.25">
      <c r="A84" t="s">
        <v>166</v>
      </c>
      <c r="B84" t="s">
        <v>167</v>
      </c>
      <c r="C84" t="s">
        <v>2224</v>
      </c>
      <c r="D84" s="1">
        <v>43915</v>
      </c>
      <c r="E84" s="1">
        <v>43918</v>
      </c>
      <c r="F84" s="1">
        <v>43914</v>
      </c>
      <c r="G84" s="2">
        <v>0.33333333333333331</v>
      </c>
      <c r="H84" s="3">
        <v>1</v>
      </c>
      <c r="I84" t="s">
        <v>22</v>
      </c>
      <c r="J84" s="12" t="s">
        <v>23</v>
      </c>
      <c r="K84">
        <v>4</v>
      </c>
      <c r="L84">
        <v>0</v>
      </c>
      <c r="M84" t="s">
        <v>19</v>
      </c>
      <c r="N84" s="6">
        <v>330</v>
      </c>
      <c r="O84">
        <f>Table13[[#This Row],[Adults]]+Table13[[#This Row],[Children]]</f>
        <v>4</v>
      </c>
      <c r="P84">
        <f>_xlfn.DAYS(Table13[[#This Row],[Depart]],Table13[[#This Row],[Arrive]])</f>
        <v>3</v>
      </c>
    </row>
    <row r="85" spans="1:16" x14ac:dyDescent="0.25">
      <c r="A85" t="s">
        <v>108</v>
      </c>
      <c r="B85" t="s">
        <v>109</v>
      </c>
      <c r="C85" t="s">
        <v>2223</v>
      </c>
      <c r="D85" s="1">
        <v>43916</v>
      </c>
      <c r="E85" s="1">
        <v>43919</v>
      </c>
      <c r="F85" s="1">
        <v>43911</v>
      </c>
      <c r="G85" s="2">
        <v>0.33333333333333331</v>
      </c>
      <c r="H85" s="3">
        <v>1</v>
      </c>
      <c r="I85" t="s">
        <v>22</v>
      </c>
      <c r="J85" s="12" t="s">
        <v>18</v>
      </c>
      <c r="K85">
        <v>3</v>
      </c>
      <c r="L85">
        <v>0</v>
      </c>
      <c r="M85" t="s">
        <v>19</v>
      </c>
      <c r="N85" s="6">
        <v>330</v>
      </c>
      <c r="O85">
        <f>Table13[[#This Row],[Adults]]+Table13[[#This Row],[Children]]</f>
        <v>3</v>
      </c>
      <c r="P85">
        <f>_xlfn.DAYS(Table13[[#This Row],[Depart]],Table13[[#This Row],[Arrive]])</f>
        <v>3</v>
      </c>
    </row>
    <row r="86" spans="1:16" x14ac:dyDescent="0.25">
      <c r="A86" t="s">
        <v>120</v>
      </c>
      <c r="B86" t="s">
        <v>121</v>
      </c>
      <c r="C86" t="s">
        <v>2226</v>
      </c>
      <c r="D86" s="1">
        <v>43917</v>
      </c>
      <c r="E86" s="1">
        <v>43918</v>
      </c>
      <c r="F86" s="1">
        <v>43905</v>
      </c>
      <c r="G86" s="2">
        <v>0.33333333333333331</v>
      </c>
      <c r="H86" s="3">
        <v>1</v>
      </c>
      <c r="I86" t="s">
        <v>22</v>
      </c>
      <c r="J86" s="12" t="s">
        <v>18</v>
      </c>
      <c r="K86">
        <v>4</v>
      </c>
      <c r="L86">
        <v>0</v>
      </c>
      <c r="M86" t="s">
        <v>19</v>
      </c>
      <c r="N86" s="6">
        <v>110</v>
      </c>
      <c r="O86">
        <f>Table13[[#This Row],[Adults]]+Table13[[#This Row],[Children]]</f>
        <v>4</v>
      </c>
      <c r="P86">
        <f>_xlfn.DAYS(Table13[[#This Row],[Depart]],Table13[[#This Row],[Arrive]])</f>
        <v>1</v>
      </c>
    </row>
    <row r="87" spans="1:16" x14ac:dyDescent="0.25">
      <c r="A87" t="s">
        <v>150</v>
      </c>
      <c r="B87" t="s">
        <v>151</v>
      </c>
      <c r="C87" t="s">
        <v>2224</v>
      </c>
      <c r="D87" s="1">
        <v>43917</v>
      </c>
      <c r="E87" s="1">
        <v>43926</v>
      </c>
      <c r="F87" s="1">
        <v>43911</v>
      </c>
      <c r="G87" s="2">
        <v>0.33333333333333331</v>
      </c>
      <c r="H87" s="3">
        <v>1</v>
      </c>
      <c r="I87" t="s">
        <v>26</v>
      </c>
      <c r="J87" s="12" t="s">
        <v>18</v>
      </c>
      <c r="K87">
        <v>1</v>
      </c>
      <c r="L87">
        <v>0</v>
      </c>
      <c r="M87" t="s">
        <v>19</v>
      </c>
      <c r="N87" s="6">
        <v>955</v>
      </c>
      <c r="O87">
        <f>Table13[[#This Row],[Adults]]+Table13[[#This Row],[Children]]</f>
        <v>1</v>
      </c>
      <c r="P87">
        <f>_xlfn.DAYS(Table13[[#This Row],[Depart]],Table13[[#This Row],[Arrive]])</f>
        <v>9</v>
      </c>
    </row>
    <row r="88" spans="1:16" x14ac:dyDescent="0.25">
      <c r="A88" t="s">
        <v>162</v>
      </c>
      <c r="B88" t="s">
        <v>163</v>
      </c>
      <c r="C88" t="s">
        <v>2223</v>
      </c>
      <c r="D88" s="1">
        <v>43917</v>
      </c>
      <c r="E88" s="1">
        <v>43918</v>
      </c>
      <c r="F88" s="1">
        <v>43906</v>
      </c>
      <c r="G88" s="2">
        <v>0.33333333333333331</v>
      </c>
      <c r="H88" s="3">
        <v>1</v>
      </c>
      <c r="I88" t="s">
        <v>26</v>
      </c>
      <c r="J88" s="12" t="s">
        <v>18</v>
      </c>
      <c r="K88">
        <v>1</v>
      </c>
      <c r="L88">
        <v>0</v>
      </c>
      <c r="M88" t="s">
        <v>19</v>
      </c>
      <c r="N88" s="6">
        <v>107</v>
      </c>
      <c r="O88">
        <f>Table13[[#This Row],[Adults]]+Table13[[#This Row],[Children]]</f>
        <v>1</v>
      </c>
      <c r="P88">
        <f>_xlfn.DAYS(Table13[[#This Row],[Depart]],Table13[[#This Row],[Arrive]])</f>
        <v>1</v>
      </c>
    </row>
    <row r="89" spans="1:16" x14ac:dyDescent="0.25">
      <c r="A89" t="s">
        <v>138</v>
      </c>
      <c r="B89" t="s">
        <v>139</v>
      </c>
      <c r="C89" t="s">
        <v>2223</v>
      </c>
      <c r="D89" s="1">
        <v>43918</v>
      </c>
      <c r="E89" s="1">
        <v>43921</v>
      </c>
      <c r="F89" s="1">
        <v>43893</v>
      </c>
      <c r="G89" s="2">
        <v>0.33333333333333331</v>
      </c>
      <c r="H89" s="3">
        <v>1</v>
      </c>
      <c r="I89" t="s">
        <v>22</v>
      </c>
      <c r="J89" s="12" t="s">
        <v>18</v>
      </c>
      <c r="K89">
        <v>3</v>
      </c>
      <c r="L89">
        <v>0</v>
      </c>
      <c r="M89" t="s">
        <v>19</v>
      </c>
      <c r="N89" s="6">
        <v>330</v>
      </c>
      <c r="O89">
        <f>Table13[[#This Row],[Adults]]+Table13[[#This Row],[Children]]</f>
        <v>3</v>
      </c>
      <c r="P89">
        <f>_xlfn.DAYS(Table13[[#This Row],[Depart]],Table13[[#This Row],[Arrive]])</f>
        <v>3</v>
      </c>
    </row>
    <row r="90" spans="1:16" x14ac:dyDescent="0.25">
      <c r="A90" t="s">
        <v>70</v>
      </c>
      <c r="B90" t="s">
        <v>71</v>
      </c>
      <c r="C90" t="s">
        <v>2226</v>
      </c>
      <c r="D90" s="1">
        <v>43918</v>
      </c>
      <c r="E90" s="1">
        <v>43926</v>
      </c>
      <c r="F90" s="1">
        <v>43869</v>
      </c>
      <c r="G90" s="2">
        <v>0.33333333333333331</v>
      </c>
      <c r="H90" s="3">
        <v>1</v>
      </c>
      <c r="I90" t="s">
        <v>26</v>
      </c>
      <c r="J90" s="12" t="s">
        <v>18</v>
      </c>
      <c r="K90">
        <v>2</v>
      </c>
      <c r="L90">
        <v>0</v>
      </c>
      <c r="M90" t="s">
        <v>19</v>
      </c>
      <c r="N90" s="6">
        <v>880</v>
      </c>
      <c r="O90">
        <f>Table13[[#This Row],[Adults]]+Table13[[#This Row],[Children]]</f>
        <v>2</v>
      </c>
      <c r="P90">
        <f>_xlfn.DAYS(Table13[[#This Row],[Depart]],Table13[[#This Row],[Arrive]])</f>
        <v>8</v>
      </c>
    </row>
    <row r="91" spans="1:16" x14ac:dyDescent="0.25">
      <c r="A91" t="s">
        <v>158</v>
      </c>
      <c r="B91" t="s">
        <v>159</v>
      </c>
      <c r="C91" t="s">
        <v>2224</v>
      </c>
      <c r="D91" s="1">
        <v>43918</v>
      </c>
      <c r="E91" s="1">
        <v>43919</v>
      </c>
      <c r="F91" s="1">
        <v>43913</v>
      </c>
      <c r="G91" s="2">
        <v>0.33333333333333331</v>
      </c>
      <c r="H91" s="3">
        <v>1</v>
      </c>
      <c r="I91" t="s">
        <v>22</v>
      </c>
      <c r="J91" s="12" t="s">
        <v>23</v>
      </c>
      <c r="K91">
        <v>4</v>
      </c>
      <c r="L91">
        <v>0</v>
      </c>
      <c r="M91" t="s">
        <v>19</v>
      </c>
      <c r="N91" s="6">
        <v>110</v>
      </c>
      <c r="O91">
        <f>Table13[[#This Row],[Adults]]+Table13[[#This Row],[Children]]</f>
        <v>4</v>
      </c>
      <c r="P91">
        <f>_xlfn.DAYS(Table13[[#This Row],[Depart]],Table13[[#This Row],[Arrive]])</f>
        <v>1</v>
      </c>
    </row>
    <row r="92" spans="1:16" x14ac:dyDescent="0.25">
      <c r="A92" t="s">
        <v>110</v>
      </c>
      <c r="B92" t="s">
        <v>111</v>
      </c>
      <c r="C92" t="s">
        <v>2225</v>
      </c>
      <c r="D92" s="1">
        <v>43918</v>
      </c>
      <c r="E92" s="1">
        <v>43920</v>
      </c>
      <c r="F92" s="1">
        <v>43916</v>
      </c>
      <c r="G92" s="2">
        <v>0.33333333333333331</v>
      </c>
      <c r="H92" s="3">
        <v>1</v>
      </c>
      <c r="I92" t="s">
        <v>22</v>
      </c>
      <c r="J92" s="12" t="s">
        <v>23</v>
      </c>
      <c r="K92">
        <v>3</v>
      </c>
      <c r="L92">
        <v>0</v>
      </c>
      <c r="M92" t="s">
        <v>19</v>
      </c>
      <c r="N92" s="6">
        <v>220</v>
      </c>
      <c r="O92">
        <f>Table13[[#This Row],[Adults]]+Table13[[#This Row],[Children]]</f>
        <v>3</v>
      </c>
      <c r="P92">
        <f>_xlfn.DAYS(Table13[[#This Row],[Depart]],Table13[[#This Row],[Arrive]])</f>
        <v>2</v>
      </c>
    </row>
    <row r="93" spans="1:16" x14ac:dyDescent="0.25">
      <c r="A93" t="s">
        <v>70</v>
      </c>
      <c r="B93" t="s">
        <v>71</v>
      </c>
      <c r="C93" t="s">
        <v>2223</v>
      </c>
      <c r="D93" s="1">
        <v>43919</v>
      </c>
      <c r="E93" s="1">
        <v>43926</v>
      </c>
      <c r="F93" s="1">
        <v>43879</v>
      </c>
      <c r="G93" s="2">
        <v>0.33333333333333331</v>
      </c>
      <c r="H93" s="3">
        <v>1</v>
      </c>
      <c r="I93" t="s">
        <v>22</v>
      </c>
      <c r="J93" s="12" t="s">
        <v>18</v>
      </c>
      <c r="K93">
        <v>4</v>
      </c>
      <c r="L93">
        <v>0</v>
      </c>
      <c r="M93" t="s">
        <v>19</v>
      </c>
      <c r="N93" s="6">
        <v>770</v>
      </c>
      <c r="O93">
        <f>Table13[[#This Row],[Adults]]+Table13[[#This Row],[Children]]</f>
        <v>4</v>
      </c>
      <c r="P93">
        <f>_xlfn.DAYS(Table13[[#This Row],[Depart]],Table13[[#This Row],[Arrive]])</f>
        <v>7</v>
      </c>
    </row>
    <row r="94" spans="1:16" x14ac:dyDescent="0.25">
      <c r="A94" t="s">
        <v>170</v>
      </c>
      <c r="B94" t="s">
        <v>171</v>
      </c>
      <c r="C94" t="s">
        <v>2224</v>
      </c>
      <c r="D94" s="1">
        <v>43919</v>
      </c>
      <c r="E94" s="1">
        <v>43922</v>
      </c>
      <c r="F94" s="1">
        <v>43918</v>
      </c>
      <c r="G94" s="2">
        <v>0.33333333333333331</v>
      </c>
      <c r="H94" s="3">
        <v>1</v>
      </c>
      <c r="I94" t="s">
        <v>26</v>
      </c>
      <c r="J94" s="12" t="s">
        <v>18</v>
      </c>
      <c r="K94">
        <v>2</v>
      </c>
      <c r="L94">
        <v>0</v>
      </c>
      <c r="M94" t="s">
        <v>19</v>
      </c>
      <c r="N94" s="6">
        <v>319</v>
      </c>
      <c r="O94">
        <f>Table13[[#This Row],[Adults]]+Table13[[#This Row],[Children]]</f>
        <v>2</v>
      </c>
      <c r="P94">
        <f>_xlfn.DAYS(Table13[[#This Row],[Depart]],Table13[[#This Row],[Arrive]])</f>
        <v>3</v>
      </c>
    </row>
    <row r="95" spans="1:16" x14ac:dyDescent="0.25">
      <c r="A95" t="s">
        <v>166</v>
      </c>
      <c r="B95" t="s">
        <v>167</v>
      </c>
      <c r="C95" t="s">
        <v>2224</v>
      </c>
      <c r="D95" s="1">
        <v>43919</v>
      </c>
      <c r="E95" s="1">
        <v>43921</v>
      </c>
      <c r="F95" s="1">
        <v>43918</v>
      </c>
      <c r="G95" s="2">
        <v>0.33333333333333331</v>
      </c>
      <c r="H95" s="3">
        <v>1</v>
      </c>
      <c r="I95" t="s">
        <v>22</v>
      </c>
      <c r="J95" s="12" t="s">
        <v>18</v>
      </c>
      <c r="K95">
        <v>2</v>
      </c>
      <c r="L95">
        <v>0</v>
      </c>
      <c r="M95" t="s">
        <v>19</v>
      </c>
      <c r="N95" s="6">
        <v>220</v>
      </c>
      <c r="O95">
        <f>Table13[[#This Row],[Adults]]+Table13[[#This Row],[Children]]</f>
        <v>2</v>
      </c>
      <c r="P95">
        <f>_xlfn.DAYS(Table13[[#This Row],[Depart]],Table13[[#This Row],[Arrive]])</f>
        <v>2</v>
      </c>
    </row>
    <row r="96" spans="1:16" x14ac:dyDescent="0.25">
      <c r="A96" t="s">
        <v>160</v>
      </c>
      <c r="B96" t="s">
        <v>161</v>
      </c>
      <c r="C96" t="s">
        <v>2223</v>
      </c>
      <c r="D96" s="1">
        <v>43919</v>
      </c>
      <c r="E96" s="1">
        <v>43925</v>
      </c>
      <c r="F96" s="1">
        <v>43917</v>
      </c>
      <c r="G96" s="2">
        <v>0.33333333333333331</v>
      </c>
      <c r="H96" s="3">
        <v>1</v>
      </c>
      <c r="I96" t="s">
        <v>22</v>
      </c>
      <c r="J96" s="12" t="s">
        <v>23</v>
      </c>
      <c r="K96">
        <v>3</v>
      </c>
      <c r="L96">
        <v>0</v>
      </c>
      <c r="M96" t="s">
        <v>19</v>
      </c>
      <c r="N96" s="6">
        <v>660</v>
      </c>
      <c r="O96">
        <f>Table13[[#This Row],[Adults]]+Table13[[#This Row],[Children]]</f>
        <v>3</v>
      </c>
      <c r="P96">
        <f>_xlfn.DAYS(Table13[[#This Row],[Depart]],Table13[[#This Row],[Arrive]])</f>
        <v>6</v>
      </c>
    </row>
    <row r="97" spans="1:16" x14ac:dyDescent="0.25">
      <c r="A97" t="s">
        <v>56</v>
      </c>
      <c r="B97" t="s">
        <v>57</v>
      </c>
      <c r="C97" t="s">
        <v>2225</v>
      </c>
      <c r="D97" s="1">
        <v>43920</v>
      </c>
      <c r="E97" s="1">
        <v>43925</v>
      </c>
      <c r="F97" s="1">
        <v>43886</v>
      </c>
      <c r="G97" s="2">
        <v>0.33333333333333331</v>
      </c>
      <c r="H97" s="3">
        <v>1</v>
      </c>
      <c r="I97" t="s">
        <v>22</v>
      </c>
      <c r="J97" s="12" t="s">
        <v>18</v>
      </c>
      <c r="K97">
        <v>3</v>
      </c>
      <c r="L97">
        <v>0</v>
      </c>
      <c r="M97" t="s">
        <v>19</v>
      </c>
      <c r="N97" s="6">
        <v>550</v>
      </c>
      <c r="O97">
        <f>Table13[[#This Row],[Adults]]+Table13[[#This Row],[Children]]</f>
        <v>3</v>
      </c>
      <c r="P97">
        <f>_xlfn.DAYS(Table13[[#This Row],[Depart]],Table13[[#This Row],[Arrive]])</f>
        <v>5</v>
      </c>
    </row>
    <row r="98" spans="1:16" x14ac:dyDescent="0.25">
      <c r="A98" t="s">
        <v>110</v>
      </c>
      <c r="B98" t="s">
        <v>111</v>
      </c>
      <c r="C98" t="s">
        <v>2224</v>
      </c>
      <c r="D98" s="1">
        <v>43920</v>
      </c>
      <c r="E98" s="1">
        <v>43922</v>
      </c>
      <c r="F98" s="1">
        <v>43920</v>
      </c>
      <c r="G98" s="2">
        <v>0.33333333333333331</v>
      </c>
      <c r="H98" s="3">
        <v>1</v>
      </c>
      <c r="I98" t="s">
        <v>22</v>
      </c>
      <c r="J98" s="12" t="s">
        <v>23</v>
      </c>
      <c r="K98">
        <v>3</v>
      </c>
      <c r="L98">
        <v>0</v>
      </c>
      <c r="M98" t="s">
        <v>19</v>
      </c>
      <c r="N98" s="6">
        <v>220</v>
      </c>
      <c r="O98">
        <f>Table13[[#This Row],[Adults]]+Table13[[#This Row],[Children]]</f>
        <v>3</v>
      </c>
      <c r="P98">
        <f>_xlfn.DAYS(Table13[[#This Row],[Depart]],Table13[[#This Row],[Arrive]])</f>
        <v>2</v>
      </c>
    </row>
    <row r="99" spans="1:16" x14ac:dyDescent="0.25">
      <c r="A99" t="s">
        <v>130</v>
      </c>
      <c r="B99" t="s">
        <v>131</v>
      </c>
      <c r="C99" t="s">
        <v>2227</v>
      </c>
      <c r="D99" s="1">
        <v>43921</v>
      </c>
      <c r="E99" s="1">
        <v>43928</v>
      </c>
      <c r="F99" s="1">
        <v>43879</v>
      </c>
      <c r="G99" s="2">
        <v>0.33333333333333331</v>
      </c>
      <c r="H99" s="3">
        <v>1</v>
      </c>
      <c r="I99" t="s">
        <v>22</v>
      </c>
      <c r="J99" s="12" t="s">
        <v>18</v>
      </c>
      <c r="K99">
        <v>4</v>
      </c>
      <c r="L99">
        <v>3</v>
      </c>
      <c r="M99" t="s">
        <v>19</v>
      </c>
      <c r="N99" s="6">
        <v>110</v>
      </c>
      <c r="O99">
        <f>Table13[[#This Row],[Adults]]+Table13[[#This Row],[Children]]</f>
        <v>7</v>
      </c>
      <c r="P99">
        <f>_xlfn.DAYS(Table13[[#This Row],[Depart]],Table13[[#This Row],[Arrive]])</f>
        <v>7</v>
      </c>
    </row>
    <row r="100" spans="1:16" x14ac:dyDescent="0.25">
      <c r="A100" t="s">
        <v>126</v>
      </c>
      <c r="B100" t="s">
        <v>127</v>
      </c>
      <c r="C100" t="s">
        <v>2223</v>
      </c>
      <c r="D100" s="1">
        <v>43922</v>
      </c>
      <c r="E100" s="1">
        <v>43923</v>
      </c>
      <c r="F100" s="1">
        <v>43907</v>
      </c>
      <c r="G100" s="2">
        <v>0.33333333333333331</v>
      </c>
      <c r="H100" s="3">
        <v>1</v>
      </c>
      <c r="I100" t="s">
        <v>26</v>
      </c>
      <c r="J100" s="12" t="s">
        <v>18</v>
      </c>
      <c r="K100">
        <v>1</v>
      </c>
      <c r="L100">
        <v>0</v>
      </c>
      <c r="M100" t="s">
        <v>19</v>
      </c>
      <c r="N100" s="6">
        <v>107</v>
      </c>
      <c r="O100">
        <f>Table13[[#This Row],[Adults]]+Table13[[#This Row],[Children]]</f>
        <v>1</v>
      </c>
      <c r="P100">
        <f>_xlfn.DAYS(Table13[[#This Row],[Depart]],Table13[[#This Row],[Arrive]])</f>
        <v>1</v>
      </c>
    </row>
    <row r="101" spans="1:16" x14ac:dyDescent="0.25">
      <c r="A101" t="s">
        <v>110</v>
      </c>
      <c r="B101" t="s">
        <v>111</v>
      </c>
      <c r="C101" t="s">
        <v>2224</v>
      </c>
      <c r="D101" s="1">
        <v>43922</v>
      </c>
      <c r="E101" s="1">
        <v>43933</v>
      </c>
      <c r="F101" s="1">
        <v>43920</v>
      </c>
      <c r="G101" s="2">
        <v>0.33333333333333331</v>
      </c>
      <c r="H101" s="3">
        <v>1</v>
      </c>
      <c r="I101" t="s">
        <v>22</v>
      </c>
      <c r="J101" s="12" t="s">
        <v>23</v>
      </c>
      <c r="K101">
        <v>2</v>
      </c>
      <c r="L101">
        <v>0</v>
      </c>
      <c r="M101" t="s">
        <v>19</v>
      </c>
      <c r="N101" s="6">
        <v>1210</v>
      </c>
      <c r="O101">
        <f>Table13[[#This Row],[Adults]]+Table13[[#This Row],[Children]]</f>
        <v>2</v>
      </c>
      <c r="P101">
        <f>_xlfn.DAYS(Table13[[#This Row],[Depart]],Table13[[#This Row],[Arrive]])</f>
        <v>11</v>
      </c>
    </row>
    <row r="102" spans="1:16" x14ac:dyDescent="0.25">
      <c r="A102" t="s">
        <v>180</v>
      </c>
      <c r="B102" t="s">
        <v>181</v>
      </c>
      <c r="C102" t="s">
        <v>2225</v>
      </c>
      <c r="D102" s="1">
        <v>43923</v>
      </c>
      <c r="E102" s="1">
        <v>43926</v>
      </c>
      <c r="F102" s="1">
        <v>43923</v>
      </c>
      <c r="G102" s="2">
        <v>0.33333333333333331</v>
      </c>
      <c r="H102" s="3">
        <v>1</v>
      </c>
      <c r="I102" t="s">
        <v>22</v>
      </c>
      <c r="J102" s="12" t="s">
        <v>23</v>
      </c>
      <c r="K102">
        <v>4</v>
      </c>
      <c r="L102">
        <v>0</v>
      </c>
      <c r="M102" t="s">
        <v>19</v>
      </c>
      <c r="N102" s="6">
        <v>330</v>
      </c>
      <c r="O102">
        <f>Table13[[#This Row],[Adults]]+Table13[[#This Row],[Children]]</f>
        <v>4</v>
      </c>
      <c r="P102">
        <f>_xlfn.DAYS(Table13[[#This Row],[Depart]],Table13[[#This Row],[Arrive]])</f>
        <v>3</v>
      </c>
    </row>
    <row r="103" spans="1:16" x14ac:dyDescent="0.25">
      <c r="A103" t="s">
        <v>160</v>
      </c>
      <c r="B103" t="s">
        <v>161</v>
      </c>
      <c r="C103" t="s">
        <v>2223</v>
      </c>
      <c r="D103" s="1">
        <v>43925</v>
      </c>
      <c r="E103" s="1">
        <v>43926</v>
      </c>
      <c r="F103" s="1">
        <v>43930</v>
      </c>
      <c r="G103" s="2">
        <v>0.33333333333333331</v>
      </c>
      <c r="H103" s="3">
        <v>1</v>
      </c>
      <c r="I103" t="s">
        <v>22</v>
      </c>
      <c r="J103" s="12" t="s">
        <v>23</v>
      </c>
      <c r="K103">
        <v>2</v>
      </c>
      <c r="L103">
        <v>0</v>
      </c>
      <c r="M103" t="s">
        <v>19</v>
      </c>
      <c r="N103" s="6">
        <v>110</v>
      </c>
      <c r="O103">
        <f>Table13[[#This Row],[Adults]]+Table13[[#This Row],[Children]]</f>
        <v>2</v>
      </c>
      <c r="P103">
        <f>_xlfn.DAYS(Table13[[#This Row],[Depart]],Table13[[#This Row],[Arrive]])</f>
        <v>1</v>
      </c>
    </row>
    <row r="104" spans="1:16" x14ac:dyDescent="0.25">
      <c r="A104" t="s">
        <v>168</v>
      </c>
      <c r="B104" t="s">
        <v>169</v>
      </c>
      <c r="C104" t="s">
        <v>2223</v>
      </c>
      <c r="D104" s="1">
        <v>43926</v>
      </c>
      <c r="E104" s="1">
        <v>43927</v>
      </c>
      <c r="F104" s="1">
        <v>43917</v>
      </c>
      <c r="G104" s="2">
        <v>0.33333333333333331</v>
      </c>
      <c r="H104" s="3">
        <v>1</v>
      </c>
      <c r="I104" t="s">
        <v>26</v>
      </c>
      <c r="J104" s="12" t="s">
        <v>18</v>
      </c>
      <c r="K104">
        <v>1</v>
      </c>
      <c r="L104">
        <v>0</v>
      </c>
      <c r="M104" t="s">
        <v>19</v>
      </c>
      <c r="N104" s="6">
        <v>107</v>
      </c>
      <c r="O104">
        <f>Table13[[#This Row],[Adults]]+Table13[[#This Row],[Children]]</f>
        <v>1</v>
      </c>
      <c r="P104">
        <f>_xlfn.DAYS(Table13[[#This Row],[Depart]],Table13[[#This Row],[Arrive]])</f>
        <v>1</v>
      </c>
    </row>
    <row r="105" spans="1:16" x14ac:dyDescent="0.25">
      <c r="A105" t="s">
        <v>160</v>
      </c>
      <c r="B105" t="s">
        <v>161</v>
      </c>
      <c r="C105" t="s">
        <v>2223</v>
      </c>
      <c r="D105" s="1">
        <v>43926</v>
      </c>
      <c r="E105" s="1">
        <v>43927</v>
      </c>
      <c r="F105" s="1">
        <v>43925</v>
      </c>
      <c r="G105" s="2">
        <v>0.33333333333333331</v>
      </c>
      <c r="H105" s="3">
        <v>1</v>
      </c>
      <c r="I105" t="s">
        <v>22</v>
      </c>
      <c r="J105" s="12" t="s">
        <v>23</v>
      </c>
      <c r="K105">
        <v>3</v>
      </c>
      <c r="L105">
        <v>0</v>
      </c>
      <c r="M105" t="s">
        <v>19</v>
      </c>
      <c r="N105" s="6">
        <v>110</v>
      </c>
      <c r="O105">
        <f>Table13[[#This Row],[Adults]]+Table13[[#This Row],[Children]]</f>
        <v>3</v>
      </c>
      <c r="P105">
        <f>_xlfn.DAYS(Table13[[#This Row],[Depart]],Table13[[#This Row],[Arrive]])</f>
        <v>1</v>
      </c>
    </row>
    <row r="106" spans="1:16" x14ac:dyDescent="0.25">
      <c r="A106" t="s">
        <v>164</v>
      </c>
      <c r="B106" t="s">
        <v>165</v>
      </c>
      <c r="C106" t="s">
        <v>2226</v>
      </c>
      <c r="D106" s="1">
        <v>43927</v>
      </c>
      <c r="E106" s="1">
        <v>43928</v>
      </c>
      <c r="F106" s="1">
        <v>43916</v>
      </c>
      <c r="G106" s="2">
        <v>0.33333333333333331</v>
      </c>
      <c r="H106" s="3">
        <v>1</v>
      </c>
      <c r="I106" t="s">
        <v>26</v>
      </c>
      <c r="J106" s="12" t="s">
        <v>18</v>
      </c>
      <c r="K106">
        <v>6</v>
      </c>
      <c r="L106">
        <v>0</v>
      </c>
      <c r="M106" t="s">
        <v>19</v>
      </c>
      <c r="N106" s="6">
        <v>107</v>
      </c>
      <c r="O106">
        <f>Table13[[#This Row],[Adults]]+Table13[[#This Row],[Children]]</f>
        <v>6</v>
      </c>
      <c r="P106">
        <f>_xlfn.DAYS(Table13[[#This Row],[Depart]],Table13[[#This Row],[Arrive]])</f>
        <v>1</v>
      </c>
    </row>
    <row r="107" spans="1:16" x14ac:dyDescent="0.25">
      <c r="A107" t="s">
        <v>160</v>
      </c>
      <c r="B107" t="s">
        <v>161</v>
      </c>
      <c r="C107" t="s">
        <v>2223</v>
      </c>
      <c r="D107" s="1">
        <v>43927</v>
      </c>
      <c r="E107" s="1">
        <v>43933</v>
      </c>
      <c r="F107" s="1">
        <v>43923</v>
      </c>
      <c r="G107" s="2">
        <v>0.33333333333333331</v>
      </c>
      <c r="H107" s="3">
        <v>1</v>
      </c>
      <c r="I107" t="s">
        <v>22</v>
      </c>
      <c r="J107" s="12" t="s">
        <v>23</v>
      </c>
      <c r="K107">
        <v>3</v>
      </c>
      <c r="L107">
        <v>0</v>
      </c>
      <c r="M107" t="s">
        <v>19</v>
      </c>
      <c r="N107" s="6">
        <v>110</v>
      </c>
      <c r="O107">
        <f>Table13[[#This Row],[Adults]]+Table13[[#This Row],[Children]]</f>
        <v>3</v>
      </c>
      <c r="P107">
        <f>_xlfn.DAYS(Table13[[#This Row],[Depart]],Table13[[#This Row],[Arrive]])</f>
        <v>6</v>
      </c>
    </row>
    <row r="108" spans="1:16" x14ac:dyDescent="0.25">
      <c r="A108" t="s">
        <v>100</v>
      </c>
      <c r="B108" t="s">
        <v>101</v>
      </c>
      <c r="C108" t="s">
        <v>2226</v>
      </c>
      <c r="D108" s="1">
        <v>43928</v>
      </c>
      <c r="E108" s="1">
        <v>43934</v>
      </c>
      <c r="F108" s="1">
        <v>43895</v>
      </c>
      <c r="G108" s="2">
        <v>0.33333333333333331</v>
      </c>
      <c r="H108" s="3">
        <v>1</v>
      </c>
      <c r="I108" t="s">
        <v>26</v>
      </c>
      <c r="J108" s="12" t="s">
        <v>18</v>
      </c>
      <c r="K108">
        <v>1</v>
      </c>
      <c r="L108">
        <v>0</v>
      </c>
      <c r="M108" t="s">
        <v>19</v>
      </c>
      <c r="N108" s="6">
        <v>637</v>
      </c>
      <c r="O108">
        <f>Table13[[#This Row],[Adults]]+Table13[[#This Row],[Children]]</f>
        <v>1</v>
      </c>
      <c r="P108">
        <f>_xlfn.DAYS(Table13[[#This Row],[Depart]],Table13[[#This Row],[Arrive]])</f>
        <v>6</v>
      </c>
    </row>
    <row r="109" spans="1:16" x14ac:dyDescent="0.25">
      <c r="A109" t="s">
        <v>88</v>
      </c>
      <c r="B109" t="s">
        <v>89</v>
      </c>
      <c r="C109" t="s">
        <v>2226</v>
      </c>
      <c r="D109" s="1">
        <v>43929</v>
      </c>
      <c r="E109" s="1">
        <v>43946</v>
      </c>
      <c r="F109" s="1">
        <v>43890</v>
      </c>
      <c r="G109" s="2">
        <v>0.33333333333333331</v>
      </c>
      <c r="H109" s="3">
        <v>1</v>
      </c>
      <c r="I109" t="s">
        <v>26</v>
      </c>
      <c r="J109" s="12" t="s">
        <v>18</v>
      </c>
      <c r="K109">
        <v>1</v>
      </c>
      <c r="L109">
        <v>0</v>
      </c>
      <c r="M109" t="s">
        <v>19</v>
      </c>
      <c r="N109" s="6">
        <v>1749</v>
      </c>
      <c r="O109">
        <f>Table13[[#This Row],[Adults]]+Table13[[#This Row],[Children]]</f>
        <v>1</v>
      </c>
      <c r="P109">
        <f>_xlfn.DAYS(Table13[[#This Row],[Depart]],Table13[[#This Row],[Arrive]])</f>
        <v>17</v>
      </c>
    </row>
    <row r="110" spans="1:16" x14ac:dyDescent="0.25">
      <c r="A110" t="s">
        <v>62</v>
      </c>
      <c r="B110" t="s">
        <v>63</v>
      </c>
      <c r="C110" t="s">
        <v>2225</v>
      </c>
      <c r="D110" s="1">
        <v>43931</v>
      </c>
      <c r="E110" s="1">
        <v>43938</v>
      </c>
      <c r="F110" s="1">
        <v>43884</v>
      </c>
      <c r="G110" s="2">
        <v>0.33333333333333331</v>
      </c>
      <c r="H110" s="3">
        <v>1</v>
      </c>
      <c r="I110" t="s">
        <v>26</v>
      </c>
      <c r="J110" s="12" t="s">
        <v>18</v>
      </c>
      <c r="K110">
        <v>1</v>
      </c>
      <c r="L110">
        <v>0</v>
      </c>
      <c r="M110" t="s">
        <v>19</v>
      </c>
      <c r="N110" s="6">
        <v>740</v>
      </c>
      <c r="O110">
        <f>Table13[[#This Row],[Adults]]+Table13[[#This Row],[Children]]</f>
        <v>1</v>
      </c>
      <c r="P110">
        <f>_xlfn.DAYS(Table13[[#This Row],[Depart]],Table13[[#This Row],[Arrive]])</f>
        <v>7</v>
      </c>
    </row>
    <row r="111" spans="1:16" x14ac:dyDescent="0.25">
      <c r="A111" t="s">
        <v>945</v>
      </c>
      <c r="B111" t="s">
        <v>946</v>
      </c>
      <c r="C111" t="s">
        <v>2226</v>
      </c>
      <c r="D111" s="1">
        <v>43932</v>
      </c>
      <c r="E111" s="1">
        <v>43962</v>
      </c>
      <c r="F111" s="1">
        <v>44137</v>
      </c>
      <c r="G111" s="2">
        <v>0.5</v>
      </c>
      <c r="H111" s="2">
        <v>0.58333333333333337</v>
      </c>
      <c r="I111" t="s">
        <v>22</v>
      </c>
      <c r="J111" s="12" t="s">
        <v>18</v>
      </c>
      <c r="K111">
        <v>1</v>
      </c>
      <c r="L111">
        <v>0</v>
      </c>
      <c r="M111" t="s">
        <v>19</v>
      </c>
      <c r="N111" s="6">
        <v>130000</v>
      </c>
      <c r="O111">
        <f>Table13[[#This Row],[Adults]]+Table13[[#This Row],[Children]]</f>
        <v>1</v>
      </c>
      <c r="P111">
        <f>_xlfn.DAYS(Table13[[#This Row],[Depart]],Table13[[#This Row],[Arrive]])</f>
        <v>30</v>
      </c>
    </row>
    <row r="112" spans="1:16" x14ac:dyDescent="0.25">
      <c r="A112" t="s">
        <v>945</v>
      </c>
      <c r="B112" t="s">
        <v>946</v>
      </c>
      <c r="C112" t="s">
        <v>2226</v>
      </c>
      <c r="D112" s="1">
        <v>43932</v>
      </c>
      <c r="E112" s="1">
        <v>43962</v>
      </c>
      <c r="F112" s="1">
        <v>44137</v>
      </c>
      <c r="G112" s="2">
        <v>0.5</v>
      </c>
      <c r="H112" s="2">
        <v>0.58333333333333337</v>
      </c>
      <c r="I112" t="s">
        <v>22</v>
      </c>
      <c r="J112" s="12" t="s">
        <v>18</v>
      </c>
      <c r="K112">
        <v>1</v>
      </c>
      <c r="L112">
        <v>0</v>
      </c>
      <c r="M112" t="s">
        <v>19</v>
      </c>
      <c r="N112" s="6">
        <v>130000</v>
      </c>
      <c r="O112">
        <f>Table13[[#This Row],[Adults]]+Table13[[#This Row],[Children]]</f>
        <v>1</v>
      </c>
      <c r="P112">
        <f>_xlfn.DAYS(Table13[[#This Row],[Depart]],Table13[[#This Row],[Arrive]])</f>
        <v>30</v>
      </c>
    </row>
    <row r="113" spans="1:16" x14ac:dyDescent="0.25">
      <c r="A113" t="s">
        <v>110</v>
      </c>
      <c r="B113" t="s">
        <v>111</v>
      </c>
      <c r="C113" t="s">
        <v>2224</v>
      </c>
      <c r="D113" s="1">
        <v>43933</v>
      </c>
      <c r="E113" s="1">
        <v>43936</v>
      </c>
      <c r="F113" s="1">
        <v>43931</v>
      </c>
      <c r="G113" s="2">
        <v>0.33333333333333331</v>
      </c>
      <c r="H113" s="3">
        <v>1</v>
      </c>
      <c r="I113" t="s">
        <v>22</v>
      </c>
      <c r="J113" s="12" t="s">
        <v>23</v>
      </c>
      <c r="K113">
        <v>3</v>
      </c>
      <c r="L113">
        <v>0</v>
      </c>
      <c r="M113" t="s">
        <v>19</v>
      </c>
      <c r="N113" s="6">
        <v>330</v>
      </c>
      <c r="O113">
        <f>Table13[[#This Row],[Adults]]+Table13[[#This Row],[Children]]</f>
        <v>3</v>
      </c>
      <c r="P113">
        <f>_xlfn.DAYS(Table13[[#This Row],[Depart]],Table13[[#This Row],[Arrive]])</f>
        <v>3</v>
      </c>
    </row>
    <row r="114" spans="1:16" x14ac:dyDescent="0.25">
      <c r="A114" t="s">
        <v>160</v>
      </c>
      <c r="B114" t="s">
        <v>161</v>
      </c>
      <c r="C114" t="s">
        <v>2223</v>
      </c>
      <c r="D114" s="1">
        <v>43933</v>
      </c>
      <c r="E114" s="1">
        <v>43941</v>
      </c>
      <c r="F114" s="1">
        <v>43928</v>
      </c>
      <c r="G114" s="2">
        <v>0.33333333333333331</v>
      </c>
      <c r="H114" s="3">
        <v>1</v>
      </c>
      <c r="I114" t="s">
        <v>22</v>
      </c>
      <c r="J114" s="12" t="s">
        <v>23</v>
      </c>
      <c r="K114">
        <v>3</v>
      </c>
      <c r="L114">
        <v>0</v>
      </c>
      <c r="M114" t="s">
        <v>19</v>
      </c>
      <c r="N114" s="6">
        <v>880</v>
      </c>
      <c r="O114">
        <f>Table13[[#This Row],[Adults]]+Table13[[#This Row],[Children]]</f>
        <v>3</v>
      </c>
      <c r="P114">
        <f>_xlfn.DAYS(Table13[[#This Row],[Depart]],Table13[[#This Row],[Arrive]])</f>
        <v>8</v>
      </c>
    </row>
    <row r="115" spans="1:16" x14ac:dyDescent="0.25">
      <c r="A115" t="s">
        <v>945</v>
      </c>
      <c r="B115" t="s">
        <v>946</v>
      </c>
      <c r="C115" t="s">
        <v>2226</v>
      </c>
      <c r="D115" s="1">
        <v>43933</v>
      </c>
      <c r="E115" s="1">
        <v>43994</v>
      </c>
      <c r="F115" s="1">
        <v>44127</v>
      </c>
      <c r="G115" s="2">
        <v>0.5</v>
      </c>
      <c r="H115" s="2">
        <v>0.58333333333333337</v>
      </c>
      <c r="I115" t="s">
        <v>22</v>
      </c>
      <c r="J115" s="12" t="s">
        <v>18</v>
      </c>
      <c r="K115">
        <v>1</v>
      </c>
      <c r="L115">
        <v>0</v>
      </c>
      <c r="M115" t="s">
        <v>19</v>
      </c>
      <c r="N115" s="6">
        <v>260000</v>
      </c>
      <c r="O115">
        <f>Table13[[#This Row],[Adults]]+Table13[[#This Row],[Children]]</f>
        <v>1</v>
      </c>
      <c r="P115">
        <f>_xlfn.DAYS(Table13[[#This Row],[Depart]],Table13[[#This Row],[Arrive]])</f>
        <v>61</v>
      </c>
    </row>
    <row r="116" spans="1:16" x14ac:dyDescent="0.25">
      <c r="A116" t="s">
        <v>895</v>
      </c>
      <c r="B116" t="s">
        <v>896</v>
      </c>
      <c r="C116" t="s">
        <v>2226</v>
      </c>
      <c r="D116" s="1">
        <v>43933</v>
      </c>
      <c r="E116" s="1">
        <v>43963</v>
      </c>
      <c r="F116" s="1">
        <v>44130</v>
      </c>
      <c r="G116" s="2">
        <v>0.5</v>
      </c>
      <c r="H116" s="2">
        <v>0.58333333333333337</v>
      </c>
      <c r="I116" t="s">
        <v>22</v>
      </c>
      <c r="J116" s="12" t="s">
        <v>18</v>
      </c>
      <c r="K116">
        <v>1</v>
      </c>
      <c r="L116">
        <v>0</v>
      </c>
      <c r="M116" t="s">
        <v>19</v>
      </c>
      <c r="N116" s="6">
        <v>130000</v>
      </c>
      <c r="O116">
        <f>Table13[[#This Row],[Adults]]+Table13[[#This Row],[Children]]</f>
        <v>1</v>
      </c>
      <c r="P116">
        <f>_xlfn.DAYS(Table13[[#This Row],[Depart]],Table13[[#This Row],[Arrive]])</f>
        <v>30</v>
      </c>
    </row>
    <row r="117" spans="1:16" x14ac:dyDescent="0.25">
      <c r="A117" t="s">
        <v>871</v>
      </c>
      <c r="B117" t="s">
        <v>872</v>
      </c>
      <c r="C117" t="s">
        <v>2226</v>
      </c>
      <c r="D117" s="1">
        <v>43933</v>
      </c>
      <c r="E117" s="1">
        <v>43963</v>
      </c>
      <c r="F117" s="1">
        <v>44131</v>
      </c>
      <c r="G117" s="2">
        <v>0.5</v>
      </c>
      <c r="H117" s="2">
        <v>0.58333333333333337</v>
      </c>
      <c r="I117" t="s">
        <v>22</v>
      </c>
      <c r="J117" s="12" t="s">
        <v>18</v>
      </c>
      <c r="K117">
        <v>1</v>
      </c>
      <c r="L117">
        <v>0</v>
      </c>
      <c r="M117" t="s">
        <v>19</v>
      </c>
      <c r="N117" s="6">
        <v>130000</v>
      </c>
      <c r="O117">
        <f>Table13[[#This Row],[Adults]]+Table13[[#This Row],[Children]]</f>
        <v>1</v>
      </c>
      <c r="P117">
        <f>_xlfn.DAYS(Table13[[#This Row],[Depart]],Table13[[#This Row],[Arrive]])</f>
        <v>30</v>
      </c>
    </row>
    <row r="118" spans="1:16" x14ac:dyDescent="0.25">
      <c r="A118" t="s">
        <v>871</v>
      </c>
      <c r="B118" t="s">
        <v>872</v>
      </c>
      <c r="C118" t="s">
        <v>2226</v>
      </c>
      <c r="D118" s="1">
        <v>43933</v>
      </c>
      <c r="E118" s="1">
        <v>43963</v>
      </c>
      <c r="F118" s="1">
        <v>44132</v>
      </c>
      <c r="G118" s="2">
        <v>0.5</v>
      </c>
      <c r="H118" s="2">
        <v>0.58333333333333337</v>
      </c>
      <c r="I118" t="s">
        <v>22</v>
      </c>
      <c r="J118" s="12" t="s">
        <v>18</v>
      </c>
      <c r="K118">
        <v>1</v>
      </c>
      <c r="L118">
        <v>0</v>
      </c>
      <c r="M118" t="s">
        <v>19</v>
      </c>
      <c r="N118" s="6">
        <v>130000</v>
      </c>
      <c r="O118">
        <f>Table13[[#This Row],[Adults]]+Table13[[#This Row],[Children]]</f>
        <v>1</v>
      </c>
      <c r="P118">
        <f>_xlfn.DAYS(Table13[[#This Row],[Depart]],Table13[[#This Row],[Arrive]])</f>
        <v>30</v>
      </c>
    </row>
    <row r="119" spans="1:16" x14ac:dyDescent="0.25">
      <c r="A119" t="s">
        <v>993</v>
      </c>
      <c r="B119" t="s">
        <v>994</v>
      </c>
      <c r="C119" t="s">
        <v>2226</v>
      </c>
      <c r="D119" s="1">
        <v>43933</v>
      </c>
      <c r="E119" s="1">
        <v>43963</v>
      </c>
      <c r="F119" s="1">
        <v>44139</v>
      </c>
      <c r="G119" s="2">
        <v>0.5</v>
      </c>
      <c r="H119" s="2">
        <v>0.58333333333333337</v>
      </c>
      <c r="I119" t="s">
        <v>22</v>
      </c>
      <c r="J119" s="12" t="s">
        <v>18</v>
      </c>
      <c r="K119">
        <v>8</v>
      </c>
      <c r="L119">
        <v>0</v>
      </c>
      <c r="M119" t="s">
        <v>19</v>
      </c>
      <c r="N119" s="6">
        <v>130000</v>
      </c>
      <c r="O119">
        <f>Table13[[#This Row],[Adults]]+Table13[[#This Row],[Children]]</f>
        <v>8</v>
      </c>
      <c r="P119">
        <f>_xlfn.DAYS(Table13[[#This Row],[Depart]],Table13[[#This Row],[Arrive]])</f>
        <v>30</v>
      </c>
    </row>
    <row r="120" spans="1:16" x14ac:dyDescent="0.25">
      <c r="A120" t="s">
        <v>142</v>
      </c>
      <c r="B120" t="s">
        <v>143</v>
      </c>
      <c r="C120" t="s">
        <v>2225</v>
      </c>
      <c r="D120" s="1">
        <v>43934</v>
      </c>
      <c r="E120" s="1">
        <v>43942</v>
      </c>
      <c r="F120" s="1">
        <v>43904</v>
      </c>
      <c r="G120" s="2">
        <v>0.33333333333333331</v>
      </c>
      <c r="H120" s="3">
        <v>1</v>
      </c>
      <c r="I120" t="s">
        <v>22</v>
      </c>
      <c r="J120" s="12" t="s">
        <v>18</v>
      </c>
      <c r="K120">
        <v>3</v>
      </c>
      <c r="L120">
        <v>0</v>
      </c>
      <c r="M120" t="s">
        <v>19</v>
      </c>
      <c r="N120" s="6">
        <v>880</v>
      </c>
      <c r="O120">
        <f>Table13[[#This Row],[Adults]]+Table13[[#This Row],[Children]]</f>
        <v>3</v>
      </c>
      <c r="P120">
        <f>_xlfn.DAYS(Table13[[#This Row],[Depart]],Table13[[#This Row],[Arrive]])</f>
        <v>8</v>
      </c>
    </row>
    <row r="121" spans="1:16" x14ac:dyDescent="0.25">
      <c r="A121" t="s">
        <v>94</v>
      </c>
      <c r="B121" t="s">
        <v>95</v>
      </c>
      <c r="C121" t="s">
        <v>2223</v>
      </c>
      <c r="D121" s="1">
        <v>43935</v>
      </c>
      <c r="E121" s="1">
        <v>43936</v>
      </c>
      <c r="F121" s="1">
        <v>43894</v>
      </c>
      <c r="G121" s="2">
        <v>0.33333333333333331</v>
      </c>
      <c r="H121" s="3">
        <v>1</v>
      </c>
      <c r="I121" t="s">
        <v>26</v>
      </c>
      <c r="J121" s="12" t="s">
        <v>18</v>
      </c>
      <c r="K121">
        <v>1</v>
      </c>
      <c r="L121">
        <v>0</v>
      </c>
      <c r="M121" t="s">
        <v>19</v>
      </c>
      <c r="N121" s="6">
        <v>106</v>
      </c>
      <c r="O121">
        <f>Table13[[#This Row],[Adults]]+Table13[[#This Row],[Children]]</f>
        <v>1</v>
      </c>
      <c r="P121">
        <f>_xlfn.DAYS(Table13[[#This Row],[Depart]],Table13[[#This Row],[Arrive]])</f>
        <v>1</v>
      </c>
    </row>
    <row r="122" spans="1:16" x14ac:dyDescent="0.25">
      <c r="A122" t="s">
        <v>176</v>
      </c>
      <c r="B122" t="s">
        <v>177</v>
      </c>
      <c r="C122" t="s">
        <v>2223</v>
      </c>
      <c r="D122" s="1">
        <v>43935</v>
      </c>
      <c r="E122" s="1">
        <v>43940</v>
      </c>
      <c r="F122" s="1">
        <v>43897</v>
      </c>
      <c r="G122" s="2">
        <v>0.33333333333333331</v>
      </c>
      <c r="H122" s="3">
        <v>1</v>
      </c>
      <c r="I122" t="s">
        <v>22</v>
      </c>
      <c r="J122" s="12" t="s">
        <v>18</v>
      </c>
      <c r="K122">
        <v>2</v>
      </c>
      <c r="L122">
        <v>0</v>
      </c>
      <c r="M122" t="s">
        <v>19</v>
      </c>
      <c r="N122" s="6">
        <v>550</v>
      </c>
      <c r="O122">
        <f>Table13[[#This Row],[Adults]]+Table13[[#This Row],[Children]]</f>
        <v>2</v>
      </c>
      <c r="P122">
        <f>_xlfn.DAYS(Table13[[#This Row],[Depart]],Table13[[#This Row],[Arrive]])</f>
        <v>5</v>
      </c>
    </row>
    <row r="123" spans="1:16" x14ac:dyDescent="0.25">
      <c r="A123" t="s">
        <v>160</v>
      </c>
      <c r="B123" t="s">
        <v>161</v>
      </c>
      <c r="C123" t="s">
        <v>2223</v>
      </c>
      <c r="D123" s="1">
        <v>43936</v>
      </c>
      <c r="E123" s="1">
        <v>43942</v>
      </c>
      <c r="F123" s="1">
        <v>43935</v>
      </c>
      <c r="G123" s="2">
        <v>0.33333333333333331</v>
      </c>
      <c r="H123" s="3">
        <v>1</v>
      </c>
      <c r="I123" t="s">
        <v>22</v>
      </c>
      <c r="J123" s="12" t="s">
        <v>18</v>
      </c>
      <c r="K123">
        <v>4</v>
      </c>
      <c r="L123">
        <v>0</v>
      </c>
      <c r="M123" t="s">
        <v>19</v>
      </c>
      <c r="N123" s="6">
        <v>660</v>
      </c>
      <c r="O123">
        <f>Table13[[#This Row],[Adults]]+Table13[[#This Row],[Children]]</f>
        <v>4</v>
      </c>
      <c r="P123">
        <f>_xlfn.DAYS(Table13[[#This Row],[Depart]],Table13[[#This Row],[Arrive]])</f>
        <v>6</v>
      </c>
    </row>
    <row r="124" spans="1:16" x14ac:dyDescent="0.25">
      <c r="A124" t="s">
        <v>110</v>
      </c>
      <c r="B124" t="s">
        <v>111</v>
      </c>
      <c r="C124" t="s">
        <v>2224</v>
      </c>
      <c r="D124" s="1">
        <v>43936</v>
      </c>
      <c r="E124" s="1">
        <v>43951</v>
      </c>
      <c r="F124" s="1">
        <v>43935</v>
      </c>
      <c r="G124" s="2">
        <v>0.33333333333333331</v>
      </c>
      <c r="H124" s="3">
        <v>1</v>
      </c>
      <c r="I124" t="s">
        <v>22</v>
      </c>
      <c r="J124" s="12" t="s">
        <v>23</v>
      </c>
      <c r="K124">
        <v>3</v>
      </c>
      <c r="L124">
        <v>0</v>
      </c>
      <c r="M124" t="s">
        <v>19</v>
      </c>
      <c r="N124" s="6">
        <v>1650</v>
      </c>
      <c r="O124">
        <f>Table13[[#This Row],[Adults]]+Table13[[#This Row],[Children]]</f>
        <v>3</v>
      </c>
      <c r="P124">
        <f>_xlfn.DAYS(Table13[[#This Row],[Depart]],Table13[[#This Row],[Arrive]])</f>
        <v>15</v>
      </c>
    </row>
    <row r="125" spans="1:16" x14ac:dyDescent="0.25">
      <c r="A125" t="s">
        <v>160</v>
      </c>
      <c r="B125" t="s">
        <v>161</v>
      </c>
      <c r="C125" t="s">
        <v>2223</v>
      </c>
      <c r="D125" s="1">
        <v>43936</v>
      </c>
      <c r="E125" s="1">
        <v>43942</v>
      </c>
      <c r="F125" s="1">
        <v>43935</v>
      </c>
      <c r="G125" s="2">
        <v>0.33333333333333331</v>
      </c>
      <c r="H125" s="3">
        <v>1</v>
      </c>
      <c r="I125" t="s">
        <v>22</v>
      </c>
      <c r="J125" s="12" t="s">
        <v>18</v>
      </c>
      <c r="K125">
        <v>4</v>
      </c>
      <c r="L125">
        <v>0</v>
      </c>
      <c r="M125" t="s">
        <v>19</v>
      </c>
      <c r="N125" s="6">
        <v>660</v>
      </c>
      <c r="O125">
        <f>Table13[[#This Row],[Adults]]+Table13[[#This Row],[Children]]</f>
        <v>4</v>
      </c>
      <c r="P125">
        <f>_xlfn.DAYS(Table13[[#This Row],[Depart]],Table13[[#This Row],[Arrive]])</f>
        <v>6</v>
      </c>
    </row>
    <row r="126" spans="1:16" x14ac:dyDescent="0.25">
      <c r="A126" t="s">
        <v>160</v>
      </c>
      <c r="B126" t="s">
        <v>161</v>
      </c>
      <c r="C126" t="s">
        <v>2223</v>
      </c>
      <c r="D126" s="1">
        <v>43936</v>
      </c>
      <c r="E126" s="1">
        <v>43942</v>
      </c>
      <c r="F126" s="1">
        <v>43935</v>
      </c>
      <c r="G126" s="2">
        <v>0.33333333333333331</v>
      </c>
      <c r="H126" s="3">
        <v>1</v>
      </c>
      <c r="I126" t="s">
        <v>22</v>
      </c>
      <c r="J126" s="12" t="s">
        <v>18</v>
      </c>
      <c r="K126">
        <v>4</v>
      </c>
      <c r="L126">
        <v>0</v>
      </c>
      <c r="M126" t="s">
        <v>19</v>
      </c>
      <c r="N126" s="6">
        <v>660</v>
      </c>
      <c r="O126">
        <f>Table13[[#This Row],[Adults]]+Table13[[#This Row],[Children]]</f>
        <v>4</v>
      </c>
      <c r="P126">
        <f>_xlfn.DAYS(Table13[[#This Row],[Depart]],Table13[[#This Row],[Arrive]])</f>
        <v>6</v>
      </c>
    </row>
    <row r="127" spans="1:16" x14ac:dyDescent="0.25">
      <c r="A127" t="s">
        <v>184</v>
      </c>
      <c r="B127" t="s">
        <v>185</v>
      </c>
      <c r="C127" t="s">
        <v>2224</v>
      </c>
      <c r="D127" s="1">
        <v>43937</v>
      </c>
      <c r="E127" s="1">
        <v>43944</v>
      </c>
      <c r="F127" s="1">
        <v>43931</v>
      </c>
      <c r="G127" s="2">
        <v>0.33333333333333331</v>
      </c>
      <c r="H127" s="3">
        <v>1</v>
      </c>
      <c r="I127" t="s">
        <v>26</v>
      </c>
      <c r="J127" s="12" t="s">
        <v>18</v>
      </c>
      <c r="K127">
        <v>3</v>
      </c>
      <c r="L127">
        <v>0</v>
      </c>
      <c r="M127" t="s">
        <v>19</v>
      </c>
      <c r="N127" s="6">
        <v>720</v>
      </c>
      <c r="O127">
        <f>Table13[[#This Row],[Adults]]+Table13[[#This Row],[Children]]</f>
        <v>3</v>
      </c>
      <c r="P127">
        <f>_xlfn.DAYS(Table13[[#This Row],[Depart]],Table13[[#This Row],[Arrive]])</f>
        <v>7</v>
      </c>
    </row>
    <row r="128" spans="1:16" x14ac:dyDescent="0.25">
      <c r="A128" t="s">
        <v>190</v>
      </c>
      <c r="B128" t="s">
        <v>191</v>
      </c>
      <c r="C128" t="s">
        <v>2226</v>
      </c>
      <c r="D128" s="1">
        <v>43938</v>
      </c>
      <c r="E128" s="1">
        <v>43942</v>
      </c>
      <c r="F128" s="1">
        <v>43938</v>
      </c>
      <c r="G128" s="2">
        <v>0.33333333333333331</v>
      </c>
      <c r="H128" s="3">
        <v>1</v>
      </c>
      <c r="I128" t="s">
        <v>22</v>
      </c>
      <c r="J128" s="12" t="s">
        <v>23</v>
      </c>
      <c r="K128">
        <v>4</v>
      </c>
      <c r="L128">
        <v>0</v>
      </c>
      <c r="M128" t="s">
        <v>19</v>
      </c>
      <c r="N128" s="6">
        <v>440</v>
      </c>
      <c r="O128">
        <f>Table13[[#This Row],[Adults]]+Table13[[#This Row],[Children]]</f>
        <v>4</v>
      </c>
      <c r="P128">
        <f>_xlfn.DAYS(Table13[[#This Row],[Depart]],Table13[[#This Row],[Arrive]])</f>
        <v>4</v>
      </c>
    </row>
    <row r="129" spans="1:16" x14ac:dyDescent="0.25">
      <c r="A129" t="s">
        <v>128</v>
      </c>
      <c r="B129" t="s">
        <v>129</v>
      </c>
      <c r="C129" t="s">
        <v>2226</v>
      </c>
      <c r="D129" s="1">
        <v>43939</v>
      </c>
      <c r="E129" s="1">
        <v>43940</v>
      </c>
      <c r="F129" s="1">
        <v>43907</v>
      </c>
      <c r="G129" s="2">
        <v>0.33333333333333331</v>
      </c>
      <c r="H129" s="3">
        <v>1</v>
      </c>
      <c r="I129" t="s">
        <v>26</v>
      </c>
      <c r="J129" s="12" t="s">
        <v>18</v>
      </c>
      <c r="K129">
        <v>1</v>
      </c>
      <c r="L129">
        <v>0</v>
      </c>
      <c r="M129" t="s">
        <v>19</v>
      </c>
      <c r="N129" s="6">
        <v>107</v>
      </c>
      <c r="O129">
        <f>Table13[[#This Row],[Adults]]+Table13[[#This Row],[Children]]</f>
        <v>1</v>
      </c>
      <c r="P129">
        <f>_xlfn.DAYS(Table13[[#This Row],[Depart]],Table13[[#This Row],[Arrive]])</f>
        <v>1</v>
      </c>
    </row>
    <row r="130" spans="1:16" x14ac:dyDescent="0.25">
      <c r="A130" t="s">
        <v>192</v>
      </c>
      <c r="B130" t="s">
        <v>193</v>
      </c>
      <c r="C130" t="s">
        <v>2223</v>
      </c>
      <c r="D130" s="1">
        <v>43942</v>
      </c>
      <c r="E130" s="1">
        <v>43945</v>
      </c>
      <c r="F130" s="1">
        <v>43941</v>
      </c>
      <c r="G130" s="2">
        <v>0.33333333333333331</v>
      </c>
      <c r="H130" s="3">
        <v>1</v>
      </c>
      <c r="I130" t="s">
        <v>22</v>
      </c>
      <c r="J130" s="12" t="s">
        <v>18</v>
      </c>
      <c r="K130">
        <v>5</v>
      </c>
      <c r="L130">
        <v>0</v>
      </c>
      <c r="M130" t="s">
        <v>19</v>
      </c>
      <c r="N130" s="6">
        <v>330</v>
      </c>
      <c r="O130">
        <f>Table13[[#This Row],[Adults]]+Table13[[#This Row],[Children]]</f>
        <v>5</v>
      </c>
      <c r="P130">
        <f>_xlfn.DAYS(Table13[[#This Row],[Depart]],Table13[[#This Row],[Arrive]])</f>
        <v>3</v>
      </c>
    </row>
    <row r="131" spans="1:16" x14ac:dyDescent="0.25">
      <c r="A131" t="s">
        <v>192</v>
      </c>
      <c r="B131" t="s">
        <v>193</v>
      </c>
      <c r="C131" t="s">
        <v>2223</v>
      </c>
      <c r="D131" s="1">
        <v>43942</v>
      </c>
      <c r="E131" s="1">
        <v>43945</v>
      </c>
      <c r="F131" s="1">
        <v>43944</v>
      </c>
      <c r="G131" s="2">
        <v>0.33333333333333331</v>
      </c>
      <c r="H131" s="3">
        <v>1</v>
      </c>
      <c r="I131" t="s">
        <v>22</v>
      </c>
      <c r="J131" s="12" t="s">
        <v>23</v>
      </c>
      <c r="K131">
        <v>4</v>
      </c>
      <c r="L131">
        <v>0</v>
      </c>
      <c r="M131" t="s">
        <v>19</v>
      </c>
      <c r="N131" s="6">
        <v>330</v>
      </c>
      <c r="O131">
        <f>Table13[[#This Row],[Adults]]+Table13[[#This Row],[Children]]</f>
        <v>4</v>
      </c>
      <c r="P131">
        <f>_xlfn.DAYS(Table13[[#This Row],[Depart]],Table13[[#This Row],[Arrive]])</f>
        <v>3</v>
      </c>
    </row>
    <row r="132" spans="1:16" x14ac:dyDescent="0.25">
      <c r="A132" t="s">
        <v>174</v>
      </c>
      <c r="B132" t="s">
        <v>175</v>
      </c>
      <c r="C132" t="s">
        <v>2223</v>
      </c>
      <c r="D132" s="1">
        <v>43943</v>
      </c>
      <c r="E132" s="1">
        <v>43944</v>
      </c>
      <c r="F132" s="1">
        <v>43919</v>
      </c>
      <c r="G132" s="2">
        <v>0.33333333333333331</v>
      </c>
      <c r="H132" s="3">
        <v>1</v>
      </c>
      <c r="I132" t="s">
        <v>26</v>
      </c>
      <c r="J132" s="12" t="s">
        <v>18</v>
      </c>
      <c r="K132">
        <v>6</v>
      </c>
      <c r="L132">
        <v>0</v>
      </c>
      <c r="M132" t="s">
        <v>19</v>
      </c>
      <c r="N132" s="6">
        <v>107</v>
      </c>
      <c r="O132">
        <f>Table13[[#This Row],[Adults]]+Table13[[#This Row],[Children]]</f>
        <v>6</v>
      </c>
      <c r="P132">
        <f>_xlfn.DAYS(Table13[[#This Row],[Depart]],Table13[[#This Row],[Arrive]])</f>
        <v>1</v>
      </c>
    </row>
    <row r="133" spans="1:16" x14ac:dyDescent="0.25">
      <c r="A133" t="s">
        <v>194</v>
      </c>
      <c r="B133" t="s">
        <v>195</v>
      </c>
      <c r="C133" t="s">
        <v>2226</v>
      </c>
      <c r="D133" s="1">
        <v>43944</v>
      </c>
      <c r="E133" s="1">
        <v>43945</v>
      </c>
      <c r="F133" s="1">
        <v>43944</v>
      </c>
      <c r="G133" s="2">
        <v>0.33333333333333331</v>
      </c>
      <c r="H133" s="3">
        <v>1</v>
      </c>
      <c r="I133" t="s">
        <v>22</v>
      </c>
      <c r="J133" s="12" t="s">
        <v>23</v>
      </c>
      <c r="K133">
        <v>5</v>
      </c>
      <c r="L133">
        <v>0</v>
      </c>
      <c r="M133" t="s">
        <v>19</v>
      </c>
      <c r="N133" s="6">
        <v>110</v>
      </c>
      <c r="O133">
        <f>Table13[[#This Row],[Adults]]+Table13[[#This Row],[Children]]</f>
        <v>5</v>
      </c>
      <c r="P133">
        <f>_xlfn.DAYS(Table13[[#This Row],[Depart]],Table13[[#This Row],[Arrive]])</f>
        <v>1</v>
      </c>
    </row>
    <row r="134" spans="1:16" x14ac:dyDescent="0.25">
      <c r="A134" t="s">
        <v>172</v>
      </c>
      <c r="B134" t="s">
        <v>173</v>
      </c>
      <c r="C134" t="s">
        <v>2225</v>
      </c>
      <c r="D134" s="1">
        <v>43945</v>
      </c>
      <c r="E134" s="1">
        <v>43956</v>
      </c>
      <c r="F134" s="1">
        <v>43874</v>
      </c>
      <c r="G134" s="2">
        <v>0.33333333333333331</v>
      </c>
      <c r="H134" s="3">
        <v>1</v>
      </c>
      <c r="I134" t="s">
        <v>22</v>
      </c>
      <c r="J134" s="12" t="s">
        <v>18</v>
      </c>
      <c r="K134">
        <v>2</v>
      </c>
      <c r="L134">
        <v>0</v>
      </c>
      <c r="M134" t="s">
        <v>19</v>
      </c>
      <c r="N134" s="6">
        <v>1210</v>
      </c>
      <c r="O134">
        <f>Table13[[#This Row],[Adults]]+Table13[[#This Row],[Children]]</f>
        <v>2</v>
      </c>
      <c r="P134">
        <f>_xlfn.DAYS(Table13[[#This Row],[Depart]],Table13[[#This Row],[Arrive]])</f>
        <v>11</v>
      </c>
    </row>
    <row r="135" spans="1:16" x14ac:dyDescent="0.25">
      <c r="A135" t="s">
        <v>186</v>
      </c>
      <c r="B135" t="s">
        <v>187</v>
      </c>
      <c r="C135" t="s">
        <v>2226</v>
      </c>
      <c r="D135" s="1">
        <v>43945</v>
      </c>
      <c r="E135" s="1">
        <v>43960</v>
      </c>
      <c r="F135" s="1">
        <v>43939</v>
      </c>
      <c r="G135" s="2">
        <v>0.33333333333333331</v>
      </c>
      <c r="H135" s="3">
        <v>1</v>
      </c>
      <c r="I135" t="s">
        <v>26</v>
      </c>
      <c r="J135" s="12" t="s">
        <v>18</v>
      </c>
      <c r="K135">
        <v>2</v>
      </c>
      <c r="L135">
        <v>0</v>
      </c>
      <c r="M135" t="s">
        <v>19</v>
      </c>
      <c r="N135" s="6">
        <v>1517.34</v>
      </c>
      <c r="O135">
        <f>Table13[[#This Row],[Adults]]+Table13[[#This Row],[Children]]</f>
        <v>2</v>
      </c>
      <c r="P135">
        <f>_xlfn.DAYS(Table13[[#This Row],[Depart]],Table13[[#This Row],[Arrive]])</f>
        <v>15</v>
      </c>
    </row>
    <row r="136" spans="1:16" x14ac:dyDescent="0.25">
      <c r="A136" t="s">
        <v>192</v>
      </c>
      <c r="B136" t="s">
        <v>193</v>
      </c>
      <c r="C136" t="s">
        <v>2223</v>
      </c>
      <c r="D136" s="1">
        <v>43945</v>
      </c>
      <c r="E136" s="1">
        <v>43946</v>
      </c>
      <c r="F136" s="1">
        <v>43944</v>
      </c>
      <c r="G136" s="2">
        <v>0.33333333333333331</v>
      </c>
      <c r="H136" s="3">
        <v>1</v>
      </c>
      <c r="I136" t="s">
        <v>22</v>
      </c>
      <c r="J136" s="12" t="s">
        <v>23</v>
      </c>
      <c r="K136">
        <v>4</v>
      </c>
      <c r="L136">
        <v>0</v>
      </c>
      <c r="M136" t="s">
        <v>19</v>
      </c>
      <c r="N136" s="6">
        <v>110</v>
      </c>
      <c r="O136">
        <f>Table13[[#This Row],[Adults]]+Table13[[#This Row],[Children]]</f>
        <v>4</v>
      </c>
      <c r="P136">
        <f>_xlfn.DAYS(Table13[[#This Row],[Depart]],Table13[[#This Row],[Arrive]])</f>
        <v>1</v>
      </c>
    </row>
    <row r="137" spans="1:16" x14ac:dyDescent="0.25">
      <c r="A137" t="s">
        <v>194</v>
      </c>
      <c r="B137" t="s">
        <v>195</v>
      </c>
      <c r="C137" t="s">
        <v>2225</v>
      </c>
      <c r="D137" s="1">
        <v>43945</v>
      </c>
      <c r="E137" s="1">
        <v>43947</v>
      </c>
      <c r="F137" s="1">
        <v>43945</v>
      </c>
      <c r="G137" s="2">
        <v>0.33333333333333331</v>
      </c>
      <c r="H137" s="3">
        <v>1</v>
      </c>
      <c r="I137" t="s">
        <v>22</v>
      </c>
      <c r="J137" s="12" t="s">
        <v>23</v>
      </c>
      <c r="K137">
        <v>3</v>
      </c>
      <c r="L137">
        <v>0</v>
      </c>
      <c r="M137" t="s">
        <v>19</v>
      </c>
      <c r="N137" s="6">
        <v>220</v>
      </c>
      <c r="O137">
        <f>Table13[[#This Row],[Adults]]+Table13[[#This Row],[Children]]</f>
        <v>3</v>
      </c>
      <c r="P137">
        <f>_xlfn.DAYS(Table13[[#This Row],[Depart]],Table13[[#This Row],[Arrive]])</f>
        <v>2</v>
      </c>
    </row>
    <row r="138" spans="1:16" x14ac:dyDescent="0.25">
      <c r="A138" t="s">
        <v>198</v>
      </c>
      <c r="B138" t="s">
        <v>199</v>
      </c>
      <c r="C138" t="s">
        <v>2223</v>
      </c>
      <c r="D138" s="1">
        <v>43946</v>
      </c>
      <c r="E138" s="1">
        <v>43947</v>
      </c>
      <c r="F138" s="1">
        <v>43943</v>
      </c>
      <c r="G138" s="2">
        <v>0.33333333333333331</v>
      </c>
      <c r="H138" s="3">
        <v>1</v>
      </c>
      <c r="I138" t="s">
        <v>17</v>
      </c>
      <c r="J138" s="12" t="s">
        <v>18</v>
      </c>
      <c r="K138">
        <v>5</v>
      </c>
      <c r="L138">
        <v>0</v>
      </c>
      <c r="M138" t="s">
        <v>19</v>
      </c>
      <c r="N138" s="6">
        <v>142</v>
      </c>
      <c r="O138">
        <f>Table13[[#This Row],[Adults]]+Table13[[#This Row],[Children]]</f>
        <v>5</v>
      </c>
      <c r="P138">
        <f>_xlfn.DAYS(Table13[[#This Row],[Depart]],Table13[[#This Row],[Arrive]])</f>
        <v>1</v>
      </c>
    </row>
    <row r="139" spans="1:16" x14ac:dyDescent="0.25">
      <c r="A139" t="s">
        <v>192</v>
      </c>
      <c r="B139" t="s">
        <v>193</v>
      </c>
      <c r="C139" t="s">
        <v>2223</v>
      </c>
      <c r="D139" s="1">
        <v>43946</v>
      </c>
      <c r="E139" s="1">
        <v>43947</v>
      </c>
      <c r="F139" s="1">
        <v>43946</v>
      </c>
      <c r="G139" s="2">
        <v>0.33333333333333331</v>
      </c>
      <c r="H139" s="3">
        <v>1</v>
      </c>
      <c r="I139" t="s">
        <v>22</v>
      </c>
      <c r="J139" s="12" t="s">
        <v>23</v>
      </c>
      <c r="K139">
        <v>2</v>
      </c>
      <c r="L139">
        <v>0</v>
      </c>
      <c r="M139" t="s">
        <v>19</v>
      </c>
      <c r="N139" s="6">
        <v>110</v>
      </c>
      <c r="O139">
        <f>Table13[[#This Row],[Adults]]+Table13[[#This Row],[Children]]</f>
        <v>2</v>
      </c>
      <c r="P139">
        <f>_xlfn.DAYS(Table13[[#This Row],[Depart]],Table13[[#This Row],[Arrive]])</f>
        <v>1</v>
      </c>
    </row>
    <row r="140" spans="1:16" x14ac:dyDescent="0.25">
      <c r="A140" t="s">
        <v>122</v>
      </c>
      <c r="B140" t="s">
        <v>123</v>
      </c>
      <c r="C140" t="s">
        <v>2226</v>
      </c>
      <c r="D140" s="1">
        <v>43947</v>
      </c>
      <c r="E140" s="1">
        <v>43948</v>
      </c>
      <c r="F140" s="1">
        <v>43906</v>
      </c>
      <c r="G140" s="2">
        <v>0.33333333333333331</v>
      </c>
      <c r="H140" s="3">
        <v>1</v>
      </c>
      <c r="I140" t="s">
        <v>26</v>
      </c>
      <c r="J140" s="12" t="s">
        <v>18</v>
      </c>
      <c r="K140">
        <v>4</v>
      </c>
      <c r="L140">
        <v>0</v>
      </c>
      <c r="M140" t="s">
        <v>19</v>
      </c>
      <c r="N140" s="6">
        <v>107</v>
      </c>
      <c r="O140">
        <f>Table13[[#This Row],[Adults]]+Table13[[#This Row],[Children]]</f>
        <v>4</v>
      </c>
      <c r="P140">
        <f>_xlfn.DAYS(Table13[[#This Row],[Depart]],Table13[[#This Row],[Arrive]])</f>
        <v>1</v>
      </c>
    </row>
    <row r="141" spans="1:16" x14ac:dyDescent="0.25">
      <c r="A141" t="s">
        <v>144</v>
      </c>
      <c r="B141" t="s">
        <v>145</v>
      </c>
      <c r="C141" t="s">
        <v>2223</v>
      </c>
      <c r="D141" s="1">
        <v>43947</v>
      </c>
      <c r="E141" s="1">
        <v>43954</v>
      </c>
      <c r="F141" s="1">
        <v>43885</v>
      </c>
      <c r="G141" s="2">
        <v>0.33333333333333331</v>
      </c>
      <c r="H141" s="3">
        <v>1</v>
      </c>
      <c r="I141" t="s">
        <v>22</v>
      </c>
      <c r="J141" s="12" t="s">
        <v>18</v>
      </c>
      <c r="K141">
        <v>2</v>
      </c>
      <c r="L141">
        <v>0</v>
      </c>
      <c r="M141" t="s">
        <v>19</v>
      </c>
      <c r="N141" s="6">
        <v>770</v>
      </c>
      <c r="O141">
        <f>Table13[[#This Row],[Adults]]+Table13[[#This Row],[Children]]</f>
        <v>2</v>
      </c>
      <c r="P141">
        <f>_xlfn.DAYS(Table13[[#This Row],[Depart]],Table13[[#This Row],[Arrive]])</f>
        <v>7</v>
      </c>
    </row>
    <row r="142" spans="1:16" x14ac:dyDescent="0.25">
      <c r="A142" t="s">
        <v>192</v>
      </c>
      <c r="B142" t="s">
        <v>193</v>
      </c>
      <c r="C142" t="s">
        <v>2223</v>
      </c>
      <c r="D142" s="1">
        <v>43947</v>
      </c>
      <c r="E142" s="1">
        <v>43949</v>
      </c>
      <c r="F142" s="1">
        <v>43944</v>
      </c>
      <c r="G142" s="2">
        <v>0.33333333333333331</v>
      </c>
      <c r="H142" s="3">
        <v>1</v>
      </c>
      <c r="I142" t="s">
        <v>22</v>
      </c>
      <c r="J142" s="12" t="s">
        <v>23</v>
      </c>
      <c r="K142">
        <v>4</v>
      </c>
      <c r="L142">
        <v>0</v>
      </c>
      <c r="M142" t="s">
        <v>19</v>
      </c>
      <c r="N142" s="6">
        <v>220</v>
      </c>
      <c r="O142">
        <f>Table13[[#This Row],[Adults]]+Table13[[#This Row],[Children]]</f>
        <v>4</v>
      </c>
      <c r="P142">
        <f>_xlfn.DAYS(Table13[[#This Row],[Depart]],Table13[[#This Row],[Arrive]])</f>
        <v>2</v>
      </c>
    </row>
    <row r="143" spans="1:16" x14ac:dyDescent="0.25">
      <c r="A143" t="s">
        <v>192</v>
      </c>
      <c r="B143" t="s">
        <v>193</v>
      </c>
      <c r="C143" t="s">
        <v>2223</v>
      </c>
      <c r="D143" s="1">
        <v>43949</v>
      </c>
      <c r="E143" s="1">
        <v>43956</v>
      </c>
      <c r="F143" s="1">
        <v>43945</v>
      </c>
      <c r="G143" s="2">
        <v>0.33333333333333331</v>
      </c>
      <c r="H143" s="3">
        <v>1</v>
      </c>
      <c r="I143" t="s">
        <v>22</v>
      </c>
      <c r="J143" s="12" t="s">
        <v>18</v>
      </c>
      <c r="K143">
        <v>3</v>
      </c>
      <c r="L143">
        <v>0</v>
      </c>
      <c r="M143" t="s">
        <v>19</v>
      </c>
      <c r="N143" s="6">
        <v>770</v>
      </c>
      <c r="O143">
        <f>Table13[[#This Row],[Adults]]+Table13[[#This Row],[Children]]</f>
        <v>3</v>
      </c>
      <c r="P143">
        <f>_xlfn.DAYS(Table13[[#This Row],[Depart]],Table13[[#This Row],[Arrive]])</f>
        <v>7</v>
      </c>
    </row>
    <row r="144" spans="1:16" x14ac:dyDescent="0.25">
      <c r="A144" t="s">
        <v>92</v>
      </c>
      <c r="B144" t="s">
        <v>93</v>
      </c>
      <c r="C144" t="s">
        <v>2224</v>
      </c>
      <c r="D144" s="1">
        <v>43950</v>
      </c>
      <c r="E144" s="1">
        <v>43962</v>
      </c>
      <c r="F144" s="1">
        <v>43893</v>
      </c>
      <c r="G144" s="2">
        <v>0.33333333333333331</v>
      </c>
      <c r="H144" s="3">
        <v>1</v>
      </c>
      <c r="I144" t="s">
        <v>26</v>
      </c>
      <c r="J144" s="12" t="s">
        <v>18</v>
      </c>
      <c r="K144">
        <v>3</v>
      </c>
      <c r="L144">
        <v>0</v>
      </c>
      <c r="M144" t="s">
        <v>19</v>
      </c>
      <c r="N144" s="6">
        <v>1273</v>
      </c>
      <c r="O144">
        <f>Table13[[#This Row],[Adults]]+Table13[[#This Row],[Children]]</f>
        <v>3</v>
      </c>
      <c r="P144">
        <f>_xlfn.DAYS(Table13[[#This Row],[Depart]],Table13[[#This Row],[Arrive]])</f>
        <v>12</v>
      </c>
    </row>
    <row r="145" spans="1:16" x14ac:dyDescent="0.25">
      <c r="A145" t="s">
        <v>196</v>
      </c>
      <c r="B145" t="s">
        <v>197</v>
      </c>
      <c r="C145" t="s">
        <v>2226</v>
      </c>
      <c r="D145" s="1">
        <v>43950</v>
      </c>
      <c r="E145" s="1">
        <v>43960</v>
      </c>
      <c r="F145" s="1">
        <v>43940</v>
      </c>
      <c r="G145" s="2">
        <v>0.33333333333333331</v>
      </c>
      <c r="H145" s="3">
        <v>1</v>
      </c>
      <c r="I145" t="s">
        <v>22</v>
      </c>
      <c r="J145" s="12" t="s">
        <v>18</v>
      </c>
      <c r="K145">
        <v>4</v>
      </c>
      <c r="L145">
        <v>0</v>
      </c>
      <c r="M145" t="s">
        <v>19</v>
      </c>
      <c r="N145" s="6">
        <v>932</v>
      </c>
      <c r="O145">
        <f>Table13[[#This Row],[Adults]]+Table13[[#This Row],[Children]]</f>
        <v>4</v>
      </c>
      <c r="P145">
        <f>_xlfn.DAYS(Table13[[#This Row],[Depart]],Table13[[#This Row],[Arrive]])</f>
        <v>10</v>
      </c>
    </row>
    <row r="146" spans="1:16" x14ac:dyDescent="0.25">
      <c r="A146" t="s">
        <v>196</v>
      </c>
      <c r="B146" t="s">
        <v>197</v>
      </c>
      <c r="C146" t="s">
        <v>2226</v>
      </c>
      <c r="D146" s="1">
        <v>43950</v>
      </c>
      <c r="E146" s="1">
        <v>43960</v>
      </c>
      <c r="F146" s="1">
        <v>43945</v>
      </c>
      <c r="G146" s="2">
        <v>0.33333333333333331</v>
      </c>
      <c r="H146" s="3">
        <v>1</v>
      </c>
      <c r="I146" t="s">
        <v>22</v>
      </c>
      <c r="J146" s="12" t="s">
        <v>23</v>
      </c>
      <c r="K146">
        <v>3</v>
      </c>
      <c r="L146">
        <v>0</v>
      </c>
      <c r="M146" t="s">
        <v>19</v>
      </c>
      <c r="N146" s="6">
        <v>1100</v>
      </c>
      <c r="O146">
        <f>Table13[[#This Row],[Adults]]+Table13[[#This Row],[Children]]</f>
        <v>3</v>
      </c>
      <c r="P146">
        <f>_xlfn.DAYS(Table13[[#This Row],[Depart]],Table13[[#This Row],[Arrive]])</f>
        <v>10</v>
      </c>
    </row>
    <row r="147" spans="1:16" x14ac:dyDescent="0.25">
      <c r="A147" t="s">
        <v>82</v>
      </c>
      <c r="B147" t="s">
        <v>83</v>
      </c>
      <c r="C147" t="s">
        <v>2224</v>
      </c>
      <c r="D147" s="1">
        <v>43951</v>
      </c>
      <c r="E147" s="1">
        <v>43954</v>
      </c>
      <c r="F147" s="1">
        <v>43889</v>
      </c>
      <c r="G147" s="2">
        <v>0.33333333333333331</v>
      </c>
      <c r="H147" s="3">
        <v>1</v>
      </c>
      <c r="I147" t="s">
        <v>26</v>
      </c>
      <c r="J147" s="12" t="s">
        <v>18</v>
      </c>
      <c r="K147">
        <v>1</v>
      </c>
      <c r="L147">
        <v>0</v>
      </c>
      <c r="M147" t="s">
        <v>19</v>
      </c>
      <c r="N147" s="6">
        <v>318</v>
      </c>
      <c r="O147">
        <f>Table13[[#This Row],[Adults]]+Table13[[#This Row],[Children]]</f>
        <v>1</v>
      </c>
      <c r="P147">
        <f>_xlfn.DAYS(Table13[[#This Row],[Depart]],Table13[[#This Row],[Arrive]])</f>
        <v>3</v>
      </c>
    </row>
    <row r="148" spans="1:16" x14ac:dyDescent="0.25">
      <c r="A148" t="s">
        <v>122</v>
      </c>
      <c r="B148" t="s">
        <v>123</v>
      </c>
      <c r="C148" t="s">
        <v>2224</v>
      </c>
      <c r="D148" s="1">
        <v>43951</v>
      </c>
      <c r="E148" s="1">
        <v>43980</v>
      </c>
      <c r="F148" s="1">
        <v>43906</v>
      </c>
      <c r="G148" s="2">
        <v>0.33333333333333331</v>
      </c>
      <c r="H148" s="3">
        <v>1</v>
      </c>
      <c r="I148" t="s">
        <v>26</v>
      </c>
      <c r="J148" s="12" t="s">
        <v>18</v>
      </c>
      <c r="K148">
        <v>4</v>
      </c>
      <c r="L148">
        <v>0</v>
      </c>
      <c r="M148" t="s">
        <v>19</v>
      </c>
      <c r="N148" s="6">
        <v>3076</v>
      </c>
      <c r="O148">
        <f>Table13[[#This Row],[Adults]]+Table13[[#This Row],[Children]]</f>
        <v>4</v>
      </c>
      <c r="P148">
        <f>_xlfn.DAYS(Table13[[#This Row],[Depart]],Table13[[#This Row],[Arrive]])</f>
        <v>29</v>
      </c>
    </row>
    <row r="149" spans="1:16" x14ac:dyDescent="0.25">
      <c r="A149" t="s">
        <v>184</v>
      </c>
      <c r="B149" t="s">
        <v>185</v>
      </c>
      <c r="C149" t="s">
        <v>2223</v>
      </c>
      <c r="D149" s="1">
        <v>43951</v>
      </c>
      <c r="E149" s="1">
        <v>43981</v>
      </c>
      <c r="F149" s="1">
        <v>43945</v>
      </c>
      <c r="G149" s="2">
        <v>0.33333333333333331</v>
      </c>
      <c r="H149" s="3">
        <v>1</v>
      </c>
      <c r="I149" t="s">
        <v>26</v>
      </c>
      <c r="J149" s="12" t="s">
        <v>18</v>
      </c>
      <c r="K149">
        <v>1</v>
      </c>
      <c r="L149">
        <v>0</v>
      </c>
      <c r="M149" t="s">
        <v>19</v>
      </c>
      <c r="N149" s="6">
        <v>3022</v>
      </c>
      <c r="O149">
        <f>Table13[[#This Row],[Adults]]+Table13[[#This Row],[Children]]</f>
        <v>1</v>
      </c>
      <c r="P149">
        <f>_xlfn.DAYS(Table13[[#This Row],[Depart]],Table13[[#This Row],[Arrive]])</f>
        <v>30</v>
      </c>
    </row>
    <row r="150" spans="1:16" x14ac:dyDescent="0.25">
      <c r="A150" t="s">
        <v>110</v>
      </c>
      <c r="B150" t="s">
        <v>111</v>
      </c>
      <c r="C150" t="s">
        <v>2224</v>
      </c>
      <c r="D150" s="1">
        <v>43951</v>
      </c>
      <c r="E150" s="1">
        <v>43988</v>
      </c>
      <c r="F150" s="1">
        <v>43946</v>
      </c>
      <c r="G150" s="2">
        <v>0.33333333333333331</v>
      </c>
      <c r="H150" s="3">
        <v>1</v>
      </c>
      <c r="I150" t="s">
        <v>22</v>
      </c>
      <c r="J150" s="12" t="s">
        <v>23</v>
      </c>
      <c r="K150">
        <v>3</v>
      </c>
      <c r="L150">
        <v>0</v>
      </c>
      <c r="M150" t="s">
        <v>19</v>
      </c>
      <c r="N150" s="6">
        <v>4070</v>
      </c>
      <c r="O150">
        <f>Table13[[#This Row],[Adults]]+Table13[[#This Row],[Children]]</f>
        <v>3</v>
      </c>
      <c r="P150">
        <f>_xlfn.DAYS(Table13[[#This Row],[Depart]],Table13[[#This Row],[Arrive]])</f>
        <v>37</v>
      </c>
    </row>
    <row r="151" spans="1:16" x14ac:dyDescent="0.25">
      <c r="A151" t="s">
        <v>154</v>
      </c>
      <c r="B151" t="s">
        <v>155</v>
      </c>
      <c r="C151" t="s">
        <v>2226</v>
      </c>
      <c r="D151" s="1">
        <v>43955</v>
      </c>
      <c r="E151" s="1">
        <v>43958</v>
      </c>
      <c r="F151" s="1">
        <v>43906</v>
      </c>
      <c r="G151" s="2">
        <v>0.33333333333333331</v>
      </c>
      <c r="H151" s="3">
        <v>1</v>
      </c>
      <c r="I151" t="s">
        <v>26</v>
      </c>
      <c r="J151" s="12" t="s">
        <v>18</v>
      </c>
      <c r="K151">
        <v>1</v>
      </c>
      <c r="L151">
        <v>0</v>
      </c>
      <c r="M151" t="s">
        <v>19</v>
      </c>
      <c r="N151" s="6">
        <v>319</v>
      </c>
      <c r="O151">
        <f>Table13[[#This Row],[Adults]]+Table13[[#This Row],[Children]]</f>
        <v>1</v>
      </c>
      <c r="P151">
        <f>_xlfn.DAYS(Table13[[#This Row],[Depart]],Table13[[#This Row],[Arrive]])</f>
        <v>3</v>
      </c>
    </row>
    <row r="152" spans="1:16" x14ac:dyDescent="0.25">
      <c r="A152" t="s">
        <v>204</v>
      </c>
      <c r="B152" t="s">
        <v>205</v>
      </c>
      <c r="C152" t="s">
        <v>2226</v>
      </c>
      <c r="D152" s="1">
        <v>43960</v>
      </c>
      <c r="E152" s="1">
        <v>43968</v>
      </c>
      <c r="F152" s="1">
        <v>43953</v>
      </c>
      <c r="G152" s="2">
        <v>0.33333333333333331</v>
      </c>
      <c r="H152" s="3">
        <v>1</v>
      </c>
      <c r="I152" t="s">
        <v>22</v>
      </c>
      <c r="J152" s="12" t="s">
        <v>23</v>
      </c>
      <c r="K152">
        <v>3</v>
      </c>
      <c r="L152">
        <v>0</v>
      </c>
      <c r="M152" t="s">
        <v>19</v>
      </c>
      <c r="N152" s="6">
        <v>880</v>
      </c>
      <c r="O152">
        <f>Table13[[#This Row],[Adults]]+Table13[[#This Row],[Children]]</f>
        <v>3</v>
      </c>
      <c r="P152">
        <f>_xlfn.DAYS(Table13[[#This Row],[Depart]],Table13[[#This Row],[Arrive]])</f>
        <v>8</v>
      </c>
    </row>
    <row r="153" spans="1:16" x14ac:dyDescent="0.25">
      <c r="A153" t="s">
        <v>284</v>
      </c>
      <c r="B153" t="s">
        <v>285</v>
      </c>
      <c r="C153" t="s">
        <v>2228</v>
      </c>
      <c r="D153" s="1">
        <v>43960</v>
      </c>
      <c r="E153" s="1">
        <v>43961</v>
      </c>
      <c r="F153" s="1">
        <v>43986</v>
      </c>
      <c r="G153" s="2">
        <v>0.58333333333333337</v>
      </c>
      <c r="H153" s="2">
        <v>0.45833333333333331</v>
      </c>
      <c r="I153" t="s">
        <v>22</v>
      </c>
      <c r="J153" s="12" t="s">
        <v>23</v>
      </c>
      <c r="K153">
        <v>2</v>
      </c>
      <c r="L153">
        <v>2</v>
      </c>
      <c r="M153" t="s">
        <v>19</v>
      </c>
      <c r="N153" s="6">
        <v>150</v>
      </c>
      <c r="O153">
        <f>Table13[[#This Row],[Adults]]+Table13[[#This Row],[Children]]</f>
        <v>4</v>
      </c>
      <c r="P153">
        <f>_xlfn.DAYS(Table13[[#This Row],[Depart]],Table13[[#This Row],[Arrive]])</f>
        <v>1</v>
      </c>
    </row>
    <row r="154" spans="1:16" x14ac:dyDescent="0.25">
      <c r="A154" t="s">
        <v>284</v>
      </c>
      <c r="B154" t="s">
        <v>285</v>
      </c>
      <c r="C154" t="s">
        <v>2227</v>
      </c>
      <c r="D154" s="1">
        <v>43960</v>
      </c>
      <c r="E154" s="1">
        <v>43961</v>
      </c>
      <c r="F154" s="1">
        <v>43970</v>
      </c>
      <c r="G154" s="2">
        <v>0.58333333333333337</v>
      </c>
      <c r="H154" s="2">
        <v>0.45833333333333331</v>
      </c>
      <c r="I154" t="s">
        <v>22</v>
      </c>
      <c r="J154" s="12" t="s">
        <v>18</v>
      </c>
      <c r="K154">
        <v>2</v>
      </c>
      <c r="L154">
        <v>2</v>
      </c>
      <c r="M154" t="s">
        <v>19</v>
      </c>
      <c r="N154" s="6">
        <v>150</v>
      </c>
      <c r="O154">
        <f>Table13[[#This Row],[Adults]]+Table13[[#This Row],[Children]]</f>
        <v>4</v>
      </c>
      <c r="P154">
        <f>_xlfn.DAYS(Table13[[#This Row],[Depart]],Table13[[#This Row],[Arrive]])</f>
        <v>1</v>
      </c>
    </row>
    <row r="155" spans="1:16" x14ac:dyDescent="0.25">
      <c r="A155" t="s">
        <v>282</v>
      </c>
      <c r="B155" t="s">
        <v>283</v>
      </c>
      <c r="C155" t="s">
        <v>2228</v>
      </c>
      <c r="D155" s="1">
        <v>43961</v>
      </c>
      <c r="E155" s="1">
        <v>43963</v>
      </c>
      <c r="F155" s="1">
        <v>43986</v>
      </c>
      <c r="G155" s="2">
        <v>0.58333333333333337</v>
      </c>
      <c r="H155" s="2">
        <v>0.45833333333333331</v>
      </c>
      <c r="I155" t="s">
        <v>22</v>
      </c>
      <c r="J155" s="12" t="s">
        <v>23</v>
      </c>
      <c r="K155">
        <v>3</v>
      </c>
      <c r="L155">
        <v>0</v>
      </c>
      <c r="M155" t="s">
        <v>19</v>
      </c>
      <c r="N155" s="6">
        <v>300</v>
      </c>
      <c r="O155">
        <f>Table13[[#This Row],[Adults]]+Table13[[#This Row],[Children]]</f>
        <v>3</v>
      </c>
      <c r="P155">
        <f>_xlfn.DAYS(Table13[[#This Row],[Depart]],Table13[[#This Row],[Arrive]])</f>
        <v>2</v>
      </c>
    </row>
    <row r="156" spans="1:16" x14ac:dyDescent="0.25">
      <c r="A156" t="s">
        <v>282</v>
      </c>
      <c r="B156" t="s">
        <v>283</v>
      </c>
      <c r="C156" t="s">
        <v>2227</v>
      </c>
      <c r="D156" s="1">
        <v>43961</v>
      </c>
      <c r="E156" s="1">
        <v>43963</v>
      </c>
      <c r="F156" s="1">
        <v>43961</v>
      </c>
      <c r="G156" s="2">
        <v>0.58333333333333337</v>
      </c>
      <c r="H156" s="2">
        <v>0.45833333333333331</v>
      </c>
      <c r="I156" t="s">
        <v>22</v>
      </c>
      <c r="J156" s="12" t="s">
        <v>18</v>
      </c>
      <c r="K156">
        <v>3</v>
      </c>
      <c r="L156">
        <v>0</v>
      </c>
      <c r="M156" t="s">
        <v>19</v>
      </c>
      <c r="N156" s="6">
        <v>300</v>
      </c>
      <c r="O156">
        <f>Table13[[#This Row],[Adults]]+Table13[[#This Row],[Children]]</f>
        <v>3</v>
      </c>
      <c r="P156">
        <f>_xlfn.DAYS(Table13[[#This Row],[Depart]],Table13[[#This Row],[Arrive]])</f>
        <v>2</v>
      </c>
    </row>
    <row r="157" spans="1:16" x14ac:dyDescent="0.25">
      <c r="A157" t="s">
        <v>202</v>
      </c>
      <c r="B157" t="s">
        <v>203</v>
      </c>
      <c r="C157" t="s">
        <v>2226</v>
      </c>
      <c r="D157" s="1">
        <v>43962</v>
      </c>
      <c r="E157" s="1">
        <v>43964</v>
      </c>
      <c r="F157" s="1">
        <v>43952</v>
      </c>
      <c r="G157" s="2">
        <v>0.33333333333333331</v>
      </c>
      <c r="H157" s="3">
        <v>1</v>
      </c>
      <c r="I157" t="s">
        <v>26</v>
      </c>
      <c r="J157" s="12" t="s">
        <v>18</v>
      </c>
      <c r="K157">
        <v>2</v>
      </c>
      <c r="L157">
        <v>0</v>
      </c>
      <c r="M157" t="s">
        <v>19</v>
      </c>
      <c r="N157" s="6">
        <v>213</v>
      </c>
      <c r="O157">
        <f>Table13[[#This Row],[Adults]]+Table13[[#This Row],[Children]]</f>
        <v>2</v>
      </c>
      <c r="P157">
        <f>_xlfn.DAYS(Table13[[#This Row],[Depart]],Table13[[#This Row],[Arrive]])</f>
        <v>2</v>
      </c>
    </row>
    <row r="158" spans="1:16" x14ac:dyDescent="0.25">
      <c r="A158" t="s">
        <v>208</v>
      </c>
      <c r="B158" t="s">
        <v>209</v>
      </c>
      <c r="C158" t="s">
        <v>2225</v>
      </c>
      <c r="D158" s="1">
        <v>43962</v>
      </c>
      <c r="E158" s="1">
        <v>43968</v>
      </c>
      <c r="F158" s="1">
        <v>43953</v>
      </c>
      <c r="G158" s="2">
        <v>0.33333333333333331</v>
      </c>
      <c r="H158" s="3">
        <v>1</v>
      </c>
      <c r="I158" t="s">
        <v>22</v>
      </c>
      <c r="J158" s="12" t="s">
        <v>23</v>
      </c>
      <c r="K158">
        <v>4</v>
      </c>
      <c r="L158">
        <v>0</v>
      </c>
      <c r="M158" t="s">
        <v>19</v>
      </c>
      <c r="N158" s="6">
        <v>660</v>
      </c>
      <c r="O158">
        <f>Table13[[#This Row],[Adults]]+Table13[[#This Row],[Children]]</f>
        <v>4</v>
      </c>
      <c r="P158">
        <f>_xlfn.DAYS(Table13[[#This Row],[Depart]],Table13[[#This Row],[Arrive]])</f>
        <v>6</v>
      </c>
    </row>
    <row r="159" spans="1:16" x14ac:dyDescent="0.25">
      <c r="A159" t="s">
        <v>274</v>
      </c>
      <c r="B159" t="s">
        <v>275</v>
      </c>
      <c r="C159" t="s">
        <v>2228</v>
      </c>
      <c r="D159" s="1">
        <v>43967</v>
      </c>
      <c r="E159" s="1">
        <v>43968</v>
      </c>
      <c r="F159" s="1">
        <v>43986</v>
      </c>
      <c r="G159" s="2">
        <v>8.3333333333333329E-2</v>
      </c>
      <c r="H159" s="2">
        <v>0.45833333333333331</v>
      </c>
      <c r="I159" t="s">
        <v>22</v>
      </c>
      <c r="J159" s="12" t="s">
        <v>23</v>
      </c>
      <c r="K159">
        <v>4</v>
      </c>
      <c r="L159">
        <v>0</v>
      </c>
      <c r="M159" t="s">
        <v>19</v>
      </c>
      <c r="N159" s="6">
        <v>150</v>
      </c>
      <c r="O159">
        <f>Table13[[#This Row],[Adults]]+Table13[[#This Row],[Children]]</f>
        <v>4</v>
      </c>
      <c r="P159">
        <f>_xlfn.DAYS(Table13[[#This Row],[Depart]],Table13[[#This Row],[Arrive]])</f>
        <v>1</v>
      </c>
    </row>
    <row r="160" spans="1:16" x14ac:dyDescent="0.25">
      <c r="A160" t="s">
        <v>274</v>
      </c>
      <c r="B160" t="s">
        <v>275</v>
      </c>
      <c r="C160" t="s">
        <v>2227</v>
      </c>
      <c r="D160" s="1">
        <v>43967</v>
      </c>
      <c r="E160" s="1">
        <v>43968</v>
      </c>
      <c r="F160" s="1">
        <v>43963</v>
      </c>
      <c r="G160" s="2">
        <v>0.58333333333333337</v>
      </c>
      <c r="H160" s="2">
        <v>0.45833333333333331</v>
      </c>
      <c r="I160" t="s">
        <v>22</v>
      </c>
      <c r="J160" s="12" t="s">
        <v>18</v>
      </c>
      <c r="K160">
        <v>4</v>
      </c>
      <c r="L160">
        <v>0</v>
      </c>
      <c r="M160" t="s">
        <v>19</v>
      </c>
      <c r="N160" s="6">
        <v>150</v>
      </c>
      <c r="O160">
        <f>Table13[[#This Row],[Adults]]+Table13[[#This Row],[Children]]</f>
        <v>4</v>
      </c>
      <c r="P160">
        <f>_xlfn.DAYS(Table13[[#This Row],[Depart]],Table13[[#This Row],[Arrive]])</f>
        <v>1</v>
      </c>
    </row>
    <row r="161" spans="1:16" x14ac:dyDescent="0.25">
      <c r="A161" t="s">
        <v>204</v>
      </c>
      <c r="B161" t="s">
        <v>205</v>
      </c>
      <c r="C161" t="s">
        <v>2225</v>
      </c>
      <c r="D161" s="1">
        <v>43968</v>
      </c>
      <c r="E161" s="1">
        <v>43983</v>
      </c>
      <c r="F161" s="1">
        <v>43953</v>
      </c>
      <c r="G161" s="2">
        <v>0.33333333333333331</v>
      </c>
      <c r="H161" s="3">
        <v>1</v>
      </c>
      <c r="I161" t="s">
        <v>22</v>
      </c>
      <c r="J161" s="12" t="s">
        <v>23</v>
      </c>
      <c r="K161">
        <v>3</v>
      </c>
      <c r="L161">
        <v>0</v>
      </c>
      <c r="M161" t="s">
        <v>19</v>
      </c>
      <c r="N161" s="6">
        <v>1650</v>
      </c>
      <c r="O161">
        <f>Table13[[#This Row],[Adults]]+Table13[[#This Row],[Children]]</f>
        <v>3</v>
      </c>
      <c r="P161">
        <f>_xlfn.DAYS(Table13[[#This Row],[Depart]],Table13[[#This Row],[Arrive]])</f>
        <v>15</v>
      </c>
    </row>
    <row r="162" spans="1:16" x14ac:dyDescent="0.25">
      <c r="A162" t="s">
        <v>110</v>
      </c>
      <c r="B162" t="s">
        <v>111</v>
      </c>
      <c r="C162" t="s">
        <v>2226</v>
      </c>
      <c r="D162" s="1">
        <v>43968</v>
      </c>
      <c r="E162" s="1">
        <v>43977</v>
      </c>
      <c r="F162" s="1">
        <v>43951</v>
      </c>
      <c r="G162" s="2">
        <v>0.33333333333333331</v>
      </c>
      <c r="H162" s="3">
        <v>1</v>
      </c>
      <c r="I162" t="s">
        <v>22</v>
      </c>
      <c r="J162" s="12" t="s">
        <v>18</v>
      </c>
      <c r="K162">
        <v>3</v>
      </c>
      <c r="L162">
        <v>0</v>
      </c>
      <c r="M162" t="s">
        <v>19</v>
      </c>
      <c r="N162" s="6">
        <v>990</v>
      </c>
      <c r="O162">
        <f>Table13[[#This Row],[Adults]]+Table13[[#This Row],[Children]]</f>
        <v>3</v>
      </c>
      <c r="P162">
        <f>_xlfn.DAYS(Table13[[#This Row],[Depart]],Table13[[#This Row],[Arrive]])</f>
        <v>9</v>
      </c>
    </row>
    <row r="163" spans="1:16" x14ac:dyDescent="0.25">
      <c r="A163" t="s">
        <v>234</v>
      </c>
      <c r="B163" t="s">
        <v>235</v>
      </c>
      <c r="C163" t="s">
        <v>2224</v>
      </c>
      <c r="D163" s="1">
        <v>43968</v>
      </c>
      <c r="E163" s="1">
        <v>43976</v>
      </c>
      <c r="F163" s="1">
        <v>43960</v>
      </c>
      <c r="G163" s="2">
        <v>0.33333333333333331</v>
      </c>
      <c r="H163" s="3">
        <v>1</v>
      </c>
      <c r="I163" t="s">
        <v>22</v>
      </c>
      <c r="J163" s="12" t="s">
        <v>18</v>
      </c>
      <c r="K163">
        <v>3</v>
      </c>
      <c r="L163">
        <v>0</v>
      </c>
      <c r="M163" t="s">
        <v>19</v>
      </c>
      <c r="N163" s="6">
        <v>880</v>
      </c>
      <c r="O163">
        <f>Table13[[#This Row],[Adults]]+Table13[[#This Row],[Children]]</f>
        <v>3</v>
      </c>
      <c r="P163">
        <f>_xlfn.DAYS(Table13[[#This Row],[Depart]],Table13[[#This Row],[Arrive]])</f>
        <v>8</v>
      </c>
    </row>
    <row r="164" spans="1:16" x14ac:dyDescent="0.25">
      <c r="A164" t="s">
        <v>234</v>
      </c>
      <c r="B164" t="s">
        <v>235</v>
      </c>
      <c r="C164" t="s">
        <v>2226</v>
      </c>
      <c r="D164" s="1">
        <v>43968</v>
      </c>
      <c r="E164" s="1">
        <v>43977</v>
      </c>
      <c r="F164" s="1">
        <v>43967</v>
      </c>
      <c r="G164" s="2">
        <v>0.33333333333333331</v>
      </c>
      <c r="H164" s="3">
        <v>1</v>
      </c>
      <c r="I164" t="s">
        <v>22</v>
      </c>
      <c r="J164" s="12" t="s">
        <v>23</v>
      </c>
      <c r="K164">
        <v>3</v>
      </c>
      <c r="L164">
        <v>0</v>
      </c>
      <c r="M164" t="s">
        <v>19</v>
      </c>
      <c r="N164" s="6">
        <v>990</v>
      </c>
      <c r="O164">
        <f>Table13[[#This Row],[Adults]]+Table13[[#This Row],[Children]]</f>
        <v>3</v>
      </c>
      <c r="P164">
        <f>_xlfn.DAYS(Table13[[#This Row],[Depart]],Table13[[#This Row],[Arrive]])</f>
        <v>9</v>
      </c>
    </row>
    <row r="165" spans="1:16" x14ac:dyDescent="0.25">
      <c r="A165" t="s">
        <v>276</v>
      </c>
      <c r="B165" t="s">
        <v>277</v>
      </c>
      <c r="C165" t="s">
        <v>2228</v>
      </c>
      <c r="D165" s="1">
        <v>43968</v>
      </c>
      <c r="E165" s="1">
        <v>43969</v>
      </c>
      <c r="F165" s="1">
        <v>43986</v>
      </c>
      <c r="G165" s="2">
        <v>0.58333333333333337</v>
      </c>
      <c r="H165" s="2">
        <v>0.45833333333333331</v>
      </c>
      <c r="I165" t="s">
        <v>22</v>
      </c>
      <c r="J165" s="12" t="s">
        <v>23</v>
      </c>
      <c r="K165">
        <v>3</v>
      </c>
      <c r="L165">
        <v>0</v>
      </c>
      <c r="M165" t="s">
        <v>19</v>
      </c>
      <c r="N165" s="6">
        <v>150</v>
      </c>
      <c r="O165">
        <f>Table13[[#This Row],[Adults]]+Table13[[#This Row],[Children]]</f>
        <v>3</v>
      </c>
      <c r="P165">
        <f>_xlfn.DAYS(Table13[[#This Row],[Depart]],Table13[[#This Row],[Arrive]])</f>
        <v>1</v>
      </c>
    </row>
    <row r="166" spans="1:16" x14ac:dyDescent="0.25">
      <c r="A166" t="s">
        <v>276</v>
      </c>
      <c r="B166" t="s">
        <v>277</v>
      </c>
      <c r="C166" t="s">
        <v>2227</v>
      </c>
      <c r="D166" s="1">
        <v>43968</v>
      </c>
      <c r="E166" s="1">
        <v>43969</v>
      </c>
      <c r="F166" s="1">
        <v>43963</v>
      </c>
      <c r="G166" s="2">
        <v>0.58333333333333337</v>
      </c>
      <c r="H166" s="2">
        <v>0.45833333333333331</v>
      </c>
      <c r="I166" t="s">
        <v>22</v>
      </c>
      <c r="J166" s="12" t="s">
        <v>18</v>
      </c>
      <c r="K166">
        <v>3</v>
      </c>
      <c r="L166">
        <v>0</v>
      </c>
      <c r="M166" t="s">
        <v>19</v>
      </c>
      <c r="N166" s="6">
        <v>150</v>
      </c>
      <c r="O166">
        <f>Table13[[#This Row],[Adults]]+Table13[[#This Row],[Children]]</f>
        <v>3</v>
      </c>
      <c r="P166">
        <f>_xlfn.DAYS(Table13[[#This Row],[Depart]],Table13[[#This Row],[Arrive]])</f>
        <v>1</v>
      </c>
    </row>
    <row r="167" spans="1:16" x14ac:dyDescent="0.25">
      <c r="A167" t="s">
        <v>272</v>
      </c>
      <c r="B167" t="s">
        <v>273</v>
      </c>
      <c r="C167" t="s">
        <v>2228</v>
      </c>
      <c r="D167" s="1">
        <v>43969</v>
      </c>
      <c r="E167" s="1">
        <v>43970</v>
      </c>
      <c r="F167" s="1">
        <v>43986</v>
      </c>
      <c r="G167" s="2">
        <v>0.58333333333333337</v>
      </c>
      <c r="H167" s="2">
        <v>0.5</v>
      </c>
      <c r="I167" t="s">
        <v>22</v>
      </c>
      <c r="J167" s="12" t="s">
        <v>23</v>
      </c>
      <c r="K167">
        <v>3</v>
      </c>
      <c r="L167">
        <v>0</v>
      </c>
      <c r="M167" t="s">
        <v>19</v>
      </c>
      <c r="N167" s="6">
        <v>150</v>
      </c>
      <c r="O167">
        <f>Table13[[#This Row],[Adults]]+Table13[[#This Row],[Children]]</f>
        <v>3</v>
      </c>
      <c r="P167">
        <f>_xlfn.DAYS(Table13[[#This Row],[Depart]],Table13[[#This Row],[Arrive]])</f>
        <v>1</v>
      </c>
    </row>
    <row r="168" spans="1:16" x14ac:dyDescent="0.25">
      <c r="A168" t="s">
        <v>272</v>
      </c>
      <c r="B168" t="s">
        <v>273</v>
      </c>
      <c r="C168" t="s">
        <v>2227</v>
      </c>
      <c r="D168" s="1">
        <v>43969</v>
      </c>
      <c r="E168" s="1">
        <v>43970</v>
      </c>
      <c r="F168" s="1">
        <v>43963</v>
      </c>
      <c r="G168" s="2">
        <v>0.58333333333333337</v>
      </c>
      <c r="H168" s="2">
        <v>0.45833333333333331</v>
      </c>
      <c r="I168" t="s">
        <v>22</v>
      </c>
      <c r="J168" s="12" t="s">
        <v>18</v>
      </c>
      <c r="K168">
        <v>3</v>
      </c>
      <c r="L168">
        <v>0</v>
      </c>
      <c r="M168" t="s">
        <v>19</v>
      </c>
      <c r="N168" s="6">
        <v>150</v>
      </c>
      <c r="O168">
        <f>Table13[[#This Row],[Adults]]+Table13[[#This Row],[Children]]</f>
        <v>3</v>
      </c>
      <c r="P168">
        <f>_xlfn.DAYS(Table13[[#This Row],[Depart]],Table13[[#This Row],[Arrive]])</f>
        <v>1</v>
      </c>
    </row>
    <row r="169" spans="1:16" x14ac:dyDescent="0.25">
      <c r="A169" t="s">
        <v>130</v>
      </c>
      <c r="B169" t="s">
        <v>131</v>
      </c>
      <c r="C169" t="s">
        <v>2226</v>
      </c>
      <c r="D169" s="1">
        <v>43970</v>
      </c>
      <c r="E169" s="1">
        <v>43977</v>
      </c>
      <c r="F169" s="1">
        <v>43918</v>
      </c>
      <c r="G169" s="2">
        <v>0.33333333333333331</v>
      </c>
      <c r="H169" s="3">
        <v>1</v>
      </c>
      <c r="I169" t="s">
        <v>22</v>
      </c>
      <c r="J169" s="12" t="s">
        <v>18</v>
      </c>
      <c r="K169">
        <v>4</v>
      </c>
      <c r="L169">
        <v>2</v>
      </c>
      <c r="M169" t="s">
        <v>19</v>
      </c>
      <c r="N169" s="6">
        <v>770</v>
      </c>
      <c r="O169">
        <f>Table13[[#This Row],[Adults]]+Table13[[#This Row],[Children]]</f>
        <v>6</v>
      </c>
      <c r="P169">
        <f>_xlfn.DAYS(Table13[[#This Row],[Depart]],Table13[[#This Row],[Arrive]])</f>
        <v>7</v>
      </c>
    </row>
    <row r="170" spans="1:16" x14ac:dyDescent="0.25">
      <c r="A170" t="s">
        <v>228</v>
      </c>
      <c r="B170" t="s">
        <v>229</v>
      </c>
      <c r="C170" t="s">
        <v>2227</v>
      </c>
      <c r="D170" s="1">
        <v>43972</v>
      </c>
      <c r="E170" s="1">
        <v>43975</v>
      </c>
      <c r="F170" s="1">
        <v>43963</v>
      </c>
      <c r="G170" s="2">
        <v>0.58333333333333337</v>
      </c>
      <c r="H170" s="2">
        <v>0.45833333333333331</v>
      </c>
      <c r="I170" t="s">
        <v>35</v>
      </c>
      <c r="J170" s="12" t="s">
        <v>18</v>
      </c>
      <c r="K170">
        <v>3</v>
      </c>
      <c r="L170">
        <v>0</v>
      </c>
      <c r="M170" t="s">
        <v>19</v>
      </c>
      <c r="N170" s="6">
        <v>450</v>
      </c>
      <c r="O170">
        <f>Table13[[#This Row],[Adults]]+Table13[[#This Row],[Children]]</f>
        <v>3</v>
      </c>
      <c r="P170">
        <f>_xlfn.DAYS(Table13[[#This Row],[Depart]],Table13[[#This Row],[Arrive]])</f>
        <v>3</v>
      </c>
    </row>
    <row r="171" spans="1:16" x14ac:dyDescent="0.25">
      <c r="A171" t="s">
        <v>228</v>
      </c>
      <c r="B171" t="s">
        <v>229</v>
      </c>
      <c r="C171" t="s">
        <v>2228</v>
      </c>
      <c r="D171" s="1">
        <v>43972</v>
      </c>
      <c r="E171" s="1">
        <v>43975</v>
      </c>
      <c r="F171" s="1">
        <v>43986</v>
      </c>
      <c r="G171" s="2">
        <v>0.58333333333333337</v>
      </c>
      <c r="H171" s="2">
        <v>0.45833333333333331</v>
      </c>
      <c r="I171" t="s">
        <v>22</v>
      </c>
      <c r="J171" s="12" t="s">
        <v>23</v>
      </c>
      <c r="K171">
        <v>3</v>
      </c>
      <c r="L171">
        <v>0</v>
      </c>
      <c r="M171" t="s">
        <v>19</v>
      </c>
      <c r="N171" s="6">
        <v>150</v>
      </c>
      <c r="O171">
        <f>Table13[[#This Row],[Adults]]+Table13[[#This Row],[Children]]</f>
        <v>3</v>
      </c>
      <c r="P171">
        <f>_xlfn.DAYS(Table13[[#This Row],[Depart]],Table13[[#This Row],[Arrive]])</f>
        <v>3</v>
      </c>
    </row>
    <row r="172" spans="1:16" x14ac:dyDescent="0.25">
      <c r="A172" t="s">
        <v>228</v>
      </c>
      <c r="B172" t="s">
        <v>229</v>
      </c>
      <c r="C172" t="s">
        <v>2227</v>
      </c>
      <c r="D172" s="1">
        <v>43972</v>
      </c>
      <c r="E172" s="1">
        <v>43975</v>
      </c>
      <c r="F172" s="1">
        <v>43964</v>
      </c>
      <c r="G172" s="2">
        <v>0.58333333333333337</v>
      </c>
      <c r="H172" s="2">
        <v>0.45833333333333331</v>
      </c>
      <c r="I172" t="s">
        <v>22</v>
      </c>
      <c r="J172" s="12" t="s">
        <v>18</v>
      </c>
      <c r="K172">
        <v>3</v>
      </c>
      <c r="L172">
        <v>0</v>
      </c>
      <c r="M172" t="s">
        <v>19</v>
      </c>
      <c r="N172" s="6">
        <v>450</v>
      </c>
      <c r="O172">
        <f>Table13[[#This Row],[Adults]]+Table13[[#This Row],[Children]]</f>
        <v>3</v>
      </c>
      <c r="P172">
        <f>_xlfn.DAYS(Table13[[#This Row],[Depart]],Table13[[#This Row],[Arrive]])</f>
        <v>3</v>
      </c>
    </row>
    <row r="173" spans="1:16" x14ac:dyDescent="0.25">
      <c r="A173" t="s">
        <v>226</v>
      </c>
      <c r="B173" t="s">
        <v>227</v>
      </c>
      <c r="C173" t="s">
        <v>2227</v>
      </c>
      <c r="D173" s="1">
        <v>43975</v>
      </c>
      <c r="E173" s="1">
        <v>43978</v>
      </c>
      <c r="F173" s="1">
        <v>43964</v>
      </c>
      <c r="G173" s="2">
        <v>0.58333333333333337</v>
      </c>
      <c r="H173" s="2">
        <v>0.45833333333333331</v>
      </c>
      <c r="I173" t="s">
        <v>22</v>
      </c>
      <c r="J173" s="12" t="s">
        <v>18</v>
      </c>
      <c r="K173">
        <v>3</v>
      </c>
      <c r="L173">
        <v>0</v>
      </c>
      <c r="M173" t="s">
        <v>19</v>
      </c>
      <c r="N173" s="6">
        <v>450</v>
      </c>
      <c r="O173">
        <f>Table13[[#This Row],[Adults]]+Table13[[#This Row],[Children]]</f>
        <v>3</v>
      </c>
      <c r="P173">
        <f>_xlfn.DAYS(Table13[[#This Row],[Depart]],Table13[[#This Row],[Arrive]])</f>
        <v>3</v>
      </c>
    </row>
    <row r="174" spans="1:16" x14ac:dyDescent="0.25">
      <c r="A174" t="s">
        <v>278</v>
      </c>
      <c r="B174" t="s">
        <v>279</v>
      </c>
      <c r="C174" t="s">
        <v>2228</v>
      </c>
      <c r="D174" s="1">
        <v>43975</v>
      </c>
      <c r="E174" s="1">
        <v>43978</v>
      </c>
      <c r="F174" s="1">
        <v>43986</v>
      </c>
      <c r="G174" s="2">
        <v>0.58333333333333337</v>
      </c>
      <c r="H174" s="2">
        <v>0.45833333333333331</v>
      </c>
      <c r="I174" t="s">
        <v>22</v>
      </c>
      <c r="J174" s="12" t="s">
        <v>23</v>
      </c>
      <c r="K174">
        <v>3</v>
      </c>
      <c r="L174">
        <v>0</v>
      </c>
      <c r="M174" t="s">
        <v>19</v>
      </c>
      <c r="N174" s="6">
        <v>150</v>
      </c>
      <c r="O174">
        <f>Table13[[#This Row],[Adults]]+Table13[[#This Row],[Children]]</f>
        <v>3</v>
      </c>
      <c r="P174">
        <f>_xlfn.DAYS(Table13[[#This Row],[Depart]],Table13[[#This Row],[Arrive]])</f>
        <v>3</v>
      </c>
    </row>
    <row r="175" spans="1:16" x14ac:dyDescent="0.25">
      <c r="A175" t="s">
        <v>278</v>
      </c>
      <c r="B175" t="s">
        <v>279</v>
      </c>
      <c r="C175" t="s">
        <v>2227</v>
      </c>
      <c r="D175" s="1">
        <v>43975</v>
      </c>
      <c r="E175" s="1">
        <v>43978</v>
      </c>
      <c r="F175" s="1">
        <v>43964</v>
      </c>
      <c r="G175" s="2">
        <v>0.58333333333333337</v>
      </c>
      <c r="H175" s="2">
        <v>0.45833333333333331</v>
      </c>
      <c r="I175" t="s">
        <v>22</v>
      </c>
      <c r="J175" s="12" t="s">
        <v>18</v>
      </c>
      <c r="K175">
        <v>3</v>
      </c>
      <c r="L175">
        <v>0</v>
      </c>
      <c r="M175" t="s">
        <v>19</v>
      </c>
      <c r="N175" s="6">
        <v>450</v>
      </c>
      <c r="O175">
        <f>Table13[[#This Row],[Adults]]+Table13[[#This Row],[Children]]</f>
        <v>3</v>
      </c>
      <c r="P175">
        <f>_xlfn.DAYS(Table13[[#This Row],[Depart]],Table13[[#This Row],[Arrive]])</f>
        <v>3</v>
      </c>
    </row>
    <row r="176" spans="1:16" x14ac:dyDescent="0.25">
      <c r="A176" t="s">
        <v>206</v>
      </c>
      <c r="B176" t="s">
        <v>207</v>
      </c>
      <c r="C176" t="s">
        <v>2225</v>
      </c>
      <c r="D176" s="1">
        <v>43976</v>
      </c>
      <c r="E176" s="1">
        <v>43983</v>
      </c>
      <c r="F176" s="1">
        <v>43951</v>
      </c>
      <c r="G176" s="2">
        <v>0.33333333333333331</v>
      </c>
      <c r="H176" s="3">
        <v>1</v>
      </c>
      <c r="I176" t="s">
        <v>22</v>
      </c>
      <c r="J176" s="12" t="s">
        <v>18</v>
      </c>
      <c r="K176">
        <v>4</v>
      </c>
      <c r="L176">
        <v>0</v>
      </c>
      <c r="M176" t="s">
        <v>19</v>
      </c>
      <c r="N176" s="6">
        <v>770</v>
      </c>
      <c r="O176">
        <f>Table13[[#This Row],[Adults]]+Table13[[#This Row],[Children]]</f>
        <v>4</v>
      </c>
      <c r="P176">
        <f>_xlfn.DAYS(Table13[[#This Row],[Depart]],Table13[[#This Row],[Arrive]])</f>
        <v>7</v>
      </c>
    </row>
    <row r="177" spans="1:16" x14ac:dyDescent="0.25">
      <c r="A177" t="s">
        <v>110</v>
      </c>
      <c r="B177" t="s">
        <v>111</v>
      </c>
      <c r="C177" t="s">
        <v>2226</v>
      </c>
      <c r="D177" s="1">
        <v>43977</v>
      </c>
      <c r="E177" s="1">
        <v>43983</v>
      </c>
      <c r="F177" s="1">
        <v>43951</v>
      </c>
      <c r="G177" s="2">
        <v>0.33333333333333331</v>
      </c>
      <c r="H177" s="3">
        <v>1</v>
      </c>
      <c r="I177" t="s">
        <v>22</v>
      </c>
      <c r="J177" s="12" t="s">
        <v>18</v>
      </c>
      <c r="K177">
        <v>3</v>
      </c>
      <c r="L177">
        <v>0</v>
      </c>
      <c r="M177" t="s">
        <v>19</v>
      </c>
      <c r="N177" s="6">
        <v>660</v>
      </c>
      <c r="O177">
        <f>Table13[[#This Row],[Adults]]+Table13[[#This Row],[Children]]</f>
        <v>3</v>
      </c>
      <c r="P177">
        <f>_xlfn.DAYS(Table13[[#This Row],[Depart]],Table13[[#This Row],[Arrive]])</f>
        <v>6</v>
      </c>
    </row>
    <row r="178" spans="1:16" x14ac:dyDescent="0.25">
      <c r="A178" t="s">
        <v>234</v>
      </c>
      <c r="B178" t="s">
        <v>235</v>
      </c>
      <c r="C178" t="s">
        <v>2226</v>
      </c>
      <c r="D178" s="1">
        <v>43977</v>
      </c>
      <c r="E178" s="1">
        <v>43980</v>
      </c>
      <c r="F178" s="1">
        <v>43968</v>
      </c>
      <c r="G178" s="2">
        <v>0.33333333333333331</v>
      </c>
      <c r="H178" s="3">
        <v>1</v>
      </c>
      <c r="I178" t="s">
        <v>22</v>
      </c>
      <c r="J178" s="12" t="s">
        <v>23</v>
      </c>
      <c r="K178">
        <v>3</v>
      </c>
      <c r="L178">
        <v>0</v>
      </c>
      <c r="M178" t="s">
        <v>19</v>
      </c>
      <c r="N178" s="6">
        <v>330</v>
      </c>
      <c r="O178">
        <f>Table13[[#This Row],[Adults]]+Table13[[#This Row],[Children]]</f>
        <v>3</v>
      </c>
      <c r="P178">
        <f>_xlfn.DAYS(Table13[[#This Row],[Depart]],Table13[[#This Row],[Arrive]])</f>
        <v>3</v>
      </c>
    </row>
    <row r="179" spans="1:16" x14ac:dyDescent="0.25">
      <c r="A179" t="s">
        <v>278</v>
      </c>
      <c r="B179" t="s">
        <v>279</v>
      </c>
      <c r="C179" t="s">
        <v>2228</v>
      </c>
      <c r="D179" s="1">
        <v>43978</v>
      </c>
      <c r="E179" s="1">
        <v>43979</v>
      </c>
      <c r="F179" s="1">
        <v>43986</v>
      </c>
      <c r="G179" s="2">
        <v>0.58333333333333337</v>
      </c>
      <c r="H179" s="2">
        <v>0.45833333333333331</v>
      </c>
      <c r="I179" t="s">
        <v>22</v>
      </c>
      <c r="J179" s="12" t="s">
        <v>23</v>
      </c>
      <c r="K179">
        <v>3</v>
      </c>
      <c r="L179">
        <v>0</v>
      </c>
      <c r="M179" t="s">
        <v>19</v>
      </c>
      <c r="N179" s="6">
        <v>150</v>
      </c>
      <c r="O179">
        <f>Table13[[#This Row],[Adults]]+Table13[[#This Row],[Children]]</f>
        <v>3</v>
      </c>
      <c r="P179">
        <f>_xlfn.DAYS(Table13[[#This Row],[Depart]],Table13[[#This Row],[Arrive]])</f>
        <v>1</v>
      </c>
    </row>
    <row r="180" spans="1:16" x14ac:dyDescent="0.25">
      <c r="A180" t="s">
        <v>278</v>
      </c>
      <c r="B180" t="s">
        <v>279</v>
      </c>
      <c r="C180" t="s">
        <v>2227</v>
      </c>
      <c r="D180" s="1">
        <v>43978</v>
      </c>
      <c r="E180" s="1">
        <v>43979</v>
      </c>
      <c r="F180" s="1">
        <v>43978</v>
      </c>
      <c r="G180" s="2">
        <v>0.58333333333333337</v>
      </c>
      <c r="H180" s="2">
        <v>0.45833333333333331</v>
      </c>
      <c r="I180" t="s">
        <v>22</v>
      </c>
      <c r="J180" s="12" t="s">
        <v>18</v>
      </c>
      <c r="K180">
        <v>3</v>
      </c>
      <c r="L180">
        <v>0</v>
      </c>
      <c r="M180" t="s">
        <v>19</v>
      </c>
      <c r="N180" s="6">
        <v>150</v>
      </c>
      <c r="O180">
        <f>Table13[[#This Row],[Adults]]+Table13[[#This Row],[Children]]</f>
        <v>3</v>
      </c>
      <c r="P180">
        <f>_xlfn.DAYS(Table13[[#This Row],[Depart]],Table13[[#This Row],[Arrive]])</f>
        <v>1</v>
      </c>
    </row>
    <row r="181" spans="1:16" x14ac:dyDescent="0.25">
      <c r="A181" t="s">
        <v>124</v>
      </c>
      <c r="B181" t="s">
        <v>125</v>
      </c>
      <c r="C181" t="s">
        <v>2223</v>
      </c>
      <c r="D181" s="1">
        <v>43979</v>
      </c>
      <c r="E181" s="1">
        <v>43980</v>
      </c>
      <c r="F181" s="1">
        <v>43907</v>
      </c>
      <c r="G181" s="2">
        <v>0.33333333333333331</v>
      </c>
      <c r="H181" s="3">
        <v>1</v>
      </c>
      <c r="I181" t="s">
        <v>26</v>
      </c>
      <c r="J181" s="12" t="s">
        <v>18</v>
      </c>
      <c r="K181">
        <v>1</v>
      </c>
      <c r="L181">
        <v>0</v>
      </c>
      <c r="M181" t="s">
        <v>19</v>
      </c>
      <c r="N181" s="6">
        <v>107</v>
      </c>
      <c r="O181">
        <f>Table13[[#This Row],[Adults]]+Table13[[#This Row],[Children]]</f>
        <v>1</v>
      </c>
      <c r="P181">
        <f>_xlfn.DAYS(Table13[[#This Row],[Depart]],Table13[[#This Row],[Arrive]])</f>
        <v>1</v>
      </c>
    </row>
    <row r="182" spans="1:16" x14ac:dyDescent="0.25">
      <c r="A182" t="s">
        <v>244</v>
      </c>
      <c r="B182" t="s">
        <v>245</v>
      </c>
      <c r="C182" t="s">
        <v>2227</v>
      </c>
      <c r="D182" s="1">
        <v>43979</v>
      </c>
      <c r="E182" s="1">
        <v>43980</v>
      </c>
      <c r="F182" s="1">
        <v>43972</v>
      </c>
      <c r="G182" s="2">
        <v>0.58333333333333337</v>
      </c>
      <c r="H182" s="2">
        <v>0.45833333333333331</v>
      </c>
      <c r="I182" t="s">
        <v>22</v>
      </c>
      <c r="J182" s="12" t="s">
        <v>18</v>
      </c>
      <c r="K182">
        <v>2</v>
      </c>
      <c r="L182">
        <v>0</v>
      </c>
      <c r="M182" t="s">
        <v>19</v>
      </c>
      <c r="N182" s="6">
        <v>150</v>
      </c>
      <c r="O182">
        <f>Table13[[#This Row],[Adults]]+Table13[[#This Row],[Children]]</f>
        <v>2</v>
      </c>
      <c r="P182">
        <f>_xlfn.DAYS(Table13[[#This Row],[Depart]],Table13[[#This Row],[Arrive]])</f>
        <v>1</v>
      </c>
    </row>
    <row r="183" spans="1:16" x14ac:dyDescent="0.25">
      <c r="A183" t="s">
        <v>280</v>
      </c>
      <c r="B183" t="s">
        <v>281</v>
      </c>
      <c r="C183" t="s">
        <v>2228</v>
      </c>
      <c r="D183" s="1">
        <v>43979</v>
      </c>
      <c r="E183" s="1">
        <v>43980</v>
      </c>
      <c r="F183" s="1">
        <v>43986</v>
      </c>
      <c r="G183" s="2">
        <v>0.58333333333333337</v>
      </c>
      <c r="H183" s="2">
        <v>0.45833333333333331</v>
      </c>
      <c r="I183" t="s">
        <v>22</v>
      </c>
      <c r="J183" s="12" t="s">
        <v>23</v>
      </c>
      <c r="K183">
        <v>4</v>
      </c>
      <c r="L183">
        <v>0</v>
      </c>
      <c r="M183" t="s">
        <v>19</v>
      </c>
      <c r="N183" s="6">
        <v>110</v>
      </c>
      <c r="O183">
        <f>Table13[[#This Row],[Adults]]+Table13[[#This Row],[Children]]</f>
        <v>4</v>
      </c>
      <c r="P183">
        <f>_xlfn.DAYS(Table13[[#This Row],[Depart]],Table13[[#This Row],[Arrive]])</f>
        <v>1</v>
      </c>
    </row>
    <row r="184" spans="1:16" x14ac:dyDescent="0.25">
      <c r="A184" t="s">
        <v>280</v>
      </c>
      <c r="B184" t="s">
        <v>281</v>
      </c>
      <c r="C184" t="s">
        <v>2227</v>
      </c>
      <c r="D184" s="1">
        <v>43979</v>
      </c>
      <c r="E184" s="1">
        <v>43980</v>
      </c>
      <c r="F184" s="1">
        <v>43980</v>
      </c>
      <c r="G184" s="2">
        <v>0.58333333333333337</v>
      </c>
      <c r="H184" s="2">
        <v>0.45833333333333331</v>
      </c>
      <c r="I184" t="s">
        <v>22</v>
      </c>
      <c r="J184" s="12" t="s">
        <v>18</v>
      </c>
      <c r="K184">
        <v>4</v>
      </c>
      <c r="L184">
        <v>0</v>
      </c>
      <c r="M184" t="s">
        <v>19</v>
      </c>
      <c r="N184" s="6">
        <v>110</v>
      </c>
      <c r="O184">
        <f>Table13[[#This Row],[Adults]]+Table13[[#This Row],[Children]]</f>
        <v>4</v>
      </c>
      <c r="P184">
        <f>_xlfn.DAYS(Table13[[#This Row],[Depart]],Table13[[#This Row],[Arrive]])</f>
        <v>1</v>
      </c>
    </row>
    <row r="185" spans="1:16" x14ac:dyDescent="0.25">
      <c r="A185" t="s">
        <v>206</v>
      </c>
      <c r="B185" t="s">
        <v>207</v>
      </c>
      <c r="C185" t="s">
        <v>2224</v>
      </c>
      <c r="D185" s="1">
        <v>43980</v>
      </c>
      <c r="E185" s="1">
        <v>43983</v>
      </c>
      <c r="F185" s="1">
        <v>43953</v>
      </c>
      <c r="G185" s="2">
        <v>0.33333333333333331</v>
      </c>
      <c r="H185" s="3">
        <v>1</v>
      </c>
      <c r="I185" t="s">
        <v>22</v>
      </c>
      <c r="J185" s="12" t="s">
        <v>18</v>
      </c>
      <c r="K185">
        <v>3</v>
      </c>
      <c r="L185">
        <v>0</v>
      </c>
      <c r="M185" t="s">
        <v>19</v>
      </c>
      <c r="N185" s="6">
        <v>330</v>
      </c>
      <c r="O185">
        <f>Table13[[#This Row],[Adults]]+Table13[[#This Row],[Children]]</f>
        <v>3</v>
      </c>
      <c r="P185">
        <f>_xlfn.DAYS(Table13[[#This Row],[Depart]],Table13[[#This Row],[Arrive]])</f>
        <v>3</v>
      </c>
    </row>
    <row r="186" spans="1:16" x14ac:dyDescent="0.25">
      <c r="A186" t="s">
        <v>234</v>
      </c>
      <c r="B186" t="s">
        <v>235</v>
      </c>
      <c r="C186" t="s">
        <v>2227</v>
      </c>
      <c r="D186" s="1">
        <v>43980</v>
      </c>
      <c r="E186" s="1">
        <v>44007</v>
      </c>
      <c r="F186" s="1">
        <v>43971</v>
      </c>
      <c r="G186" s="2">
        <v>0.58333333333333337</v>
      </c>
      <c r="H186" s="2">
        <v>0.45833333333333331</v>
      </c>
      <c r="I186" t="s">
        <v>22</v>
      </c>
      <c r="J186" s="12" t="s">
        <v>18</v>
      </c>
      <c r="K186">
        <v>4</v>
      </c>
      <c r="L186">
        <v>0</v>
      </c>
      <c r="M186" t="s">
        <v>19</v>
      </c>
      <c r="N186" s="6">
        <v>4050</v>
      </c>
      <c r="O186">
        <f>Table13[[#This Row],[Adults]]+Table13[[#This Row],[Children]]</f>
        <v>4</v>
      </c>
      <c r="P186">
        <f>_xlfn.DAYS(Table13[[#This Row],[Depart]],Table13[[#This Row],[Arrive]])</f>
        <v>27</v>
      </c>
    </row>
    <row r="187" spans="1:16" x14ac:dyDescent="0.25">
      <c r="A187" t="s">
        <v>234</v>
      </c>
      <c r="B187" t="s">
        <v>235</v>
      </c>
      <c r="C187" t="s">
        <v>2228</v>
      </c>
      <c r="D187" s="1">
        <v>43980</v>
      </c>
      <c r="E187" s="1">
        <v>44028</v>
      </c>
      <c r="F187" s="1">
        <v>43986</v>
      </c>
      <c r="G187" s="2">
        <v>0.58333333333333337</v>
      </c>
      <c r="H187" s="2">
        <v>0.45833333333333331</v>
      </c>
      <c r="I187" t="s">
        <v>22</v>
      </c>
      <c r="J187" s="12" t="s">
        <v>23</v>
      </c>
      <c r="K187">
        <v>4</v>
      </c>
      <c r="L187">
        <v>0</v>
      </c>
      <c r="M187" t="s">
        <v>19</v>
      </c>
      <c r="N187" s="6">
        <v>5280</v>
      </c>
      <c r="O187">
        <f>Table13[[#This Row],[Adults]]+Table13[[#This Row],[Children]]</f>
        <v>4</v>
      </c>
      <c r="P187">
        <f>_xlfn.DAYS(Table13[[#This Row],[Depart]],Table13[[#This Row],[Arrive]])</f>
        <v>48</v>
      </c>
    </row>
    <row r="188" spans="1:16" x14ac:dyDescent="0.25">
      <c r="A188" t="s">
        <v>218</v>
      </c>
      <c r="B188" t="s">
        <v>219</v>
      </c>
      <c r="C188" t="s">
        <v>2224</v>
      </c>
      <c r="D188" s="1">
        <v>43983</v>
      </c>
      <c r="E188" s="1">
        <v>43990</v>
      </c>
      <c r="F188" s="1">
        <v>43961</v>
      </c>
      <c r="G188" s="2">
        <v>0.33333333333333331</v>
      </c>
      <c r="H188" s="3">
        <v>1</v>
      </c>
      <c r="I188" t="s">
        <v>26</v>
      </c>
      <c r="J188" s="12" t="s">
        <v>18</v>
      </c>
      <c r="K188">
        <v>1</v>
      </c>
      <c r="L188">
        <v>0</v>
      </c>
      <c r="M188" t="s">
        <v>19</v>
      </c>
      <c r="N188" s="6">
        <v>720</v>
      </c>
      <c r="O188">
        <f>Table13[[#This Row],[Adults]]+Table13[[#This Row],[Children]]</f>
        <v>1</v>
      </c>
      <c r="P188">
        <f>_xlfn.DAYS(Table13[[#This Row],[Depart]],Table13[[#This Row],[Arrive]])</f>
        <v>7</v>
      </c>
    </row>
    <row r="189" spans="1:16" x14ac:dyDescent="0.25">
      <c r="A189" t="s">
        <v>218</v>
      </c>
      <c r="B189" t="s">
        <v>219</v>
      </c>
      <c r="C189" t="s">
        <v>2223</v>
      </c>
      <c r="D189" s="1">
        <v>43983</v>
      </c>
      <c r="E189" s="1">
        <v>43997</v>
      </c>
      <c r="F189" s="1">
        <v>43961</v>
      </c>
      <c r="G189" s="2">
        <v>0.33333333333333331</v>
      </c>
      <c r="H189" s="3">
        <v>1</v>
      </c>
      <c r="I189" t="s">
        <v>26</v>
      </c>
      <c r="J189" s="12" t="s">
        <v>18</v>
      </c>
      <c r="K189">
        <v>1</v>
      </c>
      <c r="L189">
        <v>0</v>
      </c>
      <c r="M189" t="s">
        <v>19</v>
      </c>
      <c r="N189" s="6">
        <v>1441</v>
      </c>
      <c r="O189">
        <f>Table13[[#This Row],[Adults]]+Table13[[#This Row],[Children]]</f>
        <v>1</v>
      </c>
      <c r="P189">
        <f>_xlfn.DAYS(Table13[[#This Row],[Depart]],Table13[[#This Row],[Arrive]])</f>
        <v>14</v>
      </c>
    </row>
    <row r="190" spans="1:16" x14ac:dyDescent="0.25">
      <c r="A190" t="s">
        <v>222</v>
      </c>
      <c r="B190" t="s">
        <v>223</v>
      </c>
      <c r="C190" t="s">
        <v>2226</v>
      </c>
      <c r="D190" s="1">
        <v>43983</v>
      </c>
      <c r="E190" s="1">
        <v>43984</v>
      </c>
      <c r="F190" s="1">
        <v>43964</v>
      </c>
      <c r="G190" s="2">
        <v>0.33333333333333331</v>
      </c>
      <c r="H190" s="3">
        <v>1</v>
      </c>
      <c r="I190" t="s">
        <v>26</v>
      </c>
      <c r="J190" s="12" t="s">
        <v>18</v>
      </c>
      <c r="K190">
        <v>1</v>
      </c>
      <c r="L190">
        <v>0</v>
      </c>
      <c r="M190" t="s">
        <v>19</v>
      </c>
      <c r="N190" s="6">
        <v>107</v>
      </c>
      <c r="O190">
        <f>Table13[[#This Row],[Adults]]+Table13[[#This Row],[Children]]</f>
        <v>1</v>
      </c>
      <c r="P190">
        <f>_xlfn.DAYS(Table13[[#This Row],[Depart]],Table13[[#This Row],[Arrive]])</f>
        <v>1</v>
      </c>
    </row>
    <row r="191" spans="1:16" x14ac:dyDescent="0.25">
      <c r="A191" t="s">
        <v>230</v>
      </c>
      <c r="B191" t="s">
        <v>231</v>
      </c>
      <c r="C191" t="s">
        <v>2226</v>
      </c>
      <c r="D191" s="1">
        <v>43983</v>
      </c>
      <c r="E191" s="1">
        <v>44001</v>
      </c>
      <c r="F191" s="1">
        <v>43962</v>
      </c>
      <c r="G191" s="2">
        <v>0.33333333333333331</v>
      </c>
      <c r="H191" s="3">
        <v>1</v>
      </c>
      <c r="I191" t="s">
        <v>26</v>
      </c>
      <c r="J191" s="12" t="s">
        <v>18</v>
      </c>
      <c r="K191">
        <v>1</v>
      </c>
      <c r="L191">
        <v>0</v>
      </c>
      <c r="M191" t="s">
        <v>19</v>
      </c>
      <c r="N191" s="6">
        <v>1851</v>
      </c>
      <c r="O191">
        <f>Table13[[#This Row],[Adults]]+Table13[[#This Row],[Children]]</f>
        <v>1</v>
      </c>
      <c r="P191">
        <f>_xlfn.DAYS(Table13[[#This Row],[Depart]],Table13[[#This Row],[Arrive]])</f>
        <v>18</v>
      </c>
    </row>
    <row r="192" spans="1:16" x14ac:dyDescent="0.25">
      <c r="A192" t="s">
        <v>250</v>
      </c>
      <c r="B192" t="s">
        <v>251</v>
      </c>
      <c r="C192" t="s">
        <v>2226</v>
      </c>
      <c r="D192" s="1">
        <v>43983</v>
      </c>
      <c r="E192" s="1">
        <v>43985</v>
      </c>
      <c r="F192" s="1">
        <v>43974</v>
      </c>
      <c r="G192" s="2">
        <v>0.33333333333333331</v>
      </c>
      <c r="H192" s="3">
        <v>1</v>
      </c>
      <c r="I192" t="s">
        <v>17</v>
      </c>
      <c r="J192" s="12" t="s">
        <v>18</v>
      </c>
      <c r="K192">
        <v>2</v>
      </c>
      <c r="L192">
        <v>0</v>
      </c>
      <c r="M192" t="s">
        <v>19</v>
      </c>
      <c r="N192" s="6">
        <v>194.04</v>
      </c>
      <c r="O192">
        <f>Table13[[#This Row],[Adults]]+Table13[[#This Row],[Children]]</f>
        <v>2</v>
      </c>
      <c r="P192">
        <f>_xlfn.DAYS(Table13[[#This Row],[Depart]],Table13[[#This Row],[Arrive]])</f>
        <v>2</v>
      </c>
    </row>
    <row r="193" spans="1:16" x14ac:dyDescent="0.25">
      <c r="A193" t="s">
        <v>252</v>
      </c>
      <c r="B193" t="s">
        <v>253</v>
      </c>
      <c r="C193" t="s">
        <v>2226</v>
      </c>
      <c r="D193" s="1">
        <v>43983</v>
      </c>
      <c r="E193" s="1">
        <v>43985</v>
      </c>
      <c r="F193" s="1">
        <v>43983</v>
      </c>
      <c r="G193" s="2">
        <v>0.33333333333333331</v>
      </c>
      <c r="H193" s="3">
        <v>1</v>
      </c>
      <c r="I193" t="s">
        <v>22</v>
      </c>
      <c r="J193" s="12" t="s">
        <v>23</v>
      </c>
      <c r="K193">
        <v>3</v>
      </c>
      <c r="L193">
        <v>0</v>
      </c>
      <c r="M193" t="s">
        <v>19</v>
      </c>
      <c r="N193" s="6">
        <v>220</v>
      </c>
      <c r="O193">
        <f>Table13[[#This Row],[Adults]]+Table13[[#This Row],[Children]]</f>
        <v>3</v>
      </c>
      <c r="P193">
        <f>_xlfn.DAYS(Table13[[#This Row],[Depart]],Table13[[#This Row],[Arrive]])</f>
        <v>2</v>
      </c>
    </row>
    <row r="194" spans="1:16" x14ac:dyDescent="0.25">
      <c r="A194" t="s">
        <v>254</v>
      </c>
      <c r="B194" t="s">
        <v>255</v>
      </c>
      <c r="C194" t="s">
        <v>2224</v>
      </c>
      <c r="D194" s="1">
        <v>43983</v>
      </c>
      <c r="E194" s="1">
        <v>43985</v>
      </c>
      <c r="F194" s="1">
        <v>43975</v>
      </c>
      <c r="G194" s="2">
        <v>0.33333333333333331</v>
      </c>
      <c r="H194" s="3">
        <v>1</v>
      </c>
      <c r="I194" t="s">
        <v>17</v>
      </c>
      <c r="J194" s="12" t="s">
        <v>18</v>
      </c>
      <c r="K194">
        <v>6</v>
      </c>
      <c r="L194">
        <v>0</v>
      </c>
      <c r="M194" t="s">
        <v>19</v>
      </c>
      <c r="N194" s="6">
        <v>255.6</v>
      </c>
      <c r="O194">
        <f>Table13[[#This Row],[Adults]]+Table13[[#This Row],[Children]]</f>
        <v>6</v>
      </c>
      <c r="P194">
        <f>_xlfn.DAYS(Table13[[#This Row],[Depart]],Table13[[#This Row],[Arrive]])</f>
        <v>2</v>
      </c>
    </row>
    <row r="195" spans="1:16" x14ac:dyDescent="0.25">
      <c r="A195" t="s">
        <v>204</v>
      </c>
      <c r="B195" t="s">
        <v>205</v>
      </c>
      <c r="C195" t="s">
        <v>2225</v>
      </c>
      <c r="D195" s="1">
        <v>43983</v>
      </c>
      <c r="E195" s="1">
        <v>43989</v>
      </c>
      <c r="F195" s="1">
        <v>43964</v>
      </c>
      <c r="G195" s="2">
        <v>0.33333333333333331</v>
      </c>
      <c r="H195" s="2">
        <v>0.45833333333333331</v>
      </c>
      <c r="I195" t="s">
        <v>22</v>
      </c>
      <c r="J195" s="12" t="s">
        <v>23</v>
      </c>
      <c r="K195">
        <v>2</v>
      </c>
      <c r="L195">
        <v>0</v>
      </c>
      <c r="M195" t="s">
        <v>19</v>
      </c>
      <c r="N195" s="6">
        <v>660</v>
      </c>
      <c r="O195">
        <f>Table13[[#This Row],[Adults]]+Table13[[#This Row],[Children]]</f>
        <v>2</v>
      </c>
      <c r="P195">
        <f>_xlfn.DAYS(Table13[[#This Row],[Depart]],Table13[[#This Row],[Arrive]])</f>
        <v>6</v>
      </c>
    </row>
    <row r="196" spans="1:16" x14ac:dyDescent="0.25">
      <c r="A196" t="s">
        <v>166</v>
      </c>
      <c r="B196" t="s">
        <v>167</v>
      </c>
      <c r="C196" t="s">
        <v>2224</v>
      </c>
      <c r="D196" s="1">
        <v>43985</v>
      </c>
      <c r="E196" s="1">
        <v>43988</v>
      </c>
      <c r="F196" s="1">
        <v>43977</v>
      </c>
      <c r="G196" s="2">
        <v>0.33333333333333331</v>
      </c>
      <c r="H196" s="3">
        <v>1</v>
      </c>
      <c r="I196" t="s">
        <v>22</v>
      </c>
      <c r="J196" s="12" t="s">
        <v>18</v>
      </c>
      <c r="K196">
        <v>3</v>
      </c>
      <c r="L196">
        <v>0</v>
      </c>
      <c r="M196" t="s">
        <v>19</v>
      </c>
      <c r="N196" s="6">
        <v>440</v>
      </c>
      <c r="O196">
        <f>Table13[[#This Row],[Adults]]+Table13[[#This Row],[Children]]</f>
        <v>3</v>
      </c>
      <c r="P196">
        <f>_xlfn.DAYS(Table13[[#This Row],[Depart]],Table13[[#This Row],[Arrive]])</f>
        <v>3</v>
      </c>
    </row>
    <row r="197" spans="1:16" x14ac:dyDescent="0.25">
      <c r="A197" t="s">
        <v>166</v>
      </c>
      <c r="B197" t="s">
        <v>167</v>
      </c>
      <c r="C197" t="s">
        <v>2224</v>
      </c>
      <c r="D197" s="1">
        <v>43985</v>
      </c>
      <c r="E197" s="1">
        <v>43988</v>
      </c>
      <c r="F197" s="1">
        <v>43977</v>
      </c>
      <c r="G197" s="2">
        <v>0.33333333333333331</v>
      </c>
      <c r="H197" s="3">
        <v>1</v>
      </c>
      <c r="I197" t="s">
        <v>22</v>
      </c>
      <c r="J197" s="12" t="s">
        <v>18</v>
      </c>
      <c r="K197">
        <v>3</v>
      </c>
      <c r="L197">
        <v>0</v>
      </c>
      <c r="M197" t="s">
        <v>19</v>
      </c>
      <c r="N197" s="6">
        <v>330</v>
      </c>
      <c r="O197">
        <f>Table13[[#This Row],[Adults]]+Table13[[#This Row],[Children]]</f>
        <v>3</v>
      </c>
      <c r="P197">
        <f>_xlfn.DAYS(Table13[[#This Row],[Depart]],Table13[[#This Row],[Arrive]])</f>
        <v>3</v>
      </c>
    </row>
    <row r="198" spans="1:16" x14ac:dyDescent="0.25">
      <c r="A198" t="s">
        <v>166</v>
      </c>
      <c r="B198" t="s">
        <v>167</v>
      </c>
      <c r="C198" t="s">
        <v>2224</v>
      </c>
      <c r="D198" s="1">
        <v>43985</v>
      </c>
      <c r="E198" s="1">
        <v>43988</v>
      </c>
      <c r="F198" s="1">
        <v>43977</v>
      </c>
      <c r="G198" s="2">
        <v>0.33333333333333331</v>
      </c>
      <c r="H198" s="3">
        <v>1</v>
      </c>
      <c r="I198" t="s">
        <v>22</v>
      </c>
      <c r="J198" s="12" t="s">
        <v>18</v>
      </c>
      <c r="K198">
        <v>3</v>
      </c>
      <c r="L198">
        <v>0</v>
      </c>
      <c r="M198" t="s">
        <v>19</v>
      </c>
      <c r="N198" s="6">
        <v>330</v>
      </c>
      <c r="O198">
        <f>Table13[[#This Row],[Adults]]+Table13[[#This Row],[Children]]</f>
        <v>3</v>
      </c>
      <c r="P198">
        <f>_xlfn.DAYS(Table13[[#This Row],[Depart]],Table13[[#This Row],[Arrive]])</f>
        <v>3</v>
      </c>
    </row>
    <row r="199" spans="1:16" x14ac:dyDescent="0.25">
      <c r="A199" t="s">
        <v>354</v>
      </c>
      <c r="B199" t="s">
        <v>355</v>
      </c>
      <c r="C199" t="s">
        <v>2226</v>
      </c>
      <c r="D199" s="1">
        <v>43985</v>
      </c>
      <c r="E199" s="1">
        <v>43986</v>
      </c>
      <c r="F199" s="1">
        <v>43983</v>
      </c>
      <c r="G199" s="2">
        <v>0.33333333333333331</v>
      </c>
      <c r="H199" s="3">
        <v>1</v>
      </c>
      <c r="I199" t="s">
        <v>22</v>
      </c>
      <c r="J199" s="12" t="s">
        <v>23</v>
      </c>
      <c r="K199">
        <v>3</v>
      </c>
      <c r="L199">
        <v>0</v>
      </c>
      <c r="M199" t="s">
        <v>19</v>
      </c>
      <c r="N199" s="6">
        <v>110</v>
      </c>
      <c r="O199">
        <f>Table13[[#This Row],[Adults]]+Table13[[#This Row],[Children]]</f>
        <v>3</v>
      </c>
      <c r="P199">
        <f>_xlfn.DAYS(Table13[[#This Row],[Depart]],Table13[[#This Row],[Arrive]])</f>
        <v>1</v>
      </c>
    </row>
    <row r="200" spans="1:16" x14ac:dyDescent="0.25">
      <c r="A200" t="s">
        <v>15</v>
      </c>
      <c r="B200" t="s">
        <v>16</v>
      </c>
      <c r="C200" t="s">
        <v>2226</v>
      </c>
      <c r="D200" s="1">
        <v>43986</v>
      </c>
      <c r="E200" s="1">
        <v>44000</v>
      </c>
      <c r="F200" s="1">
        <v>43867</v>
      </c>
      <c r="G200" s="2">
        <v>0.33333333333333331</v>
      </c>
      <c r="H200" s="3">
        <v>1</v>
      </c>
      <c r="I200" t="s">
        <v>17</v>
      </c>
      <c r="J200" s="12" t="s">
        <v>18</v>
      </c>
      <c r="K200">
        <v>2</v>
      </c>
      <c r="L200">
        <v>0</v>
      </c>
      <c r="M200" t="s">
        <v>19</v>
      </c>
      <c r="N200" s="6">
        <v>1249.82</v>
      </c>
      <c r="O200">
        <f>Table13[[#This Row],[Adults]]+Table13[[#This Row],[Children]]</f>
        <v>2</v>
      </c>
      <c r="P200">
        <f>_xlfn.DAYS(Table13[[#This Row],[Depart]],Table13[[#This Row],[Arrive]])</f>
        <v>14</v>
      </c>
    </row>
    <row r="201" spans="1:16" x14ac:dyDescent="0.25">
      <c r="A201" t="s">
        <v>338</v>
      </c>
      <c r="B201" t="s">
        <v>339</v>
      </c>
      <c r="C201" t="s">
        <v>2226</v>
      </c>
      <c r="D201" s="1">
        <v>43986</v>
      </c>
      <c r="E201" s="1">
        <v>43987</v>
      </c>
      <c r="F201" s="1">
        <v>43978</v>
      </c>
      <c r="G201" s="2">
        <v>0.33333333333333331</v>
      </c>
      <c r="H201" s="3">
        <v>1</v>
      </c>
      <c r="I201" t="s">
        <v>22</v>
      </c>
      <c r="J201" s="12" t="s">
        <v>18</v>
      </c>
      <c r="K201">
        <v>1</v>
      </c>
      <c r="L201">
        <v>0</v>
      </c>
      <c r="M201" t="s">
        <v>19</v>
      </c>
      <c r="N201" s="6">
        <v>110</v>
      </c>
      <c r="O201">
        <f>Table13[[#This Row],[Adults]]+Table13[[#This Row],[Children]]</f>
        <v>1</v>
      </c>
      <c r="P201">
        <f>_xlfn.DAYS(Table13[[#This Row],[Depart]],Table13[[#This Row],[Arrive]])</f>
        <v>1</v>
      </c>
    </row>
    <row r="202" spans="1:16" x14ac:dyDescent="0.25">
      <c r="A202" t="s">
        <v>338</v>
      </c>
      <c r="B202" t="s">
        <v>339</v>
      </c>
      <c r="C202" t="s">
        <v>2226</v>
      </c>
      <c r="D202" s="1">
        <v>43986</v>
      </c>
      <c r="E202" s="1">
        <v>43987</v>
      </c>
      <c r="F202" s="1">
        <v>44000</v>
      </c>
      <c r="G202" s="2">
        <v>0.33333333333333331</v>
      </c>
      <c r="H202" s="3">
        <v>1</v>
      </c>
      <c r="I202" t="s">
        <v>22</v>
      </c>
      <c r="J202" s="12" t="s">
        <v>23</v>
      </c>
      <c r="K202">
        <v>6</v>
      </c>
      <c r="L202">
        <v>0</v>
      </c>
      <c r="M202" t="s">
        <v>19</v>
      </c>
      <c r="N202" s="6">
        <v>110</v>
      </c>
      <c r="O202">
        <f>Table13[[#This Row],[Adults]]+Table13[[#This Row],[Children]]</f>
        <v>6</v>
      </c>
      <c r="P202">
        <f>_xlfn.DAYS(Table13[[#This Row],[Depart]],Table13[[#This Row],[Arrive]])</f>
        <v>1</v>
      </c>
    </row>
    <row r="203" spans="1:16" x14ac:dyDescent="0.25">
      <c r="A203" t="s">
        <v>238</v>
      </c>
      <c r="B203" t="s">
        <v>239</v>
      </c>
      <c r="C203" t="s">
        <v>2224</v>
      </c>
      <c r="D203" s="1">
        <v>43987</v>
      </c>
      <c r="E203" s="1">
        <v>43990</v>
      </c>
      <c r="F203" s="1">
        <v>43974</v>
      </c>
      <c r="G203" s="2">
        <v>0.33333333333333331</v>
      </c>
      <c r="H203" s="3">
        <v>1</v>
      </c>
      <c r="I203" t="s">
        <v>26</v>
      </c>
      <c r="J203" s="12" t="s">
        <v>18</v>
      </c>
      <c r="K203">
        <v>3</v>
      </c>
      <c r="L203">
        <v>0</v>
      </c>
      <c r="M203" t="s">
        <v>19</v>
      </c>
      <c r="N203" s="6">
        <v>319</v>
      </c>
      <c r="O203">
        <f>Table13[[#This Row],[Adults]]+Table13[[#This Row],[Children]]</f>
        <v>3</v>
      </c>
      <c r="P203">
        <f>_xlfn.DAYS(Table13[[#This Row],[Depart]],Table13[[#This Row],[Arrive]])</f>
        <v>3</v>
      </c>
    </row>
    <row r="204" spans="1:16" x14ac:dyDescent="0.25">
      <c r="A204" t="s">
        <v>242</v>
      </c>
      <c r="B204" t="s">
        <v>243</v>
      </c>
      <c r="C204" t="s">
        <v>2226</v>
      </c>
      <c r="D204" s="1">
        <v>43987</v>
      </c>
      <c r="E204" s="1">
        <v>43989</v>
      </c>
      <c r="F204" s="1">
        <v>43977</v>
      </c>
      <c r="G204" s="2">
        <v>0.33333333333333331</v>
      </c>
      <c r="H204" s="3">
        <v>1</v>
      </c>
      <c r="I204" t="s">
        <v>22</v>
      </c>
      <c r="J204" s="12" t="s">
        <v>23</v>
      </c>
      <c r="K204">
        <v>3</v>
      </c>
      <c r="L204">
        <v>0</v>
      </c>
      <c r="M204" t="s">
        <v>19</v>
      </c>
      <c r="N204" s="6">
        <v>220</v>
      </c>
      <c r="O204">
        <f>Table13[[#This Row],[Adults]]+Table13[[#This Row],[Children]]</f>
        <v>3</v>
      </c>
      <c r="P204">
        <f>_xlfn.DAYS(Table13[[#This Row],[Depart]],Table13[[#This Row],[Arrive]])</f>
        <v>2</v>
      </c>
    </row>
    <row r="205" spans="1:16" x14ac:dyDescent="0.25">
      <c r="A205" t="s">
        <v>288</v>
      </c>
      <c r="B205" t="s">
        <v>289</v>
      </c>
      <c r="C205" t="s">
        <v>2224</v>
      </c>
      <c r="D205" s="1">
        <v>43987</v>
      </c>
      <c r="E205" s="1">
        <v>43988</v>
      </c>
      <c r="F205" s="1">
        <v>43986</v>
      </c>
      <c r="G205" s="2">
        <v>0.33333333333333331</v>
      </c>
      <c r="H205" s="3">
        <v>1</v>
      </c>
      <c r="I205" t="s">
        <v>26</v>
      </c>
      <c r="J205" s="12" t="s">
        <v>18</v>
      </c>
      <c r="K205">
        <v>1</v>
      </c>
      <c r="L205">
        <v>0</v>
      </c>
      <c r="M205" t="s">
        <v>19</v>
      </c>
      <c r="N205" s="6">
        <v>107</v>
      </c>
      <c r="O205">
        <f>Table13[[#This Row],[Adults]]+Table13[[#This Row],[Children]]</f>
        <v>1</v>
      </c>
      <c r="P205">
        <f>_xlfn.DAYS(Table13[[#This Row],[Depart]],Table13[[#This Row],[Arrive]])</f>
        <v>1</v>
      </c>
    </row>
    <row r="206" spans="1:16" x14ac:dyDescent="0.25">
      <c r="A206" t="s">
        <v>691</v>
      </c>
      <c r="B206" t="s">
        <v>692</v>
      </c>
      <c r="C206" t="s">
        <v>2224</v>
      </c>
      <c r="D206" s="1">
        <v>43987</v>
      </c>
      <c r="E206" s="1">
        <v>43995</v>
      </c>
      <c r="F206" s="1">
        <v>43875</v>
      </c>
      <c r="G206" s="2">
        <v>0.33333333333333331</v>
      </c>
      <c r="H206" s="3">
        <v>1</v>
      </c>
      <c r="I206" t="s">
        <v>26</v>
      </c>
      <c r="J206" s="12" t="s">
        <v>18</v>
      </c>
      <c r="K206">
        <v>6</v>
      </c>
      <c r="L206">
        <v>0</v>
      </c>
      <c r="M206" t="s">
        <v>19</v>
      </c>
      <c r="N206" s="6">
        <v>848</v>
      </c>
      <c r="O206">
        <f>Table13[[#This Row],[Adults]]+Table13[[#This Row],[Children]]</f>
        <v>6</v>
      </c>
      <c r="P206">
        <f>_xlfn.DAYS(Table13[[#This Row],[Depart]],Table13[[#This Row],[Arrive]])</f>
        <v>8</v>
      </c>
    </row>
    <row r="207" spans="1:16" x14ac:dyDescent="0.25">
      <c r="A207" t="s">
        <v>240</v>
      </c>
      <c r="B207" t="s">
        <v>241</v>
      </c>
      <c r="C207" t="s">
        <v>2224</v>
      </c>
      <c r="D207" s="1">
        <v>43988</v>
      </c>
      <c r="E207" s="1">
        <v>43989</v>
      </c>
      <c r="F207" s="1">
        <v>43977</v>
      </c>
      <c r="G207" s="2">
        <v>0.33333333333333331</v>
      </c>
      <c r="H207" s="3">
        <v>1</v>
      </c>
      <c r="I207" t="s">
        <v>22</v>
      </c>
      <c r="J207" s="12" t="s">
        <v>23</v>
      </c>
      <c r="K207">
        <v>2</v>
      </c>
      <c r="L207">
        <v>0</v>
      </c>
      <c r="M207" t="s">
        <v>19</v>
      </c>
      <c r="N207" s="6">
        <v>110</v>
      </c>
      <c r="O207">
        <f>Table13[[#This Row],[Adults]]+Table13[[#This Row],[Children]]</f>
        <v>2</v>
      </c>
      <c r="P207">
        <f>_xlfn.DAYS(Table13[[#This Row],[Depart]],Table13[[#This Row],[Arrive]])</f>
        <v>1</v>
      </c>
    </row>
    <row r="208" spans="1:16" x14ac:dyDescent="0.25">
      <c r="A208" t="s">
        <v>240</v>
      </c>
      <c r="B208" t="s">
        <v>241</v>
      </c>
      <c r="C208" t="s">
        <v>2226</v>
      </c>
      <c r="D208" s="1">
        <v>43988</v>
      </c>
      <c r="E208" s="1">
        <v>43989</v>
      </c>
      <c r="F208" s="1">
        <v>43977</v>
      </c>
      <c r="G208" s="2">
        <v>0.33333333333333331</v>
      </c>
      <c r="H208" s="3">
        <v>1</v>
      </c>
      <c r="I208" t="s">
        <v>22</v>
      </c>
      <c r="J208" s="12" t="s">
        <v>18</v>
      </c>
      <c r="K208">
        <v>5</v>
      </c>
      <c r="L208">
        <v>0</v>
      </c>
      <c r="M208" t="s">
        <v>19</v>
      </c>
      <c r="N208" s="6">
        <v>110</v>
      </c>
      <c r="O208">
        <f>Table13[[#This Row],[Adults]]+Table13[[#This Row],[Children]]</f>
        <v>5</v>
      </c>
      <c r="P208">
        <f>_xlfn.DAYS(Table13[[#This Row],[Depart]],Table13[[#This Row],[Arrive]])</f>
        <v>1</v>
      </c>
    </row>
    <row r="209" spans="1:16" x14ac:dyDescent="0.25">
      <c r="A209" t="s">
        <v>232</v>
      </c>
      <c r="B209" t="s">
        <v>233</v>
      </c>
      <c r="C209" t="s">
        <v>2226</v>
      </c>
      <c r="D209" s="1">
        <v>43989</v>
      </c>
      <c r="E209" s="1">
        <v>43991</v>
      </c>
      <c r="F209" s="1">
        <v>43966</v>
      </c>
      <c r="G209" s="2">
        <v>0.33333333333333331</v>
      </c>
      <c r="H209" s="3">
        <v>1</v>
      </c>
      <c r="I209" t="s">
        <v>22</v>
      </c>
      <c r="J209" s="12" t="s">
        <v>23</v>
      </c>
      <c r="K209">
        <v>5</v>
      </c>
      <c r="L209">
        <v>0</v>
      </c>
      <c r="M209" t="s">
        <v>19</v>
      </c>
      <c r="N209" s="6">
        <v>220</v>
      </c>
      <c r="O209">
        <f>Table13[[#This Row],[Adults]]+Table13[[#This Row],[Children]]</f>
        <v>5</v>
      </c>
      <c r="P209">
        <f>_xlfn.DAYS(Table13[[#This Row],[Depart]],Table13[[#This Row],[Arrive]])</f>
        <v>2</v>
      </c>
    </row>
    <row r="210" spans="1:16" x14ac:dyDescent="0.25">
      <c r="A210" t="s">
        <v>306</v>
      </c>
      <c r="B210" t="s">
        <v>307</v>
      </c>
      <c r="C210" t="s">
        <v>2225</v>
      </c>
      <c r="D210" s="1">
        <v>43989</v>
      </c>
      <c r="E210" s="1">
        <v>43991</v>
      </c>
      <c r="F210" s="1">
        <v>43990</v>
      </c>
      <c r="G210" s="2">
        <v>0.33333333333333331</v>
      </c>
      <c r="H210" s="3">
        <v>1</v>
      </c>
      <c r="I210" t="s">
        <v>22</v>
      </c>
      <c r="J210" s="12" t="s">
        <v>23</v>
      </c>
      <c r="K210">
        <v>6</v>
      </c>
      <c r="L210">
        <v>0</v>
      </c>
      <c r="M210" t="s">
        <v>19</v>
      </c>
      <c r="N210" s="6">
        <v>220</v>
      </c>
      <c r="O210">
        <f>Table13[[#This Row],[Adults]]+Table13[[#This Row],[Children]]</f>
        <v>6</v>
      </c>
      <c r="P210">
        <f>_xlfn.DAYS(Table13[[#This Row],[Depart]],Table13[[#This Row],[Arrive]])</f>
        <v>2</v>
      </c>
    </row>
    <row r="211" spans="1:16" x14ac:dyDescent="0.25">
      <c r="A211" t="s">
        <v>204</v>
      </c>
      <c r="B211" t="s">
        <v>205</v>
      </c>
      <c r="C211" t="s">
        <v>2227</v>
      </c>
      <c r="D211" s="1">
        <v>43990</v>
      </c>
      <c r="E211" s="1">
        <v>43993</v>
      </c>
      <c r="F211" s="1">
        <v>43964</v>
      </c>
      <c r="G211" s="2">
        <v>0.58333333333333337</v>
      </c>
      <c r="H211" s="2">
        <v>0.45833333333333331</v>
      </c>
      <c r="I211" t="s">
        <v>22</v>
      </c>
      <c r="J211" s="12" t="s">
        <v>18</v>
      </c>
      <c r="K211">
        <v>2</v>
      </c>
      <c r="L211">
        <v>0</v>
      </c>
      <c r="M211" t="s">
        <v>19</v>
      </c>
      <c r="N211" s="6">
        <v>450</v>
      </c>
      <c r="O211">
        <f>Table13[[#This Row],[Adults]]+Table13[[#This Row],[Children]]</f>
        <v>2</v>
      </c>
      <c r="P211">
        <f>_xlfn.DAYS(Table13[[#This Row],[Depart]],Table13[[#This Row],[Arrive]])</f>
        <v>3</v>
      </c>
    </row>
    <row r="212" spans="1:16" x14ac:dyDescent="0.25">
      <c r="A212" t="s">
        <v>300</v>
      </c>
      <c r="B212" t="s">
        <v>301</v>
      </c>
      <c r="C212" t="s">
        <v>2224</v>
      </c>
      <c r="D212" s="1">
        <v>43990</v>
      </c>
      <c r="E212" s="1">
        <v>43991</v>
      </c>
      <c r="F212" s="1">
        <v>43989</v>
      </c>
      <c r="G212" s="2">
        <v>0.33333333333333331</v>
      </c>
      <c r="H212" s="3">
        <v>1</v>
      </c>
      <c r="I212" t="s">
        <v>22</v>
      </c>
      <c r="J212" s="12" t="s">
        <v>23</v>
      </c>
      <c r="K212">
        <v>3</v>
      </c>
      <c r="L212">
        <v>0</v>
      </c>
      <c r="M212" t="s">
        <v>19</v>
      </c>
      <c r="N212" s="6">
        <v>110</v>
      </c>
      <c r="O212">
        <f>Table13[[#This Row],[Adults]]+Table13[[#This Row],[Children]]</f>
        <v>3</v>
      </c>
      <c r="P212">
        <f>_xlfn.DAYS(Table13[[#This Row],[Depart]],Table13[[#This Row],[Arrive]])</f>
        <v>1</v>
      </c>
    </row>
    <row r="213" spans="1:16" x14ac:dyDescent="0.25">
      <c r="A213" t="s">
        <v>214</v>
      </c>
      <c r="B213" t="s">
        <v>215</v>
      </c>
      <c r="C213" t="s">
        <v>2224</v>
      </c>
      <c r="D213" s="1">
        <v>43991</v>
      </c>
      <c r="E213" s="1">
        <v>43993</v>
      </c>
      <c r="F213" s="1">
        <v>43959</v>
      </c>
      <c r="G213" s="2">
        <v>0.33333333333333331</v>
      </c>
      <c r="H213" s="3">
        <v>1</v>
      </c>
      <c r="I213" t="s">
        <v>22</v>
      </c>
      <c r="J213" s="12" t="s">
        <v>23</v>
      </c>
      <c r="K213">
        <v>5</v>
      </c>
      <c r="L213">
        <v>0</v>
      </c>
      <c r="M213" t="s">
        <v>19</v>
      </c>
      <c r="N213" s="6">
        <v>220</v>
      </c>
      <c r="O213">
        <f>Table13[[#This Row],[Adults]]+Table13[[#This Row],[Children]]</f>
        <v>5</v>
      </c>
      <c r="P213">
        <f>_xlfn.DAYS(Table13[[#This Row],[Depart]],Table13[[#This Row],[Arrive]])</f>
        <v>2</v>
      </c>
    </row>
    <row r="214" spans="1:16" x14ac:dyDescent="0.25">
      <c r="A214" t="s">
        <v>268</v>
      </c>
      <c r="B214" t="s">
        <v>269</v>
      </c>
      <c r="C214" t="s">
        <v>2226</v>
      </c>
      <c r="D214" s="1">
        <v>43991</v>
      </c>
      <c r="E214" s="1">
        <v>43992</v>
      </c>
      <c r="F214" s="1">
        <v>43986</v>
      </c>
      <c r="G214" s="2">
        <v>0.33333333333333331</v>
      </c>
      <c r="H214" s="3">
        <v>1</v>
      </c>
      <c r="I214" t="s">
        <v>22</v>
      </c>
      <c r="J214" s="12" t="s">
        <v>23</v>
      </c>
      <c r="K214">
        <v>14</v>
      </c>
      <c r="L214">
        <v>0</v>
      </c>
      <c r="M214" t="s">
        <v>19</v>
      </c>
      <c r="N214" s="6">
        <v>110</v>
      </c>
      <c r="O214">
        <f>Table13[[#This Row],[Adults]]+Table13[[#This Row],[Children]]</f>
        <v>14</v>
      </c>
      <c r="P214">
        <f>_xlfn.DAYS(Table13[[#This Row],[Depart]],Table13[[#This Row],[Arrive]])</f>
        <v>1</v>
      </c>
    </row>
    <row r="215" spans="1:16" x14ac:dyDescent="0.25">
      <c r="A215" t="s">
        <v>90</v>
      </c>
      <c r="B215" t="s">
        <v>91</v>
      </c>
      <c r="C215" t="s">
        <v>2225</v>
      </c>
      <c r="D215" s="1">
        <v>43991</v>
      </c>
      <c r="E215" s="1">
        <v>43997</v>
      </c>
      <c r="F215" s="1">
        <v>43990</v>
      </c>
      <c r="G215" s="2">
        <v>0.33333333333333331</v>
      </c>
      <c r="H215" s="3">
        <v>1</v>
      </c>
      <c r="I215" t="s">
        <v>22</v>
      </c>
      <c r="J215" s="12" t="s">
        <v>23</v>
      </c>
      <c r="K215">
        <v>2</v>
      </c>
      <c r="L215">
        <v>0</v>
      </c>
      <c r="M215" t="s">
        <v>19</v>
      </c>
      <c r="N215" s="6">
        <v>770</v>
      </c>
      <c r="O215">
        <f>Table13[[#This Row],[Adults]]+Table13[[#This Row],[Children]]</f>
        <v>2</v>
      </c>
      <c r="P215">
        <f>_xlfn.DAYS(Table13[[#This Row],[Depart]],Table13[[#This Row],[Arrive]])</f>
        <v>6</v>
      </c>
    </row>
    <row r="216" spans="1:16" x14ac:dyDescent="0.25">
      <c r="A216" t="s">
        <v>270</v>
      </c>
      <c r="B216" t="s">
        <v>271</v>
      </c>
      <c r="C216" t="s">
        <v>2226</v>
      </c>
      <c r="D216" s="1">
        <v>43992</v>
      </c>
      <c r="E216" s="1">
        <v>43993</v>
      </c>
      <c r="F216" s="1">
        <v>43980</v>
      </c>
      <c r="G216" s="2">
        <v>0.33333333333333331</v>
      </c>
      <c r="H216" s="3">
        <v>1</v>
      </c>
      <c r="I216" t="s">
        <v>22</v>
      </c>
      <c r="J216" s="12" t="s">
        <v>18</v>
      </c>
      <c r="K216">
        <v>5</v>
      </c>
      <c r="L216">
        <v>0</v>
      </c>
      <c r="M216" t="s">
        <v>19</v>
      </c>
      <c r="N216" s="6">
        <v>110</v>
      </c>
      <c r="O216">
        <f>Table13[[#This Row],[Adults]]+Table13[[#This Row],[Children]]</f>
        <v>5</v>
      </c>
      <c r="P216">
        <f>_xlfn.DAYS(Table13[[#This Row],[Depart]],Table13[[#This Row],[Arrive]])</f>
        <v>1</v>
      </c>
    </row>
    <row r="217" spans="1:16" x14ac:dyDescent="0.25">
      <c r="A217" t="s">
        <v>302</v>
      </c>
      <c r="B217" t="s">
        <v>303</v>
      </c>
      <c r="C217" t="s">
        <v>2226</v>
      </c>
      <c r="D217" s="1">
        <v>43992</v>
      </c>
      <c r="E217" s="1">
        <v>43999</v>
      </c>
      <c r="F217" s="1">
        <v>43986</v>
      </c>
      <c r="G217" s="2">
        <v>0.33333333333333331</v>
      </c>
      <c r="H217" s="3">
        <v>1</v>
      </c>
      <c r="I217" t="s">
        <v>22</v>
      </c>
      <c r="J217" s="12" t="s">
        <v>23</v>
      </c>
      <c r="K217">
        <v>5</v>
      </c>
      <c r="L217">
        <v>0</v>
      </c>
      <c r="M217" t="s">
        <v>19</v>
      </c>
      <c r="N217" s="6">
        <v>770</v>
      </c>
      <c r="O217">
        <f>Table13[[#This Row],[Adults]]+Table13[[#This Row],[Children]]</f>
        <v>5</v>
      </c>
      <c r="P217">
        <f>_xlfn.DAYS(Table13[[#This Row],[Depart]],Table13[[#This Row],[Arrive]])</f>
        <v>7</v>
      </c>
    </row>
    <row r="218" spans="1:16" x14ac:dyDescent="0.25">
      <c r="A218" t="s">
        <v>256</v>
      </c>
      <c r="B218" t="s">
        <v>257</v>
      </c>
      <c r="C218" t="s">
        <v>2224</v>
      </c>
      <c r="D218" s="1">
        <v>43993</v>
      </c>
      <c r="E218" s="1">
        <v>43996</v>
      </c>
      <c r="F218" s="1">
        <v>43983</v>
      </c>
      <c r="G218" s="2">
        <v>0.33333333333333331</v>
      </c>
      <c r="H218" s="3">
        <v>1</v>
      </c>
      <c r="I218" t="s">
        <v>26</v>
      </c>
      <c r="J218" s="12" t="s">
        <v>18</v>
      </c>
      <c r="K218">
        <v>1</v>
      </c>
      <c r="L218">
        <v>0</v>
      </c>
      <c r="M218" t="s">
        <v>19</v>
      </c>
      <c r="N218" s="6">
        <v>319</v>
      </c>
      <c r="O218">
        <f>Table13[[#This Row],[Adults]]+Table13[[#This Row],[Children]]</f>
        <v>1</v>
      </c>
      <c r="P218">
        <f>_xlfn.DAYS(Table13[[#This Row],[Depart]],Table13[[#This Row],[Arrive]])</f>
        <v>3</v>
      </c>
    </row>
    <row r="219" spans="1:16" x14ac:dyDescent="0.25">
      <c r="A219" t="s">
        <v>258</v>
      </c>
      <c r="B219" t="s">
        <v>259</v>
      </c>
      <c r="C219" t="s">
        <v>2224</v>
      </c>
      <c r="D219" s="1">
        <v>43993</v>
      </c>
      <c r="E219" s="1">
        <v>43995</v>
      </c>
      <c r="F219" s="1">
        <v>43984</v>
      </c>
      <c r="G219" s="2">
        <v>0.33333333333333331</v>
      </c>
      <c r="H219" s="3">
        <v>1</v>
      </c>
      <c r="I219" t="s">
        <v>22</v>
      </c>
      <c r="J219" s="12" t="s">
        <v>23</v>
      </c>
      <c r="K219">
        <v>4</v>
      </c>
      <c r="L219">
        <v>0</v>
      </c>
      <c r="M219" t="s">
        <v>19</v>
      </c>
      <c r="N219" s="6">
        <v>220</v>
      </c>
      <c r="O219">
        <f>Table13[[#This Row],[Adults]]+Table13[[#This Row],[Children]]</f>
        <v>4</v>
      </c>
      <c r="P219">
        <f>_xlfn.DAYS(Table13[[#This Row],[Depart]],Table13[[#This Row],[Arrive]])</f>
        <v>2</v>
      </c>
    </row>
    <row r="220" spans="1:16" x14ac:dyDescent="0.25">
      <c r="A220" t="s">
        <v>110</v>
      </c>
      <c r="B220" t="s">
        <v>111</v>
      </c>
      <c r="C220" t="s">
        <v>2226</v>
      </c>
      <c r="D220" s="1">
        <v>43993</v>
      </c>
      <c r="E220" s="1">
        <v>44002</v>
      </c>
      <c r="F220" s="1">
        <v>43985</v>
      </c>
      <c r="G220" s="2">
        <v>0.33333333333333331</v>
      </c>
      <c r="H220" s="3">
        <v>1</v>
      </c>
      <c r="I220" t="s">
        <v>22</v>
      </c>
      <c r="J220" s="12" t="s">
        <v>18</v>
      </c>
      <c r="K220">
        <v>1</v>
      </c>
      <c r="L220">
        <v>0</v>
      </c>
      <c r="M220" t="s">
        <v>19</v>
      </c>
      <c r="N220" s="6">
        <v>990</v>
      </c>
      <c r="O220">
        <f>Table13[[#This Row],[Adults]]+Table13[[#This Row],[Children]]</f>
        <v>1</v>
      </c>
      <c r="P220">
        <f>_xlfn.DAYS(Table13[[#This Row],[Depart]],Table13[[#This Row],[Arrive]])</f>
        <v>9</v>
      </c>
    </row>
    <row r="221" spans="1:16" x14ac:dyDescent="0.25">
      <c r="A221" t="s">
        <v>248</v>
      </c>
      <c r="B221" t="s">
        <v>249</v>
      </c>
      <c r="C221" t="s">
        <v>2224</v>
      </c>
      <c r="D221" s="1">
        <v>43994</v>
      </c>
      <c r="E221" s="1">
        <v>43995</v>
      </c>
      <c r="F221" s="1">
        <v>43981</v>
      </c>
      <c r="G221" s="2">
        <v>0.33333333333333331</v>
      </c>
      <c r="H221" s="3">
        <v>1</v>
      </c>
      <c r="I221" t="s">
        <v>26</v>
      </c>
      <c r="J221" s="12" t="s">
        <v>18</v>
      </c>
      <c r="K221">
        <v>3</v>
      </c>
      <c r="L221">
        <v>0</v>
      </c>
      <c r="M221" t="s">
        <v>19</v>
      </c>
      <c r="N221" s="6">
        <v>107</v>
      </c>
      <c r="O221">
        <f>Table13[[#This Row],[Adults]]+Table13[[#This Row],[Children]]</f>
        <v>3</v>
      </c>
      <c r="P221">
        <f>_xlfn.DAYS(Table13[[#This Row],[Depart]],Table13[[#This Row],[Arrive]])</f>
        <v>1</v>
      </c>
    </row>
    <row r="222" spans="1:16" x14ac:dyDescent="0.25">
      <c r="A222" t="s">
        <v>248</v>
      </c>
      <c r="B222" t="s">
        <v>249</v>
      </c>
      <c r="C222" t="s">
        <v>2226</v>
      </c>
      <c r="D222" s="1">
        <v>43994</v>
      </c>
      <c r="E222" s="1">
        <v>43997</v>
      </c>
      <c r="F222" s="1">
        <v>43982</v>
      </c>
      <c r="G222" s="2">
        <v>0.33333333333333331</v>
      </c>
      <c r="H222" s="3">
        <v>1</v>
      </c>
      <c r="I222" t="s">
        <v>26</v>
      </c>
      <c r="J222" s="12" t="s">
        <v>18</v>
      </c>
      <c r="K222">
        <v>3</v>
      </c>
      <c r="L222">
        <v>0</v>
      </c>
      <c r="M222" t="s">
        <v>19</v>
      </c>
      <c r="N222" s="6">
        <v>319</v>
      </c>
      <c r="O222">
        <f>Table13[[#This Row],[Adults]]+Table13[[#This Row],[Children]]</f>
        <v>3</v>
      </c>
      <c r="P222">
        <f>_xlfn.DAYS(Table13[[#This Row],[Depart]],Table13[[#This Row],[Arrive]])</f>
        <v>3</v>
      </c>
    </row>
    <row r="223" spans="1:16" x14ac:dyDescent="0.25">
      <c r="A223" t="s">
        <v>262</v>
      </c>
      <c r="B223" t="s">
        <v>263</v>
      </c>
      <c r="C223" t="s">
        <v>2224</v>
      </c>
      <c r="D223" s="1">
        <v>43995</v>
      </c>
      <c r="E223" s="1">
        <v>43998</v>
      </c>
      <c r="F223" s="1">
        <v>43986</v>
      </c>
      <c r="G223" s="2">
        <v>0.33333333333333331</v>
      </c>
      <c r="H223" s="3">
        <v>1</v>
      </c>
      <c r="I223" t="s">
        <v>26</v>
      </c>
      <c r="J223" s="12" t="s">
        <v>18</v>
      </c>
      <c r="K223">
        <v>1</v>
      </c>
      <c r="L223">
        <v>0</v>
      </c>
      <c r="M223" t="s">
        <v>19</v>
      </c>
      <c r="N223" s="6">
        <v>319</v>
      </c>
      <c r="O223">
        <f>Table13[[#This Row],[Adults]]+Table13[[#This Row],[Children]]</f>
        <v>1</v>
      </c>
      <c r="P223">
        <f>_xlfn.DAYS(Table13[[#This Row],[Depart]],Table13[[#This Row],[Arrive]])</f>
        <v>3</v>
      </c>
    </row>
    <row r="224" spans="1:16" x14ac:dyDescent="0.25">
      <c r="A224" t="s">
        <v>264</v>
      </c>
      <c r="B224" t="s">
        <v>265</v>
      </c>
      <c r="C224" t="s">
        <v>2224</v>
      </c>
      <c r="D224" s="1">
        <v>43995</v>
      </c>
      <c r="E224" s="1">
        <v>43997</v>
      </c>
      <c r="F224" s="1">
        <v>43986</v>
      </c>
      <c r="G224" s="2">
        <v>0.33333333333333331</v>
      </c>
      <c r="H224" s="3">
        <v>1</v>
      </c>
      <c r="I224" t="s">
        <v>26</v>
      </c>
      <c r="J224" s="12" t="s">
        <v>18</v>
      </c>
      <c r="K224">
        <v>1</v>
      </c>
      <c r="L224">
        <v>0</v>
      </c>
      <c r="M224" t="s">
        <v>19</v>
      </c>
      <c r="N224" s="6">
        <v>213</v>
      </c>
      <c r="O224">
        <f>Table13[[#This Row],[Adults]]+Table13[[#This Row],[Children]]</f>
        <v>1</v>
      </c>
      <c r="P224">
        <f>_xlfn.DAYS(Table13[[#This Row],[Depart]],Table13[[#This Row],[Arrive]])</f>
        <v>2</v>
      </c>
    </row>
    <row r="225" spans="1:16" x14ac:dyDescent="0.25">
      <c r="A225" t="s">
        <v>210</v>
      </c>
      <c r="B225" t="s">
        <v>211</v>
      </c>
      <c r="C225" t="s">
        <v>2223</v>
      </c>
      <c r="D225" s="1">
        <v>43997</v>
      </c>
      <c r="E225" s="1">
        <v>44011</v>
      </c>
      <c r="F225" s="1">
        <v>43915</v>
      </c>
      <c r="G225" s="2">
        <v>0.33333333333333331</v>
      </c>
      <c r="H225" s="3">
        <v>1</v>
      </c>
      <c r="I225" t="s">
        <v>17</v>
      </c>
      <c r="J225" s="12" t="s">
        <v>18</v>
      </c>
      <c r="K225">
        <v>2</v>
      </c>
      <c r="L225">
        <v>0</v>
      </c>
      <c r="M225" t="s">
        <v>19</v>
      </c>
      <c r="N225" s="6">
        <v>1789.2</v>
      </c>
      <c r="O225">
        <f>Table13[[#This Row],[Adults]]+Table13[[#This Row],[Children]]</f>
        <v>2</v>
      </c>
      <c r="P225">
        <f>_xlfn.DAYS(Table13[[#This Row],[Depart]],Table13[[#This Row],[Arrive]])</f>
        <v>14</v>
      </c>
    </row>
    <row r="226" spans="1:16" x14ac:dyDescent="0.25">
      <c r="A226" t="s">
        <v>252</v>
      </c>
      <c r="B226" t="s">
        <v>253</v>
      </c>
      <c r="C226" t="s">
        <v>2224</v>
      </c>
      <c r="D226" s="1">
        <v>43997</v>
      </c>
      <c r="E226" s="1">
        <v>44002</v>
      </c>
      <c r="F226" s="1">
        <v>43986</v>
      </c>
      <c r="G226" s="2">
        <v>0.33333333333333331</v>
      </c>
      <c r="H226" s="3">
        <v>1</v>
      </c>
      <c r="I226" t="s">
        <v>22</v>
      </c>
      <c r="J226" s="12" t="s">
        <v>23</v>
      </c>
      <c r="K226">
        <v>4</v>
      </c>
      <c r="L226">
        <v>0</v>
      </c>
      <c r="M226" t="s">
        <v>19</v>
      </c>
      <c r="N226" s="6">
        <v>550</v>
      </c>
      <c r="O226">
        <f>Table13[[#This Row],[Adults]]+Table13[[#This Row],[Children]]</f>
        <v>4</v>
      </c>
      <c r="P226">
        <f>_xlfn.DAYS(Table13[[#This Row],[Depart]],Table13[[#This Row],[Arrive]])</f>
        <v>5</v>
      </c>
    </row>
    <row r="227" spans="1:16" x14ac:dyDescent="0.25">
      <c r="A227" t="s">
        <v>332</v>
      </c>
      <c r="B227" t="s">
        <v>333</v>
      </c>
      <c r="C227" t="s">
        <v>2225</v>
      </c>
      <c r="D227" s="1">
        <v>43997</v>
      </c>
      <c r="E227" s="1">
        <v>44002</v>
      </c>
      <c r="F227" s="1">
        <v>43990</v>
      </c>
      <c r="G227" s="2">
        <v>0.33333333333333331</v>
      </c>
      <c r="H227" s="3">
        <v>1</v>
      </c>
      <c r="I227" t="s">
        <v>22</v>
      </c>
      <c r="J227" s="12" t="s">
        <v>23</v>
      </c>
      <c r="K227">
        <v>5</v>
      </c>
      <c r="L227">
        <v>0</v>
      </c>
      <c r="M227" t="s">
        <v>19</v>
      </c>
      <c r="N227" s="6">
        <v>550</v>
      </c>
      <c r="O227">
        <f>Table13[[#This Row],[Adults]]+Table13[[#This Row],[Children]]</f>
        <v>5</v>
      </c>
      <c r="P227">
        <f>_xlfn.DAYS(Table13[[#This Row],[Depart]],Table13[[#This Row],[Arrive]])</f>
        <v>5</v>
      </c>
    </row>
    <row r="228" spans="1:16" x14ac:dyDescent="0.25">
      <c r="A228" t="s">
        <v>332</v>
      </c>
      <c r="B228" t="s">
        <v>333</v>
      </c>
      <c r="C228" t="s">
        <v>2226</v>
      </c>
      <c r="D228" s="1">
        <v>43999</v>
      </c>
      <c r="E228" s="1">
        <v>44000</v>
      </c>
      <c r="F228" s="1">
        <v>43990</v>
      </c>
      <c r="G228" s="2">
        <v>0.33333333333333331</v>
      </c>
      <c r="H228" s="3">
        <v>1</v>
      </c>
      <c r="I228" t="s">
        <v>22</v>
      </c>
      <c r="J228" s="12" t="s">
        <v>18</v>
      </c>
      <c r="K228">
        <v>3</v>
      </c>
      <c r="L228">
        <v>0</v>
      </c>
      <c r="M228" t="s">
        <v>19</v>
      </c>
      <c r="N228" s="6">
        <v>110</v>
      </c>
      <c r="O228">
        <f>Table13[[#This Row],[Adults]]+Table13[[#This Row],[Children]]</f>
        <v>3</v>
      </c>
      <c r="P228">
        <f>_xlfn.DAYS(Table13[[#This Row],[Depart]],Table13[[#This Row],[Arrive]])</f>
        <v>1</v>
      </c>
    </row>
    <row r="229" spans="1:16" x14ac:dyDescent="0.25">
      <c r="A229" t="s">
        <v>290</v>
      </c>
      <c r="B229" t="s">
        <v>291</v>
      </c>
      <c r="C229" t="s">
        <v>2226</v>
      </c>
      <c r="D229" s="1">
        <v>44000</v>
      </c>
      <c r="E229" s="1">
        <v>44002</v>
      </c>
      <c r="F229" s="1">
        <v>43986</v>
      </c>
      <c r="G229" s="2">
        <v>0.33333333333333331</v>
      </c>
      <c r="H229" s="3">
        <v>1</v>
      </c>
      <c r="I229" t="s">
        <v>26</v>
      </c>
      <c r="J229" s="12" t="s">
        <v>18</v>
      </c>
      <c r="K229">
        <v>6</v>
      </c>
      <c r="L229">
        <v>0</v>
      </c>
      <c r="M229" t="s">
        <v>19</v>
      </c>
      <c r="N229" s="6">
        <v>213</v>
      </c>
      <c r="O229">
        <f>Table13[[#This Row],[Adults]]+Table13[[#This Row],[Children]]</f>
        <v>6</v>
      </c>
      <c r="P229">
        <f>_xlfn.DAYS(Table13[[#This Row],[Depart]],Table13[[#This Row],[Arrive]])</f>
        <v>2</v>
      </c>
    </row>
    <row r="230" spans="1:16" x14ac:dyDescent="0.25">
      <c r="A230" t="s">
        <v>296</v>
      </c>
      <c r="B230" t="s">
        <v>297</v>
      </c>
      <c r="C230" t="s">
        <v>2226</v>
      </c>
      <c r="D230" s="1">
        <v>44000</v>
      </c>
      <c r="E230" s="1">
        <v>44002</v>
      </c>
      <c r="F230" s="1">
        <v>43988</v>
      </c>
      <c r="G230" s="2">
        <v>0.33333333333333331</v>
      </c>
      <c r="H230" s="3">
        <v>1</v>
      </c>
      <c r="I230" t="s">
        <v>22</v>
      </c>
      <c r="J230" s="12" t="s">
        <v>23</v>
      </c>
      <c r="K230">
        <v>7</v>
      </c>
      <c r="L230">
        <v>0</v>
      </c>
      <c r="M230" t="s">
        <v>19</v>
      </c>
      <c r="N230" s="6">
        <v>220</v>
      </c>
      <c r="O230">
        <f>Table13[[#This Row],[Adults]]+Table13[[#This Row],[Children]]</f>
        <v>7</v>
      </c>
      <c r="P230">
        <f>_xlfn.DAYS(Table13[[#This Row],[Depart]],Table13[[#This Row],[Arrive]])</f>
        <v>2</v>
      </c>
    </row>
    <row r="231" spans="1:16" x14ac:dyDescent="0.25">
      <c r="A231" t="s">
        <v>76</v>
      </c>
      <c r="B231" t="s">
        <v>77</v>
      </c>
      <c r="C231" t="s">
        <v>2226</v>
      </c>
      <c r="D231" s="1">
        <v>44001</v>
      </c>
      <c r="E231" s="1">
        <v>44011</v>
      </c>
      <c r="F231" s="1">
        <v>43846</v>
      </c>
      <c r="G231" s="2">
        <v>0.33333333333333331</v>
      </c>
      <c r="H231" s="3">
        <v>1</v>
      </c>
      <c r="I231" t="s">
        <v>17</v>
      </c>
      <c r="J231" s="12" t="s">
        <v>18</v>
      </c>
      <c r="K231">
        <v>4</v>
      </c>
      <c r="L231">
        <v>0</v>
      </c>
      <c r="M231" t="s">
        <v>19</v>
      </c>
      <c r="N231" s="6">
        <v>1044.9000000000001</v>
      </c>
      <c r="O231">
        <f>Table13[[#This Row],[Adults]]+Table13[[#This Row],[Children]]</f>
        <v>4</v>
      </c>
      <c r="P231">
        <f>_xlfn.DAYS(Table13[[#This Row],[Depart]],Table13[[#This Row],[Arrive]])</f>
        <v>10</v>
      </c>
    </row>
    <row r="232" spans="1:16" x14ac:dyDescent="0.25">
      <c r="A232" t="s">
        <v>76</v>
      </c>
      <c r="B232" t="s">
        <v>77</v>
      </c>
      <c r="C232" t="s">
        <v>2226</v>
      </c>
      <c r="D232" s="1">
        <v>44001</v>
      </c>
      <c r="E232" s="1">
        <v>44011</v>
      </c>
      <c r="F232" s="1">
        <v>43888</v>
      </c>
      <c r="G232" s="2">
        <v>0.33333333333333331</v>
      </c>
      <c r="H232" s="3">
        <v>1</v>
      </c>
      <c r="I232" t="s">
        <v>22</v>
      </c>
      <c r="J232" s="12" t="s">
        <v>18</v>
      </c>
      <c r="K232">
        <v>3</v>
      </c>
      <c r="L232">
        <v>0</v>
      </c>
      <c r="M232" t="s">
        <v>19</v>
      </c>
      <c r="N232" s="6">
        <v>810</v>
      </c>
      <c r="O232">
        <f>Table13[[#This Row],[Adults]]+Table13[[#This Row],[Children]]</f>
        <v>3</v>
      </c>
      <c r="P232">
        <f>_xlfn.DAYS(Table13[[#This Row],[Depart]],Table13[[#This Row],[Arrive]])</f>
        <v>10</v>
      </c>
    </row>
    <row r="233" spans="1:16" x14ac:dyDescent="0.25">
      <c r="A233" t="s">
        <v>298</v>
      </c>
      <c r="B233" t="s">
        <v>299</v>
      </c>
      <c r="C233" t="s">
        <v>2224</v>
      </c>
      <c r="D233" s="1">
        <v>44002</v>
      </c>
      <c r="E233" s="1">
        <v>44003</v>
      </c>
      <c r="F233" s="1">
        <v>43988</v>
      </c>
      <c r="G233" s="2">
        <v>0.33333333333333331</v>
      </c>
      <c r="H233" s="3">
        <v>1</v>
      </c>
      <c r="I233" t="s">
        <v>22</v>
      </c>
      <c r="J233" s="12" t="s">
        <v>23</v>
      </c>
      <c r="K233">
        <v>6</v>
      </c>
      <c r="L233">
        <v>0</v>
      </c>
      <c r="M233" t="s">
        <v>19</v>
      </c>
      <c r="N233" s="6">
        <v>110</v>
      </c>
      <c r="O233">
        <f>Table13[[#This Row],[Adults]]+Table13[[#This Row],[Children]]</f>
        <v>6</v>
      </c>
      <c r="P233">
        <f>_xlfn.DAYS(Table13[[#This Row],[Depart]],Table13[[#This Row],[Arrive]])</f>
        <v>1</v>
      </c>
    </row>
    <row r="234" spans="1:16" x14ac:dyDescent="0.25">
      <c r="A234" t="s">
        <v>320</v>
      </c>
      <c r="B234" t="s">
        <v>321</v>
      </c>
      <c r="C234" t="s">
        <v>2225</v>
      </c>
      <c r="D234" s="1">
        <v>44002</v>
      </c>
      <c r="E234" s="1">
        <v>44004</v>
      </c>
      <c r="F234" s="1">
        <v>43990</v>
      </c>
      <c r="G234" s="2">
        <v>0.33333333333333331</v>
      </c>
      <c r="H234" s="3">
        <v>1</v>
      </c>
      <c r="I234" t="s">
        <v>22</v>
      </c>
      <c r="J234" s="12" t="s">
        <v>23</v>
      </c>
      <c r="K234">
        <v>6</v>
      </c>
      <c r="L234">
        <v>0</v>
      </c>
      <c r="M234" t="s">
        <v>19</v>
      </c>
      <c r="N234" s="6">
        <v>220</v>
      </c>
      <c r="O234">
        <f>Table13[[#This Row],[Adults]]+Table13[[#This Row],[Children]]</f>
        <v>6</v>
      </c>
      <c r="P234">
        <f>_xlfn.DAYS(Table13[[#This Row],[Depart]],Table13[[#This Row],[Arrive]])</f>
        <v>2</v>
      </c>
    </row>
    <row r="235" spans="1:16" x14ac:dyDescent="0.25">
      <c r="A235" t="s">
        <v>346</v>
      </c>
      <c r="B235" t="s">
        <v>347</v>
      </c>
      <c r="C235" t="s">
        <v>2226</v>
      </c>
      <c r="D235" s="1">
        <v>44002</v>
      </c>
      <c r="E235" s="1">
        <v>44004</v>
      </c>
      <c r="F235" s="1">
        <v>43984</v>
      </c>
      <c r="G235" s="2">
        <v>0.33333333333333331</v>
      </c>
      <c r="H235" s="3">
        <v>1</v>
      </c>
      <c r="I235" t="s">
        <v>22</v>
      </c>
      <c r="J235" s="12" t="s">
        <v>23</v>
      </c>
      <c r="K235">
        <v>3</v>
      </c>
      <c r="L235">
        <v>0</v>
      </c>
      <c r="M235" t="s">
        <v>19</v>
      </c>
      <c r="N235" s="6">
        <v>220</v>
      </c>
      <c r="O235">
        <f>Table13[[#This Row],[Adults]]+Table13[[#This Row],[Children]]</f>
        <v>3</v>
      </c>
      <c r="P235">
        <f>_xlfn.DAYS(Table13[[#This Row],[Depart]],Table13[[#This Row],[Arrive]])</f>
        <v>2</v>
      </c>
    </row>
    <row r="236" spans="1:16" x14ac:dyDescent="0.25">
      <c r="A236" t="s">
        <v>292</v>
      </c>
      <c r="B236" t="s">
        <v>293</v>
      </c>
      <c r="C236" t="s">
        <v>2224</v>
      </c>
      <c r="D236" s="1">
        <v>44003</v>
      </c>
      <c r="E236" s="1">
        <v>44004</v>
      </c>
      <c r="F236" s="1">
        <v>43987</v>
      </c>
      <c r="G236" s="2">
        <v>0.33333333333333331</v>
      </c>
      <c r="H236" s="3">
        <v>1</v>
      </c>
      <c r="I236" t="s">
        <v>26</v>
      </c>
      <c r="J236" s="12" t="s">
        <v>18</v>
      </c>
      <c r="K236">
        <v>3</v>
      </c>
      <c r="L236">
        <v>0</v>
      </c>
      <c r="M236" t="s">
        <v>19</v>
      </c>
      <c r="N236" s="6">
        <v>107</v>
      </c>
      <c r="O236">
        <f>Table13[[#This Row],[Adults]]+Table13[[#This Row],[Children]]</f>
        <v>3</v>
      </c>
      <c r="P236">
        <f>_xlfn.DAYS(Table13[[#This Row],[Depart]],Table13[[#This Row],[Arrive]])</f>
        <v>1</v>
      </c>
    </row>
    <row r="237" spans="1:16" x14ac:dyDescent="0.25">
      <c r="A237" t="s">
        <v>318</v>
      </c>
      <c r="B237" t="s">
        <v>319</v>
      </c>
      <c r="C237" t="s">
        <v>2224</v>
      </c>
      <c r="D237" s="1">
        <v>44003</v>
      </c>
      <c r="E237" s="1">
        <v>44004</v>
      </c>
      <c r="F237" s="1">
        <v>43994</v>
      </c>
      <c r="G237" s="2">
        <v>0.33333333333333331</v>
      </c>
      <c r="H237" s="3">
        <v>1</v>
      </c>
      <c r="I237" t="s">
        <v>22</v>
      </c>
      <c r="J237" s="12" t="s">
        <v>23</v>
      </c>
      <c r="K237">
        <v>6</v>
      </c>
      <c r="L237">
        <v>0</v>
      </c>
      <c r="M237" t="s">
        <v>19</v>
      </c>
      <c r="N237" s="6">
        <v>110</v>
      </c>
      <c r="O237">
        <f>Table13[[#This Row],[Adults]]+Table13[[#This Row],[Children]]</f>
        <v>6</v>
      </c>
      <c r="P237">
        <f>_xlfn.DAYS(Table13[[#This Row],[Depart]],Table13[[#This Row],[Arrive]])</f>
        <v>1</v>
      </c>
    </row>
    <row r="238" spans="1:16" x14ac:dyDescent="0.25">
      <c r="A238" t="s">
        <v>318</v>
      </c>
      <c r="B238" t="s">
        <v>319</v>
      </c>
      <c r="C238" t="s">
        <v>2225</v>
      </c>
      <c r="D238" s="1">
        <v>44003</v>
      </c>
      <c r="E238" s="1">
        <v>44004</v>
      </c>
      <c r="F238" s="1">
        <v>43992</v>
      </c>
      <c r="G238" s="2">
        <v>0.33333333333333331</v>
      </c>
      <c r="H238" s="3">
        <v>1</v>
      </c>
      <c r="I238" t="s">
        <v>22</v>
      </c>
      <c r="J238" s="12" t="s">
        <v>18</v>
      </c>
      <c r="K238">
        <v>5</v>
      </c>
      <c r="L238">
        <v>0</v>
      </c>
      <c r="M238" t="s">
        <v>19</v>
      </c>
      <c r="N238" s="6">
        <v>110</v>
      </c>
      <c r="O238">
        <f>Table13[[#This Row],[Adults]]+Table13[[#This Row],[Children]]</f>
        <v>5</v>
      </c>
      <c r="P238">
        <f>_xlfn.DAYS(Table13[[#This Row],[Depart]],Table13[[#This Row],[Arrive]])</f>
        <v>1</v>
      </c>
    </row>
    <row r="239" spans="1:16" x14ac:dyDescent="0.25">
      <c r="A239" t="s">
        <v>364</v>
      </c>
      <c r="B239" t="s">
        <v>365</v>
      </c>
      <c r="C239" t="s">
        <v>2226</v>
      </c>
      <c r="D239" s="1">
        <v>44004</v>
      </c>
      <c r="E239" s="1">
        <v>44005</v>
      </c>
      <c r="F239" s="1">
        <v>44001</v>
      </c>
      <c r="G239" s="2">
        <v>0.33333333333333331</v>
      </c>
      <c r="H239" s="3">
        <v>1</v>
      </c>
      <c r="I239" t="s">
        <v>22</v>
      </c>
      <c r="J239" s="12" t="s">
        <v>23</v>
      </c>
      <c r="K239">
        <v>6</v>
      </c>
      <c r="L239">
        <v>0</v>
      </c>
      <c r="M239" t="s">
        <v>19</v>
      </c>
      <c r="N239" s="6">
        <v>110</v>
      </c>
      <c r="O239">
        <f>Table13[[#This Row],[Adults]]+Table13[[#This Row],[Children]]</f>
        <v>6</v>
      </c>
      <c r="P239">
        <f>_xlfn.DAYS(Table13[[#This Row],[Depart]],Table13[[#This Row],[Arrive]])</f>
        <v>1</v>
      </c>
    </row>
    <row r="240" spans="1:16" x14ac:dyDescent="0.25">
      <c r="A240" t="s">
        <v>368</v>
      </c>
      <c r="B240" t="s">
        <v>369</v>
      </c>
      <c r="C240" t="s">
        <v>2225</v>
      </c>
      <c r="D240" s="1">
        <v>44004</v>
      </c>
      <c r="E240" s="1">
        <v>44005</v>
      </c>
      <c r="F240" s="1">
        <v>43991</v>
      </c>
      <c r="G240" s="2">
        <v>0.33333333333333331</v>
      </c>
      <c r="H240" s="3">
        <v>1</v>
      </c>
      <c r="I240" t="s">
        <v>22</v>
      </c>
      <c r="J240" s="12" t="s">
        <v>18</v>
      </c>
      <c r="K240">
        <v>10</v>
      </c>
      <c r="L240">
        <v>0</v>
      </c>
      <c r="M240" t="s">
        <v>19</v>
      </c>
      <c r="N240" s="6">
        <v>330</v>
      </c>
      <c r="O240">
        <f>Table13[[#This Row],[Adults]]+Table13[[#This Row],[Children]]</f>
        <v>10</v>
      </c>
      <c r="P240">
        <f>_xlfn.DAYS(Table13[[#This Row],[Depart]],Table13[[#This Row],[Arrive]])</f>
        <v>1</v>
      </c>
    </row>
    <row r="241" spans="1:16" x14ac:dyDescent="0.25">
      <c r="A241" t="s">
        <v>370</v>
      </c>
      <c r="B241" t="s">
        <v>371</v>
      </c>
      <c r="C241" t="s">
        <v>2225</v>
      </c>
      <c r="D241" s="1">
        <v>44004</v>
      </c>
      <c r="E241" s="1">
        <v>44006</v>
      </c>
      <c r="F241" s="1">
        <v>44001</v>
      </c>
      <c r="G241" s="2">
        <v>0.33333333333333331</v>
      </c>
      <c r="H241" s="3">
        <v>1</v>
      </c>
      <c r="I241" t="s">
        <v>22</v>
      </c>
      <c r="J241" s="12" t="s">
        <v>23</v>
      </c>
      <c r="K241">
        <v>5</v>
      </c>
      <c r="L241">
        <v>0</v>
      </c>
      <c r="M241" t="s">
        <v>19</v>
      </c>
      <c r="N241" s="6">
        <v>220</v>
      </c>
      <c r="O241">
        <f>Table13[[#This Row],[Adults]]+Table13[[#This Row],[Children]]</f>
        <v>5</v>
      </c>
      <c r="P241">
        <f>_xlfn.DAYS(Table13[[#This Row],[Depart]],Table13[[#This Row],[Arrive]])</f>
        <v>2</v>
      </c>
    </row>
    <row r="242" spans="1:16" x14ac:dyDescent="0.25">
      <c r="A242" t="s">
        <v>370</v>
      </c>
      <c r="B242" t="s">
        <v>371</v>
      </c>
      <c r="C242" t="s">
        <v>2224</v>
      </c>
      <c r="D242" s="1">
        <v>44004</v>
      </c>
      <c r="E242" s="1">
        <v>44005</v>
      </c>
      <c r="F242" s="1">
        <v>43999</v>
      </c>
      <c r="G242" s="2">
        <v>0.33333333333333331</v>
      </c>
      <c r="H242" s="3">
        <v>1</v>
      </c>
      <c r="I242" t="s">
        <v>22</v>
      </c>
      <c r="J242" s="12" t="s">
        <v>18</v>
      </c>
      <c r="K242">
        <v>4</v>
      </c>
      <c r="L242">
        <v>0</v>
      </c>
      <c r="M242" t="s">
        <v>19</v>
      </c>
      <c r="N242" s="6">
        <v>110</v>
      </c>
      <c r="O242">
        <f>Table13[[#This Row],[Adults]]+Table13[[#This Row],[Children]]</f>
        <v>4</v>
      </c>
      <c r="P242">
        <f>_xlfn.DAYS(Table13[[#This Row],[Depart]],Table13[[#This Row],[Arrive]])</f>
        <v>1</v>
      </c>
    </row>
    <row r="243" spans="1:16" x14ac:dyDescent="0.25">
      <c r="A243" t="s">
        <v>368</v>
      </c>
      <c r="B243" t="s">
        <v>369</v>
      </c>
      <c r="C243" t="s">
        <v>2224</v>
      </c>
      <c r="D243" s="1">
        <v>44004</v>
      </c>
      <c r="E243" s="1">
        <v>44005</v>
      </c>
      <c r="F243" s="1">
        <v>44001</v>
      </c>
      <c r="G243" s="2">
        <v>0.33333333333333331</v>
      </c>
      <c r="H243" s="3">
        <v>1</v>
      </c>
      <c r="I243" t="s">
        <v>22</v>
      </c>
      <c r="J243" s="12" t="s">
        <v>18</v>
      </c>
      <c r="K243">
        <v>6</v>
      </c>
      <c r="L243">
        <v>0</v>
      </c>
      <c r="M243" t="s">
        <v>19</v>
      </c>
      <c r="N243" s="6">
        <v>110</v>
      </c>
      <c r="O243">
        <f>Table13[[#This Row],[Adults]]+Table13[[#This Row],[Children]]</f>
        <v>6</v>
      </c>
      <c r="P243">
        <f>_xlfn.DAYS(Table13[[#This Row],[Depart]],Table13[[#This Row],[Arrive]])</f>
        <v>1</v>
      </c>
    </row>
    <row r="244" spans="1:16" x14ac:dyDescent="0.25">
      <c r="A244" t="s">
        <v>76</v>
      </c>
      <c r="B244" t="s">
        <v>77</v>
      </c>
      <c r="C244" t="s">
        <v>2226</v>
      </c>
      <c r="D244" s="1">
        <v>44005</v>
      </c>
      <c r="E244" s="1">
        <v>44011</v>
      </c>
      <c r="F244" s="1">
        <v>43889</v>
      </c>
      <c r="G244" s="2">
        <v>0.33333333333333331</v>
      </c>
      <c r="H244" s="3">
        <v>1</v>
      </c>
      <c r="I244" t="s">
        <v>22</v>
      </c>
      <c r="J244" s="12" t="s">
        <v>18</v>
      </c>
      <c r="K244">
        <v>3</v>
      </c>
      <c r="L244">
        <v>0</v>
      </c>
      <c r="M244" t="s">
        <v>19</v>
      </c>
      <c r="N244" s="6">
        <v>660</v>
      </c>
      <c r="O244">
        <f>Table13[[#This Row],[Adults]]+Table13[[#This Row],[Children]]</f>
        <v>3</v>
      </c>
      <c r="P244">
        <f>_xlfn.DAYS(Table13[[#This Row],[Depart]],Table13[[#This Row],[Arrive]])</f>
        <v>6</v>
      </c>
    </row>
    <row r="245" spans="1:16" x14ac:dyDescent="0.25">
      <c r="A245" t="s">
        <v>310</v>
      </c>
      <c r="B245" t="s">
        <v>311</v>
      </c>
      <c r="C245" t="s">
        <v>2226</v>
      </c>
      <c r="D245" s="1">
        <v>44005</v>
      </c>
      <c r="E245" s="1">
        <v>44006</v>
      </c>
      <c r="F245" s="1">
        <v>43991</v>
      </c>
      <c r="G245" s="2">
        <v>0.33333333333333331</v>
      </c>
      <c r="H245" s="3">
        <v>1</v>
      </c>
      <c r="I245" t="s">
        <v>22</v>
      </c>
      <c r="J245" s="12" t="s">
        <v>23</v>
      </c>
      <c r="K245">
        <v>6</v>
      </c>
      <c r="L245">
        <v>0</v>
      </c>
      <c r="M245" t="s">
        <v>19</v>
      </c>
      <c r="N245" s="6">
        <v>110</v>
      </c>
      <c r="O245">
        <f>Table13[[#This Row],[Adults]]+Table13[[#This Row],[Children]]</f>
        <v>6</v>
      </c>
      <c r="P245">
        <f>_xlfn.DAYS(Table13[[#This Row],[Depart]],Table13[[#This Row],[Arrive]])</f>
        <v>1</v>
      </c>
    </row>
    <row r="246" spans="1:16" x14ac:dyDescent="0.25">
      <c r="A246" t="s">
        <v>328</v>
      </c>
      <c r="B246" t="s">
        <v>329</v>
      </c>
      <c r="C246" t="s">
        <v>2224</v>
      </c>
      <c r="D246" s="1">
        <v>44005</v>
      </c>
      <c r="E246" s="1">
        <v>44006</v>
      </c>
      <c r="F246" s="1">
        <v>43991</v>
      </c>
      <c r="G246" s="2">
        <v>0.33333333333333331</v>
      </c>
      <c r="H246" s="3">
        <v>1</v>
      </c>
      <c r="I246" t="s">
        <v>22</v>
      </c>
      <c r="J246" s="12" t="s">
        <v>18</v>
      </c>
      <c r="K246">
        <v>6</v>
      </c>
      <c r="L246">
        <v>0</v>
      </c>
      <c r="M246" t="s">
        <v>19</v>
      </c>
      <c r="N246" s="6">
        <v>110</v>
      </c>
      <c r="O246">
        <f>Table13[[#This Row],[Adults]]+Table13[[#This Row],[Children]]</f>
        <v>6</v>
      </c>
      <c r="P246">
        <f>_xlfn.DAYS(Table13[[#This Row],[Depart]],Table13[[#This Row],[Arrive]])</f>
        <v>1</v>
      </c>
    </row>
    <row r="247" spans="1:16" x14ac:dyDescent="0.25">
      <c r="A247" t="s">
        <v>330</v>
      </c>
      <c r="B247" t="s">
        <v>331</v>
      </c>
      <c r="C247" t="s">
        <v>2224</v>
      </c>
      <c r="D247" s="1">
        <v>44005</v>
      </c>
      <c r="E247" s="1">
        <v>44008</v>
      </c>
      <c r="F247" s="1">
        <v>43995</v>
      </c>
      <c r="G247" s="2">
        <v>0.33333333333333331</v>
      </c>
      <c r="H247" s="3">
        <v>1</v>
      </c>
      <c r="I247" t="s">
        <v>22</v>
      </c>
      <c r="J247" s="12" t="s">
        <v>23</v>
      </c>
      <c r="K247">
        <v>6</v>
      </c>
      <c r="L247">
        <v>0</v>
      </c>
      <c r="M247" t="s">
        <v>19</v>
      </c>
      <c r="N247" s="6">
        <v>330</v>
      </c>
      <c r="O247">
        <f>Table13[[#This Row],[Adults]]+Table13[[#This Row],[Children]]</f>
        <v>6</v>
      </c>
      <c r="P247">
        <f>_xlfn.DAYS(Table13[[#This Row],[Depart]],Table13[[#This Row],[Arrive]])</f>
        <v>3</v>
      </c>
    </row>
    <row r="248" spans="1:16" x14ac:dyDescent="0.25">
      <c r="A248" t="s">
        <v>308</v>
      </c>
      <c r="B248" t="s">
        <v>309</v>
      </c>
      <c r="C248" t="s">
        <v>2226</v>
      </c>
      <c r="D248" s="1">
        <v>44006</v>
      </c>
      <c r="E248" s="1">
        <v>44007</v>
      </c>
      <c r="F248" s="1">
        <v>43990</v>
      </c>
      <c r="G248" s="2">
        <v>0.33333333333333331</v>
      </c>
      <c r="H248" s="3">
        <v>1</v>
      </c>
      <c r="I248" t="s">
        <v>22</v>
      </c>
      <c r="J248" s="12" t="s">
        <v>23</v>
      </c>
      <c r="K248">
        <v>6</v>
      </c>
      <c r="L248">
        <v>0</v>
      </c>
      <c r="M248" t="s">
        <v>19</v>
      </c>
      <c r="N248" s="6">
        <v>110</v>
      </c>
      <c r="O248">
        <f>Table13[[#This Row],[Adults]]+Table13[[#This Row],[Children]]</f>
        <v>6</v>
      </c>
      <c r="P248">
        <f>_xlfn.DAYS(Table13[[#This Row],[Depart]],Table13[[#This Row],[Arrive]])</f>
        <v>1</v>
      </c>
    </row>
    <row r="249" spans="1:16" x14ac:dyDescent="0.25">
      <c r="A249" t="s">
        <v>324</v>
      </c>
      <c r="B249" t="s">
        <v>325</v>
      </c>
      <c r="C249" t="s">
        <v>2224</v>
      </c>
      <c r="D249" s="1">
        <v>44006</v>
      </c>
      <c r="E249" s="1">
        <v>44008</v>
      </c>
      <c r="F249" s="1">
        <v>43995</v>
      </c>
      <c r="G249" s="2">
        <v>0.33333333333333331</v>
      </c>
      <c r="H249" s="3">
        <v>1</v>
      </c>
      <c r="I249" t="s">
        <v>26</v>
      </c>
      <c r="J249" s="12" t="s">
        <v>18</v>
      </c>
      <c r="K249">
        <v>1</v>
      </c>
      <c r="L249">
        <v>0</v>
      </c>
      <c r="M249" t="s">
        <v>19</v>
      </c>
      <c r="N249" s="6">
        <v>213</v>
      </c>
      <c r="O249">
        <f>Table13[[#This Row],[Adults]]+Table13[[#This Row],[Children]]</f>
        <v>1</v>
      </c>
      <c r="P249">
        <f>_xlfn.DAYS(Table13[[#This Row],[Depart]],Table13[[#This Row],[Arrive]])</f>
        <v>2</v>
      </c>
    </row>
    <row r="250" spans="1:16" x14ac:dyDescent="0.25">
      <c r="A250" t="s">
        <v>334</v>
      </c>
      <c r="B250" t="s">
        <v>335</v>
      </c>
      <c r="C250" t="s">
        <v>2225</v>
      </c>
      <c r="D250" s="1">
        <v>44006</v>
      </c>
      <c r="E250" s="1">
        <v>44011</v>
      </c>
      <c r="F250" s="1">
        <v>43990</v>
      </c>
      <c r="G250" s="2">
        <v>0.33333333333333331</v>
      </c>
      <c r="H250" s="3">
        <v>1</v>
      </c>
      <c r="I250" t="s">
        <v>22</v>
      </c>
      <c r="J250" s="12" t="s">
        <v>18</v>
      </c>
      <c r="K250">
        <v>5</v>
      </c>
      <c r="L250">
        <v>0</v>
      </c>
      <c r="M250" t="s">
        <v>19</v>
      </c>
      <c r="N250" s="6">
        <v>550</v>
      </c>
      <c r="O250">
        <f>Table13[[#This Row],[Adults]]+Table13[[#This Row],[Children]]</f>
        <v>5</v>
      </c>
      <c r="P250">
        <f>_xlfn.DAYS(Table13[[#This Row],[Depart]],Table13[[#This Row],[Arrive]])</f>
        <v>5</v>
      </c>
    </row>
    <row r="251" spans="1:16" x14ac:dyDescent="0.25">
      <c r="A251" t="s">
        <v>382</v>
      </c>
      <c r="B251" t="s">
        <v>383</v>
      </c>
      <c r="C251" t="s">
        <v>2225</v>
      </c>
      <c r="D251" s="1">
        <v>44006</v>
      </c>
      <c r="E251" s="1">
        <v>44008</v>
      </c>
      <c r="F251" s="1">
        <v>44004</v>
      </c>
      <c r="G251" s="2">
        <v>0.33333333333333331</v>
      </c>
      <c r="H251" s="3">
        <v>1</v>
      </c>
      <c r="I251" t="s">
        <v>22</v>
      </c>
      <c r="J251" s="12" t="s">
        <v>23</v>
      </c>
      <c r="K251">
        <v>5</v>
      </c>
      <c r="L251">
        <v>0</v>
      </c>
      <c r="M251" t="s">
        <v>19</v>
      </c>
      <c r="N251" s="6">
        <v>220</v>
      </c>
      <c r="O251">
        <f>Table13[[#This Row],[Adults]]+Table13[[#This Row],[Children]]</f>
        <v>5</v>
      </c>
      <c r="P251">
        <f>_xlfn.DAYS(Table13[[#This Row],[Depart]],Table13[[#This Row],[Arrive]])</f>
        <v>2</v>
      </c>
    </row>
    <row r="252" spans="1:16" x14ac:dyDescent="0.25">
      <c r="A252" t="s">
        <v>294</v>
      </c>
      <c r="B252" t="s">
        <v>295</v>
      </c>
      <c r="C252" t="s">
        <v>2228</v>
      </c>
      <c r="D252" s="1">
        <v>44007</v>
      </c>
      <c r="E252" s="1">
        <v>44008</v>
      </c>
      <c r="F252" s="1">
        <v>43987</v>
      </c>
      <c r="G252" s="2">
        <v>0.58333333333333337</v>
      </c>
      <c r="H252" s="2">
        <v>0.45833333333333331</v>
      </c>
      <c r="I252" t="s">
        <v>26</v>
      </c>
      <c r="J252" s="12" t="s">
        <v>18</v>
      </c>
      <c r="K252">
        <v>1</v>
      </c>
      <c r="L252">
        <v>0</v>
      </c>
      <c r="M252" t="s">
        <v>19</v>
      </c>
      <c r="N252" s="6">
        <v>107</v>
      </c>
      <c r="O252">
        <f>Table13[[#This Row],[Adults]]+Table13[[#This Row],[Children]]</f>
        <v>1</v>
      </c>
      <c r="P252">
        <f>_xlfn.DAYS(Table13[[#This Row],[Depart]],Table13[[#This Row],[Arrive]])</f>
        <v>1</v>
      </c>
    </row>
    <row r="253" spans="1:16" x14ac:dyDescent="0.25">
      <c r="A253" t="s">
        <v>298</v>
      </c>
      <c r="B253" t="s">
        <v>299</v>
      </c>
      <c r="C253" t="s">
        <v>2226</v>
      </c>
      <c r="D253" s="1">
        <v>44007</v>
      </c>
      <c r="E253" s="1">
        <v>44009</v>
      </c>
      <c r="F253" s="1">
        <v>43988</v>
      </c>
      <c r="G253" s="2">
        <v>0.33333333333333331</v>
      </c>
      <c r="H253" s="3">
        <v>1</v>
      </c>
      <c r="I253" t="s">
        <v>22</v>
      </c>
      <c r="J253" s="12" t="s">
        <v>23</v>
      </c>
      <c r="K253">
        <v>4</v>
      </c>
      <c r="L253">
        <v>0</v>
      </c>
      <c r="M253" t="s">
        <v>19</v>
      </c>
      <c r="N253" s="6">
        <v>220</v>
      </c>
      <c r="O253">
        <f>Table13[[#This Row],[Adults]]+Table13[[#This Row],[Children]]</f>
        <v>4</v>
      </c>
      <c r="P253">
        <f>_xlfn.DAYS(Table13[[#This Row],[Depart]],Table13[[#This Row],[Arrive]])</f>
        <v>2</v>
      </c>
    </row>
    <row r="254" spans="1:16" x14ac:dyDescent="0.25">
      <c r="A254" t="s">
        <v>78</v>
      </c>
      <c r="B254" t="s">
        <v>79</v>
      </c>
      <c r="C254" t="s">
        <v>2226</v>
      </c>
      <c r="D254" s="1">
        <v>44008</v>
      </c>
      <c r="E254" s="1">
        <v>44022</v>
      </c>
      <c r="F254" s="1">
        <v>43851</v>
      </c>
      <c r="G254" s="2">
        <v>0.33333333333333331</v>
      </c>
      <c r="H254" s="3">
        <v>1</v>
      </c>
      <c r="I254" t="s">
        <v>17</v>
      </c>
      <c r="J254" s="12" t="s">
        <v>18</v>
      </c>
      <c r="K254">
        <v>5</v>
      </c>
      <c r="L254">
        <v>0</v>
      </c>
      <c r="M254" t="s">
        <v>19</v>
      </c>
      <c r="N254" s="6">
        <v>2205</v>
      </c>
      <c r="O254">
        <f>Table13[[#This Row],[Adults]]+Table13[[#This Row],[Children]]</f>
        <v>5</v>
      </c>
      <c r="P254">
        <f>_xlfn.DAYS(Table13[[#This Row],[Depart]],Table13[[#This Row],[Arrive]])</f>
        <v>14</v>
      </c>
    </row>
    <row r="255" spans="1:16" x14ac:dyDescent="0.25">
      <c r="A255" t="s">
        <v>286</v>
      </c>
      <c r="B255" t="s">
        <v>287</v>
      </c>
      <c r="C255" t="s">
        <v>2227</v>
      </c>
      <c r="D255" s="1">
        <v>44008</v>
      </c>
      <c r="E255" s="1">
        <v>44013</v>
      </c>
      <c r="F255" s="1">
        <v>43968</v>
      </c>
      <c r="G255" s="2">
        <v>0.58333333333333337</v>
      </c>
      <c r="H255" s="2">
        <v>0.45833333333333331</v>
      </c>
      <c r="I255" t="s">
        <v>22</v>
      </c>
      <c r="J255" s="12" t="s">
        <v>18</v>
      </c>
      <c r="K255">
        <v>4</v>
      </c>
      <c r="L255">
        <v>0</v>
      </c>
      <c r="M255" t="s">
        <v>19</v>
      </c>
      <c r="N255" s="6">
        <v>750</v>
      </c>
      <c r="O255">
        <f>Table13[[#This Row],[Adults]]+Table13[[#This Row],[Children]]</f>
        <v>4</v>
      </c>
      <c r="P255">
        <f>_xlfn.DAYS(Table13[[#This Row],[Depart]],Table13[[#This Row],[Arrive]])</f>
        <v>5</v>
      </c>
    </row>
    <row r="256" spans="1:16" x14ac:dyDescent="0.25">
      <c r="A256" t="s">
        <v>286</v>
      </c>
      <c r="B256" t="s">
        <v>287</v>
      </c>
      <c r="C256" t="s">
        <v>2228</v>
      </c>
      <c r="D256" s="1">
        <v>44008</v>
      </c>
      <c r="E256" s="1">
        <v>44013</v>
      </c>
      <c r="F256" s="1">
        <v>43986</v>
      </c>
      <c r="G256" s="2">
        <v>0.58333333333333337</v>
      </c>
      <c r="H256" s="2">
        <v>0.45833333333333331</v>
      </c>
      <c r="I256" t="s">
        <v>22</v>
      </c>
      <c r="J256" s="12" t="s">
        <v>18</v>
      </c>
      <c r="K256">
        <v>4</v>
      </c>
      <c r="L256">
        <v>0</v>
      </c>
      <c r="M256" t="s">
        <v>19</v>
      </c>
      <c r="N256" s="6">
        <v>750</v>
      </c>
      <c r="O256">
        <f>Table13[[#This Row],[Adults]]+Table13[[#This Row],[Children]]</f>
        <v>4</v>
      </c>
      <c r="P256">
        <f>_xlfn.DAYS(Table13[[#This Row],[Depart]],Table13[[#This Row],[Arrive]])</f>
        <v>5</v>
      </c>
    </row>
    <row r="257" spans="1:16" x14ac:dyDescent="0.25">
      <c r="A257" t="s">
        <v>374</v>
      </c>
      <c r="B257" t="s">
        <v>375</v>
      </c>
      <c r="C257" t="s">
        <v>2225</v>
      </c>
      <c r="D257" s="1">
        <v>44008</v>
      </c>
      <c r="E257" s="1">
        <v>44011</v>
      </c>
      <c r="F257" s="1">
        <v>44002</v>
      </c>
      <c r="G257" s="2">
        <v>0.33333333333333331</v>
      </c>
      <c r="H257" s="3">
        <v>1</v>
      </c>
      <c r="I257" t="s">
        <v>22</v>
      </c>
      <c r="J257" s="12" t="s">
        <v>23</v>
      </c>
      <c r="K257">
        <v>5</v>
      </c>
      <c r="L257">
        <v>0</v>
      </c>
      <c r="M257" t="s">
        <v>19</v>
      </c>
      <c r="N257" s="6">
        <v>110</v>
      </c>
      <c r="O257">
        <f>Table13[[#This Row],[Adults]]+Table13[[#This Row],[Children]]</f>
        <v>5</v>
      </c>
      <c r="P257">
        <f>_xlfn.DAYS(Table13[[#This Row],[Depart]],Table13[[#This Row],[Arrive]])</f>
        <v>3</v>
      </c>
    </row>
    <row r="258" spans="1:16" x14ac:dyDescent="0.25">
      <c r="A258" t="s">
        <v>286</v>
      </c>
      <c r="B258" t="s">
        <v>287</v>
      </c>
      <c r="C258" t="s">
        <v>2224</v>
      </c>
      <c r="D258" s="1">
        <v>44008</v>
      </c>
      <c r="E258" s="1">
        <v>44012</v>
      </c>
      <c r="F258" s="1">
        <v>43987</v>
      </c>
      <c r="G258" s="2">
        <v>0.33333333333333331</v>
      </c>
      <c r="H258" s="3">
        <v>1</v>
      </c>
      <c r="I258" t="s">
        <v>22</v>
      </c>
      <c r="J258" s="12" t="s">
        <v>23</v>
      </c>
      <c r="K258">
        <v>4</v>
      </c>
      <c r="L258">
        <v>0</v>
      </c>
      <c r="M258" t="s">
        <v>19</v>
      </c>
      <c r="N258" s="6">
        <v>440</v>
      </c>
      <c r="O258">
        <f>Table13[[#This Row],[Adults]]+Table13[[#This Row],[Children]]</f>
        <v>4</v>
      </c>
      <c r="P258">
        <f>_xlfn.DAYS(Table13[[#This Row],[Depart]],Table13[[#This Row],[Arrive]])</f>
        <v>4</v>
      </c>
    </row>
    <row r="259" spans="1:16" x14ac:dyDescent="0.25">
      <c r="A259" t="s">
        <v>284</v>
      </c>
      <c r="B259" t="s">
        <v>285</v>
      </c>
      <c r="C259" t="s">
        <v>2226</v>
      </c>
      <c r="D259" s="1">
        <v>44009</v>
      </c>
      <c r="E259" s="1">
        <v>44013</v>
      </c>
      <c r="F259" s="1">
        <v>43987</v>
      </c>
      <c r="G259" s="2">
        <v>0.33333333333333331</v>
      </c>
      <c r="H259" s="3">
        <v>1</v>
      </c>
      <c r="I259" t="s">
        <v>22</v>
      </c>
      <c r="J259" s="12" t="s">
        <v>23</v>
      </c>
      <c r="K259">
        <v>3</v>
      </c>
      <c r="L259">
        <v>0</v>
      </c>
      <c r="M259" t="s">
        <v>19</v>
      </c>
      <c r="N259" s="6">
        <v>440</v>
      </c>
      <c r="O259">
        <f>Table13[[#This Row],[Adults]]+Table13[[#This Row],[Children]]</f>
        <v>3</v>
      </c>
      <c r="P259">
        <f>_xlfn.DAYS(Table13[[#This Row],[Depart]],Table13[[#This Row],[Arrive]])</f>
        <v>4</v>
      </c>
    </row>
    <row r="260" spans="1:16" x14ac:dyDescent="0.25">
      <c r="A260" t="s">
        <v>46</v>
      </c>
      <c r="B260" t="s">
        <v>47</v>
      </c>
      <c r="C260" t="s">
        <v>2223</v>
      </c>
      <c r="D260" s="1">
        <v>44011</v>
      </c>
      <c r="E260" s="1">
        <v>44013</v>
      </c>
      <c r="F260" s="1">
        <v>43878</v>
      </c>
      <c r="G260" s="2">
        <v>0.33333333333333331</v>
      </c>
      <c r="H260" s="3">
        <v>1</v>
      </c>
      <c r="I260" t="s">
        <v>26</v>
      </c>
      <c r="J260" s="12" t="s">
        <v>18</v>
      </c>
      <c r="K260">
        <v>1</v>
      </c>
      <c r="L260">
        <v>0</v>
      </c>
      <c r="M260" t="s">
        <v>19</v>
      </c>
      <c r="N260" s="6">
        <v>212</v>
      </c>
      <c r="O260">
        <f>Table13[[#This Row],[Adults]]+Table13[[#This Row],[Children]]</f>
        <v>1</v>
      </c>
      <c r="P260">
        <f>_xlfn.DAYS(Table13[[#This Row],[Depart]],Table13[[#This Row],[Arrive]])</f>
        <v>2</v>
      </c>
    </row>
    <row r="261" spans="1:16" x14ac:dyDescent="0.25">
      <c r="A261" t="s">
        <v>224</v>
      </c>
      <c r="B261" t="s">
        <v>225</v>
      </c>
      <c r="C261" t="s">
        <v>2225</v>
      </c>
      <c r="D261" s="1">
        <v>44011</v>
      </c>
      <c r="E261" s="1">
        <v>44013</v>
      </c>
      <c r="F261" s="1">
        <v>43879</v>
      </c>
      <c r="G261" s="2">
        <v>0.33333333333333331</v>
      </c>
      <c r="H261" s="3">
        <v>1</v>
      </c>
      <c r="I261" t="s">
        <v>22</v>
      </c>
      <c r="J261" s="12" t="s">
        <v>18</v>
      </c>
      <c r="K261">
        <v>2</v>
      </c>
      <c r="L261">
        <v>0</v>
      </c>
      <c r="M261" t="s">
        <v>19</v>
      </c>
      <c r="N261" s="6">
        <v>110</v>
      </c>
      <c r="O261">
        <f>Table13[[#This Row],[Adults]]+Table13[[#This Row],[Children]]</f>
        <v>2</v>
      </c>
      <c r="P261">
        <f>_xlfn.DAYS(Table13[[#This Row],[Depart]],Table13[[#This Row],[Arrive]])</f>
        <v>2</v>
      </c>
    </row>
    <row r="262" spans="1:16" x14ac:dyDescent="0.25">
      <c r="A262" t="s">
        <v>224</v>
      </c>
      <c r="B262" t="s">
        <v>225</v>
      </c>
      <c r="C262" t="s">
        <v>2227</v>
      </c>
      <c r="D262" s="1">
        <v>44011</v>
      </c>
      <c r="E262" s="1">
        <v>44013</v>
      </c>
      <c r="F262" s="1">
        <v>43964</v>
      </c>
      <c r="G262" s="2">
        <v>0.58333333333333337</v>
      </c>
      <c r="H262" s="2">
        <v>0.45833333333333331</v>
      </c>
      <c r="I262" t="s">
        <v>22</v>
      </c>
      <c r="J262" s="12" t="s">
        <v>18</v>
      </c>
      <c r="K262">
        <v>2</v>
      </c>
      <c r="L262">
        <v>0</v>
      </c>
      <c r="M262" t="s">
        <v>19</v>
      </c>
      <c r="N262" s="6">
        <v>300</v>
      </c>
      <c r="O262">
        <f>Table13[[#This Row],[Adults]]+Table13[[#This Row],[Children]]</f>
        <v>2</v>
      </c>
      <c r="P262">
        <f>_xlfn.DAYS(Table13[[#This Row],[Depart]],Table13[[#This Row],[Arrive]])</f>
        <v>2</v>
      </c>
    </row>
    <row r="263" spans="1:16" x14ac:dyDescent="0.25">
      <c r="A263" t="s">
        <v>224</v>
      </c>
      <c r="B263" t="s">
        <v>225</v>
      </c>
      <c r="C263" t="s">
        <v>2226</v>
      </c>
      <c r="D263" s="1">
        <v>44011</v>
      </c>
      <c r="E263" s="1">
        <v>44013</v>
      </c>
      <c r="F263" s="1">
        <v>43968</v>
      </c>
      <c r="G263" s="2">
        <v>0.33333333333333331</v>
      </c>
      <c r="H263" s="3">
        <v>1</v>
      </c>
      <c r="I263" t="s">
        <v>22</v>
      </c>
      <c r="J263" s="12" t="s">
        <v>18</v>
      </c>
      <c r="K263">
        <v>3</v>
      </c>
      <c r="L263">
        <v>0</v>
      </c>
      <c r="M263" t="s">
        <v>19</v>
      </c>
      <c r="N263" s="6">
        <v>191</v>
      </c>
      <c r="O263">
        <f>Table13[[#This Row],[Adults]]+Table13[[#This Row],[Children]]</f>
        <v>3</v>
      </c>
      <c r="P263">
        <f>_xlfn.DAYS(Table13[[#This Row],[Depart]],Table13[[#This Row],[Arrive]])</f>
        <v>2</v>
      </c>
    </row>
    <row r="264" spans="1:16" x14ac:dyDescent="0.25">
      <c r="A264" t="s">
        <v>384</v>
      </c>
      <c r="B264" t="s">
        <v>385</v>
      </c>
      <c r="C264" t="s">
        <v>2225</v>
      </c>
      <c r="D264" s="1">
        <v>44011</v>
      </c>
      <c r="E264" s="1">
        <v>44016</v>
      </c>
      <c r="F264" s="1">
        <v>43995</v>
      </c>
      <c r="G264" s="2">
        <v>0.33333333333333331</v>
      </c>
      <c r="H264" s="3">
        <v>1</v>
      </c>
      <c r="I264" t="s">
        <v>22</v>
      </c>
      <c r="J264" s="12" t="s">
        <v>23</v>
      </c>
      <c r="K264">
        <v>6</v>
      </c>
      <c r="L264">
        <v>0</v>
      </c>
      <c r="M264" t="s">
        <v>19</v>
      </c>
      <c r="N264" s="6">
        <v>550</v>
      </c>
      <c r="O264">
        <f>Table13[[#This Row],[Adults]]+Table13[[#This Row],[Children]]</f>
        <v>6</v>
      </c>
      <c r="P264">
        <f>_xlfn.DAYS(Table13[[#This Row],[Depart]],Table13[[#This Row],[Arrive]])</f>
        <v>5</v>
      </c>
    </row>
    <row r="265" spans="1:16" x14ac:dyDescent="0.25">
      <c r="A265" t="s">
        <v>204</v>
      </c>
      <c r="B265" t="s">
        <v>205</v>
      </c>
      <c r="C265" t="s">
        <v>2225</v>
      </c>
      <c r="D265" s="1">
        <v>44012</v>
      </c>
      <c r="E265" s="1">
        <v>44013</v>
      </c>
      <c r="F265" s="1">
        <v>43964</v>
      </c>
      <c r="G265" s="2">
        <v>0.33333333333333331</v>
      </c>
      <c r="H265" s="3">
        <v>1</v>
      </c>
      <c r="I265" t="s">
        <v>22</v>
      </c>
      <c r="J265" s="12" t="s">
        <v>18</v>
      </c>
      <c r="K265">
        <v>2</v>
      </c>
      <c r="L265">
        <v>0</v>
      </c>
      <c r="M265" t="s">
        <v>19</v>
      </c>
      <c r="N265" s="6">
        <v>110</v>
      </c>
      <c r="O265">
        <f>Table13[[#This Row],[Adults]]+Table13[[#This Row],[Children]]</f>
        <v>2</v>
      </c>
      <c r="P265">
        <f>_xlfn.DAYS(Table13[[#This Row],[Depart]],Table13[[#This Row],[Arrive]])</f>
        <v>1</v>
      </c>
    </row>
    <row r="266" spans="1:16" x14ac:dyDescent="0.25">
      <c r="A266" t="s">
        <v>188</v>
      </c>
      <c r="B266" t="s">
        <v>189</v>
      </c>
      <c r="C266" t="s">
        <v>2226</v>
      </c>
      <c r="D266" s="1">
        <v>44013</v>
      </c>
      <c r="E266" s="1">
        <v>44029</v>
      </c>
      <c r="F266" s="1">
        <v>43941</v>
      </c>
      <c r="G266" s="2">
        <v>0.33333333333333331</v>
      </c>
      <c r="H266" s="3">
        <v>1</v>
      </c>
      <c r="I266" t="s">
        <v>26</v>
      </c>
      <c r="J266" s="12" t="s">
        <v>18</v>
      </c>
      <c r="K266">
        <v>1</v>
      </c>
      <c r="L266">
        <v>0</v>
      </c>
      <c r="M266" t="s">
        <v>19</v>
      </c>
      <c r="N266" s="6">
        <v>1646</v>
      </c>
      <c r="O266">
        <f>Table13[[#This Row],[Adults]]+Table13[[#This Row],[Children]]</f>
        <v>1</v>
      </c>
      <c r="P266">
        <f>_xlfn.DAYS(Table13[[#This Row],[Depart]],Table13[[#This Row],[Arrive]])</f>
        <v>16</v>
      </c>
    </row>
    <row r="267" spans="1:16" x14ac:dyDescent="0.25">
      <c r="A267" t="s">
        <v>316</v>
      </c>
      <c r="B267" t="s">
        <v>317</v>
      </c>
      <c r="C267" t="s">
        <v>2226</v>
      </c>
      <c r="D267" s="1">
        <v>44013</v>
      </c>
      <c r="E267" s="1">
        <v>44016</v>
      </c>
      <c r="F267" s="1">
        <v>43994</v>
      </c>
      <c r="G267" s="2">
        <v>0.33333333333333331</v>
      </c>
      <c r="H267" s="3">
        <v>1</v>
      </c>
      <c r="I267" t="s">
        <v>26</v>
      </c>
      <c r="J267" s="12" t="s">
        <v>18</v>
      </c>
      <c r="K267">
        <v>1</v>
      </c>
      <c r="L267">
        <v>0</v>
      </c>
      <c r="M267" t="s">
        <v>19</v>
      </c>
      <c r="N267" s="6">
        <v>318</v>
      </c>
      <c r="O267">
        <f>Table13[[#This Row],[Adults]]+Table13[[#This Row],[Children]]</f>
        <v>1</v>
      </c>
      <c r="P267">
        <f>_xlfn.DAYS(Table13[[#This Row],[Depart]],Table13[[#This Row],[Arrive]])</f>
        <v>3</v>
      </c>
    </row>
    <row r="268" spans="1:16" x14ac:dyDescent="0.25">
      <c r="A268" t="s">
        <v>352</v>
      </c>
      <c r="B268" t="s">
        <v>353</v>
      </c>
      <c r="C268" t="s">
        <v>2224</v>
      </c>
      <c r="D268" s="1">
        <v>44013</v>
      </c>
      <c r="E268" s="1">
        <v>44015</v>
      </c>
      <c r="F268" s="1">
        <v>44000</v>
      </c>
      <c r="G268" s="2">
        <v>0.33333333333333331</v>
      </c>
      <c r="H268" s="3">
        <v>1</v>
      </c>
      <c r="I268" t="s">
        <v>22</v>
      </c>
      <c r="J268" s="12" t="s">
        <v>23</v>
      </c>
      <c r="K268">
        <v>8</v>
      </c>
      <c r="L268">
        <v>0</v>
      </c>
      <c r="M268" t="s">
        <v>19</v>
      </c>
      <c r="N268" s="6">
        <v>220</v>
      </c>
      <c r="O268">
        <f>Table13[[#This Row],[Adults]]+Table13[[#This Row],[Children]]</f>
        <v>8</v>
      </c>
      <c r="P268">
        <f>_xlfn.DAYS(Table13[[#This Row],[Depart]],Table13[[#This Row],[Arrive]])</f>
        <v>2</v>
      </c>
    </row>
    <row r="269" spans="1:16" x14ac:dyDescent="0.25">
      <c r="A269" t="s">
        <v>390</v>
      </c>
      <c r="B269" t="s">
        <v>391</v>
      </c>
      <c r="C269" t="s">
        <v>2226</v>
      </c>
      <c r="D269" s="1">
        <v>44013</v>
      </c>
      <c r="E269" s="1">
        <v>44016</v>
      </c>
      <c r="F269" s="1">
        <v>44006</v>
      </c>
      <c r="G269" s="2">
        <v>0.33333333333333331</v>
      </c>
      <c r="H269" s="3">
        <v>1</v>
      </c>
      <c r="I269" t="s">
        <v>26</v>
      </c>
      <c r="J269" s="12" t="s">
        <v>18</v>
      </c>
      <c r="K269">
        <v>1</v>
      </c>
      <c r="L269">
        <v>0</v>
      </c>
      <c r="M269" t="s">
        <v>19</v>
      </c>
      <c r="N269" s="6">
        <v>319</v>
      </c>
      <c r="O269">
        <f>Table13[[#This Row],[Adults]]+Table13[[#This Row],[Children]]</f>
        <v>1</v>
      </c>
      <c r="P269">
        <f>_xlfn.DAYS(Table13[[#This Row],[Depart]],Table13[[#This Row],[Arrive]])</f>
        <v>3</v>
      </c>
    </row>
    <row r="270" spans="1:16" x14ac:dyDescent="0.25">
      <c r="A270" t="s">
        <v>392</v>
      </c>
      <c r="B270" t="s">
        <v>393</v>
      </c>
      <c r="C270" t="s">
        <v>2226</v>
      </c>
      <c r="D270" s="1">
        <v>44013</v>
      </c>
      <c r="E270" s="1">
        <v>44016</v>
      </c>
      <c r="F270" s="1">
        <v>44006</v>
      </c>
      <c r="G270" s="2">
        <v>0.33333333333333331</v>
      </c>
      <c r="H270" s="3">
        <v>1</v>
      </c>
      <c r="I270" t="s">
        <v>22</v>
      </c>
      <c r="J270" s="12" t="s">
        <v>23</v>
      </c>
      <c r="K270">
        <v>6</v>
      </c>
      <c r="L270">
        <v>0</v>
      </c>
      <c r="M270" t="s">
        <v>19</v>
      </c>
      <c r="N270" s="6">
        <v>330</v>
      </c>
      <c r="O270">
        <f>Table13[[#This Row],[Adults]]+Table13[[#This Row],[Children]]</f>
        <v>6</v>
      </c>
      <c r="P270">
        <f>_xlfn.DAYS(Table13[[#This Row],[Depart]],Table13[[#This Row],[Arrive]])</f>
        <v>3</v>
      </c>
    </row>
    <row r="271" spans="1:16" x14ac:dyDescent="0.25">
      <c r="A271" t="s">
        <v>348</v>
      </c>
      <c r="B271" t="s">
        <v>349</v>
      </c>
      <c r="C271" t="s">
        <v>2224</v>
      </c>
      <c r="D271" s="1">
        <v>44014</v>
      </c>
      <c r="E271" s="1">
        <v>44017</v>
      </c>
      <c r="F271" s="1">
        <v>43999</v>
      </c>
      <c r="G271" s="2">
        <v>0.33333333333333331</v>
      </c>
      <c r="H271" s="3">
        <v>1</v>
      </c>
      <c r="I271" t="s">
        <v>26</v>
      </c>
      <c r="J271" s="12" t="s">
        <v>18</v>
      </c>
      <c r="K271">
        <v>3</v>
      </c>
      <c r="L271">
        <v>0</v>
      </c>
      <c r="M271" t="s">
        <v>19</v>
      </c>
      <c r="N271" s="6">
        <v>319</v>
      </c>
      <c r="O271">
        <f>Table13[[#This Row],[Adults]]+Table13[[#This Row],[Children]]</f>
        <v>3</v>
      </c>
      <c r="P271">
        <f>_xlfn.DAYS(Table13[[#This Row],[Depart]],Table13[[#This Row],[Arrive]])</f>
        <v>3</v>
      </c>
    </row>
    <row r="272" spans="1:16" x14ac:dyDescent="0.25">
      <c r="A272" t="s">
        <v>312</v>
      </c>
      <c r="B272" t="s">
        <v>313</v>
      </c>
      <c r="C272" t="s">
        <v>2224</v>
      </c>
      <c r="D272" s="1">
        <v>44015</v>
      </c>
      <c r="E272" s="1">
        <v>44016</v>
      </c>
      <c r="F272" s="1">
        <v>43992</v>
      </c>
      <c r="G272" s="2">
        <v>0.33333333333333331</v>
      </c>
      <c r="H272" s="3">
        <v>1</v>
      </c>
      <c r="I272" t="s">
        <v>26</v>
      </c>
      <c r="J272" s="12" t="s">
        <v>18</v>
      </c>
      <c r="K272">
        <v>1</v>
      </c>
      <c r="L272">
        <v>0</v>
      </c>
      <c r="M272" t="s">
        <v>19</v>
      </c>
      <c r="N272" s="6">
        <v>106</v>
      </c>
      <c r="O272">
        <f>Table13[[#This Row],[Adults]]+Table13[[#This Row],[Children]]</f>
        <v>1</v>
      </c>
      <c r="P272">
        <f>_xlfn.DAYS(Table13[[#This Row],[Depart]],Table13[[#This Row],[Arrive]])</f>
        <v>1</v>
      </c>
    </row>
    <row r="273" spans="1:16" x14ac:dyDescent="0.25">
      <c r="A273" t="s">
        <v>326</v>
      </c>
      <c r="B273" t="s">
        <v>327</v>
      </c>
      <c r="C273" t="s">
        <v>2225</v>
      </c>
      <c r="D273" s="1">
        <v>44015</v>
      </c>
      <c r="E273" s="1">
        <v>44017</v>
      </c>
      <c r="F273" s="1">
        <v>43995</v>
      </c>
      <c r="G273" s="2">
        <v>0.33333333333333331</v>
      </c>
      <c r="H273" s="3">
        <v>1</v>
      </c>
      <c r="I273" t="s">
        <v>26</v>
      </c>
      <c r="J273" s="12" t="s">
        <v>18</v>
      </c>
      <c r="K273">
        <v>5</v>
      </c>
      <c r="L273">
        <v>0</v>
      </c>
      <c r="M273" t="s">
        <v>19</v>
      </c>
      <c r="N273" s="6">
        <v>232</v>
      </c>
      <c r="O273">
        <f>Table13[[#This Row],[Adults]]+Table13[[#This Row],[Children]]</f>
        <v>5</v>
      </c>
      <c r="P273">
        <f>_xlfn.DAYS(Table13[[#This Row],[Depart]],Table13[[#This Row],[Arrive]])</f>
        <v>2</v>
      </c>
    </row>
    <row r="274" spans="1:16" x14ac:dyDescent="0.25">
      <c r="A274" t="s">
        <v>360</v>
      </c>
      <c r="B274" t="s">
        <v>361</v>
      </c>
      <c r="C274" t="s">
        <v>2224</v>
      </c>
      <c r="D274" s="1">
        <v>44015</v>
      </c>
      <c r="E274" s="1">
        <v>44017</v>
      </c>
      <c r="F274" s="1">
        <v>44001</v>
      </c>
      <c r="G274" s="2">
        <v>0.33333333333333331</v>
      </c>
      <c r="H274" s="3">
        <v>1</v>
      </c>
      <c r="I274" t="s">
        <v>26</v>
      </c>
      <c r="J274" s="12" t="s">
        <v>18</v>
      </c>
      <c r="K274">
        <v>1</v>
      </c>
      <c r="L274">
        <v>0</v>
      </c>
      <c r="M274" t="s">
        <v>19</v>
      </c>
      <c r="N274" s="6">
        <v>213</v>
      </c>
      <c r="O274">
        <f>Table13[[#This Row],[Adults]]+Table13[[#This Row],[Children]]</f>
        <v>1</v>
      </c>
      <c r="P274">
        <f>_xlfn.DAYS(Table13[[#This Row],[Depart]],Table13[[#This Row],[Arrive]])</f>
        <v>2</v>
      </c>
    </row>
    <row r="275" spans="1:16" x14ac:dyDescent="0.25">
      <c r="A275" t="s">
        <v>366</v>
      </c>
      <c r="B275" t="s">
        <v>367</v>
      </c>
      <c r="C275" t="s">
        <v>2224</v>
      </c>
      <c r="D275" s="1">
        <v>44015</v>
      </c>
      <c r="E275" s="1">
        <v>44017</v>
      </c>
      <c r="F275" s="1">
        <v>44001</v>
      </c>
      <c r="G275" s="2">
        <v>0.33333333333333331</v>
      </c>
      <c r="H275" s="3">
        <v>1</v>
      </c>
      <c r="I275" t="s">
        <v>22</v>
      </c>
      <c r="J275" s="12" t="s">
        <v>23</v>
      </c>
      <c r="K275">
        <v>4</v>
      </c>
      <c r="L275">
        <v>0</v>
      </c>
      <c r="M275" t="s">
        <v>19</v>
      </c>
      <c r="N275" s="6">
        <v>220</v>
      </c>
      <c r="O275">
        <f>Table13[[#This Row],[Adults]]+Table13[[#This Row],[Children]]</f>
        <v>4</v>
      </c>
      <c r="P275">
        <f>_xlfn.DAYS(Table13[[#This Row],[Depart]],Table13[[#This Row],[Arrive]])</f>
        <v>2</v>
      </c>
    </row>
    <row r="276" spans="1:16" x14ac:dyDescent="0.25">
      <c r="A276" t="s">
        <v>42</v>
      </c>
      <c r="B276" t="s">
        <v>43</v>
      </c>
      <c r="C276" t="s">
        <v>2223</v>
      </c>
      <c r="D276" s="1">
        <v>44015</v>
      </c>
      <c r="E276" s="1">
        <v>44017</v>
      </c>
      <c r="F276" s="1">
        <v>44003</v>
      </c>
      <c r="G276" s="2">
        <v>0.33333333333333331</v>
      </c>
      <c r="H276" s="3">
        <v>1</v>
      </c>
      <c r="I276" t="s">
        <v>22</v>
      </c>
      <c r="J276" s="12" t="s">
        <v>23</v>
      </c>
      <c r="K276">
        <v>5</v>
      </c>
      <c r="L276">
        <v>0</v>
      </c>
      <c r="M276" t="s">
        <v>19</v>
      </c>
      <c r="N276" s="6">
        <v>220</v>
      </c>
      <c r="O276">
        <f>Table13[[#This Row],[Adults]]+Table13[[#This Row],[Children]]</f>
        <v>5</v>
      </c>
      <c r="P276">
        <f>_xlfn.DAYS(Table13[[#This Row],[Depart]],Table13[[#This Row],[Arrive]])</f>
        <v>2</v>
      </c>
    </row>
    <row r="277" spans="1:16" x14ac:dyDescent="0.25">
      <c r="A277" t="s">
        <v>304</v>
      </c>
      <c r="B277" t="s">
        <v>305</v>
      </c>
      <c r="C277" t="s">
        <v>2224</v>
      </c>
      <c r="D277" s="1">
        <v>44016</v>
      </c>
      <c r="E277" s="1">
        <v>44017</v>
      </c>
      <c r="F277" s="1">
        <v>43990</v>
      </c>
      <c r="G277" s="2">
        <v>0.33333333333333331</v>
      </c>
      <c r="H277" s="3">
        <v>1</v>
      </c>
      <c r="I277" t="s">
        <v>26</v>
      </c>
      <c r="J277" s="12" t="s">
        <v>18</v>
      </c>
      <c r="K277">
        <v>2</v>
      </c>
      <c r="L277">
        <v>0</v>
      </c>
      <c r="M277" t="s">
        <v>19</v>
      </c>
      <c r="N277" s="6">
        <v>106</v>
      </c>
      <c r="O277">
        <f>Table13[[#This Row],[Adults]]+Table13[[#This Row],[Children]]</f>
        <v>2</v>
      </c>
      <c r="P277">
        <f>_xlfn.DAYS(Table13[[#This Row],[Depart]],Table13[[#This Row],[Arrive]])</f>
        <v>1</v>
      </c>
    </row>
    <row r="278" spans="1:16" x14ac:dyDescent="0.25">
      <c r="A278" t="s">
        <v>344</v>
      </c>
      <c r="B278" t="s">
        <v>345</v>
      </c>
      <c r="C278" t="s">
        <v>2226</v>
      </c>
      <c r="D278" s="1">
        <v>44016</v>
      </c>
      <c r="E278" s="1">
        <v>44017</v>
      </c>
      <c r="F278" s="1">
        <v>43997</v>
      </c>
      <c r="G278" s="2">
        <v>0.33333333333333331</v>
      </c>
      <c r="H278" s="3">
        <v>1</v>
      </c>
      <c r="I278" t="s">
        <v>22</v>
      </c>
      <c r="J278" s="12" t="s">
        <v>23</v>
      </c>
      <c r="K278">
        <v>5</v>
      </c>
      <c r="L278">
        <v>0</v>
      </c>
      <c r="M278" t="s">
        <v>19</v>
      </c>
      <c r="N278" s="6">
        <v>110</v>
      </c>
      <c r="O278">
        <f>Table13[[#This Row],[Adults]]+Table13[[#This Row],[Children]]</f>
        <v>5</v>
      </c>
      <c r="P278">
        <f>_xlfn.DAYS(Table13[[#This Row],[Depart]],Table13[[#This Row],[Arrive]])</f>
        <v>1</v>
      </c>
    </row>
    <row r="279" spans="1:16" x14ac:dyDescent="0.25">
      <c r="A279" t="s">
        <v>358</v>
      </c>
      <c r="B279" t="s">
        <v>359</v>
      </c>
      <c r="C279" t="s">
        <v>2225</v>
      </c>
      <c r="D279" s="1">
        <v>44016</v>
      </c>
      <c r="E279" s="1">
        <v>44018</v>
      </c>
      <c r="F279" s="1">
        <v>44001</v>
      </c>
      <c r="G279" s="2">
        <v>0.33333333333333331</v>
      </c>
      <c r="H279" s="3">
        <v>1</v>
      </c>
      <c r="I279" t="s">
        <v>22</v>
      </c>
      <c r="J279" s="12" t="s">
        <v>23</v>
      </c>
      <c r="K279">
        <v>5</v>
      </c>
      <c r="L279">
        <v>0</v>
      </c>
      <c r="M279" t="s">
        <v>19</v>
      </c>
      <c r="N279" s="6">
        <v>220</v>
      </c>
      <c r="O279">
        <f>Table13[[#This Row],[Adults]]+Table13[[#This Row],[Children]]</f>
        <v>5</v>
      </c>
      <c r="P279">
        <f>_xlfn.DAYS(Table13[[#This Row],[Depart]],Table13[[#This Row],[Arrive]])</f>
        <v>2</v>
      </c>
    </row>
    <row r="280" spans="1:16" x14ac:dyDescent="0.25">
      <c r="A280" t="s">
        <v>400</v>
      </c>
      <c r="B280" t="s">
        <v>401</v>
      </c>
      <c r="C280" t="s">
        <v>2226</v>
      </c>
      <c r="D280" s="1">
        <v>44017</v>
      </c>
      <c r="E280" s="1">
        <v>44018</v>
      </c>
      <c r="F280" s="1">
        <v>44008</v>
      </c>
      <c r="G280" s="2">
        <v>0.33333333333333331</v>
      </c>
      <c r="H280" s="3">
        <v>1</v>
      </c>
      <c r="I280" t="s">
        <v>22</v>
      </c>
      <c r="J280" s="12" t="s">
        <v>18</v>
      </c>
      <c r="K280">
        <v>5</v>
      </c>
      <c r="L280">
        <v>0</v>
      </c>
      <c r="M280" t="s">
        <v>19</v>
      </c>
      <c r="N280" s="6">
        <v>110</v>
      </c>
      <c r="O280">
        <f>Table13[[#This Row],[Adults]]+Table13[[#This Row],[Children]]</f>
        <v>5</v>
      </c>
      <c r="P280">
        <f>_xlfn.DAYS(Table13[[#This Row],[Depart]],Table13[[#This Row],[Arrive]])</f>
        <v>1</v>
      </c>
    </row>
    <row r="281" spans="1:16" x14ac:dyDescent="0.25">
      <c r="A281" t="s">
        <v>220</v>
      </c>
      <c r="B281" t="s">
        <v>221</v>
      </c>
      <c r="C281" t="s">
        <v>2223</v>
      </c>
      <c r="D281" s="1">
        <v>44018</v>
      </c>
      <c r="E281" s="1">
        <v>44025</v>
      </c>
      <c r="F281" s="1">
        <v>43873</v>
      </c>
      <c r="G281" s="2">
        <v>0.33333333333333331</v>
      </c>
      <c r="H281" s="3">
        <v>1</v>
      </c>
      <c r="I281" t="s">
        <v>22</v>
      </c>
      <c r="J281" s="12" t="s">
        <v>18</v>
      </c>
      <c r="K281">
        <v>2</v>
      </c>
      <c r="L281">
        <v>0</v>
      </c>
      <c r="M281" t="s">
        <v>19</v>
      </c>
      <c r="N281" s="6">
        <v>770</v>
      </c>
      <c r="O281">
        <f>Table13[[#This Row],[Adults]]+Table13[[#This Row],[Children]]</f>
        <v>2</v>
      </c>
      <c r="P281">
        <f>_xlfn.DAYS(Table13[[#This Row],[Depart]],Table13[[#This Row],[Arrive]])</f>
        <v>7</v>
      </c>
    </row>
    <row r="282" spans="1:16" x14ac:dyDescent="0.25">
      <c r="A282" t="s">
        <v>414</v>
      </c>
      <c r="B282" t="s">
        <v>415</v>
      </c>
      <c r="C282" t="s">
        <v>2224</v>
      </c>
      <c r="D282" s="1">
        <v>44018</v>
      </c>
      <c r="E282" s="1">
        <v>44019</v>
      </c>
      <c r="F282" s="1">
        <v>44011</v>
      </c>
      <c r="G282" s="2">
        <v>0.33333333333333331</v>
      </c>
      <c r="H282" s="3">
        <v>1</v>
      </c>
      <c r="I282" t="s">
        <v>26</v>
      </c>
      <c r="J282" s="12" t="s">
        <v>18</v>
      </c>
      <c r="K282">
        <v>1</v>
      </c>
      <c r="L282">
        <v>0</v>
      </c>
      <c r="M282" t="s">
        <v>19</v>
      </c>
      <c r="N282" s="6">
        <v>107</v>
      </c>
      <c r="O282">
        <f>Table13[[#This Row],[Adults]]+Table13[[#This Row],[Children]]</f>
        <v>1</v>
      </c>
      <c r="P282">
        <f>_xlfn.DAYS(Table13[[#This Row],[Depart]],Table13[[#This Row],[Arrive]])</f>
        <v>1</v>
      </c>
    </row>
    <row r="283" spans="1:16" x14ac:dyDescent="0.25">
      <c r="A283" t="s">
        <v>296</v>
      </c>
      <c r="B283" t="s">
        <v>297</v>
      </c>
      <c r="C283" t="s">
        <v>2226</v>
      </c>
      <c r="D283" s="1">
        <v>44018</v>
      </c>
      <c r="E283" s="1">
        <v>44023</v>
      </c>
      <c r="F283" s="1">
        <v>44013</v>
      </c>
      <c r="G283" s="2">
        <v>0.33333333333333331</v>
      </c>
      <c r="H283" s="3">
        <v>1</v>
      </c>
      <c r="I283" t="s">
        <v>22</v>
      </c>
      <c r="J283" s="12" t="s">
        <v>23</v>
      </c>
      <c r="K283">
        <v>6</v>
      </c>
      <c r="L283">
        <v>0</v>
      </c>
      <c r="M283" t="s">
        <v>19</v>
      </c>
      <c r="N283" s="6">
        <v>675</v>
      </c>
      <c r="O283">
        <f>Table13[[#This Row],[Adults]]+Table13[[#This Row],[Children]]</f>
        <v>6</v>
      </c>
      <c r="P283">
        <f>_xlfn.DAYS(Table13[[#This Row],[Depart]],Table13[[#This Row],[Arrive]])</f>
        <v>5</v>
      </c>
    </row>
    <row r="284" spans="1:16" x14ac:dyDescent="0.25">
      <c r="A284" t="s">
        <v>486</v>
      </c>
      <c r="B284" t="s">
        <v>487</v>
      </c>
      <c r="C284" t="s">
        <v>2224</v>
      </c>
      <c r="D284" s="1">
        <v>44018</v>
      </c>
      <c r="E284" s="1">
        <v>44021</v>
      </c>
      <c r="F284" s="1">
        <v>44015</v>
      </c>
      <c r="G284" s="2">
        <v>0.33333333333333331</v>
      </c>
      <c r="H284" s="3">
        <v>1</v>
      </c>
      <c r="I284" t="s">
        <v>22</v>
      </c>
      <c r="J284" s="12" t="s">
        <v>23</v>
      </c>
      <c r="K284">
        <v>8</v>
      </c>
      <c r="L284">
        <v>0</v>
      </c>
      <c r="M284" t="s">
        <v>19</v>
      </c>
      <c r="N284" s="6">
        <v>525</v>
      </c>
      <c r="O284">
        <f>Table13[[#This Row],[Adults]]+Table13[[#This Row],[Children]]</f>
        <v>8</v>
      </c>
      <c r="P284">
        <f>_xlfn.DAYS(Table13[[#This Row],[Depart]],Table13[[#This Row],[Arrive]])</f>
        <v>3</v>
      </c>
    </row>
    <row r="285" spans="1:16" x14ac:dyDescent="0.25">
      <c r="A285" t="s">
        <v>384</v>
      </c>
      <c r="B285" t="s">
        <v>385</v>
      </c>
      <c r="C285" t="s">
        <v>2225</v>
      </c>
      <c r="D285" s="1">
        <v>44018</v>
      </c>
      <c r="E285" s="1">
        <v>44039</v>
      </c>
      <c r="F285" s="1">
        <v>44004</v>
      </c>
      <c r="G285" s="2">
        <v>0.33333333333333331</v>
      </c>
      <c r="H285" s="3">
        <v>1</v>
      </c>
      <c r="I285" t="s">
        <v>22</v>
      </c>
      <c r="J285" s="12" t="s">
        <v>23</v>
      </c>
      <c r="K285">
        <v>5</v>
      </c>
      <c r="L285">
        <v>0</v>
      </c>
      <c r="M285" t="s">
        <v>19</v>
      </c>
      <c r="N285" s="6">
        <v>2310</v>
      </c>
      <c r="O285">
        <f>Table13[[#This Row],[Adults]]+Table13[[#This Row],[Children]]</f>
        <v>5</v>
      </c>
      <c r="P285">
        <f>_xlfn.DAYS(Table13[[#This Row],[Depart]],Table13[[#This Row],[Arrive]])</f>
        <v>21</v>
      </c>
    </row>
    <row r="286" spans="1:16" x14ac:dyDescent="0.25">
      <c r="A286" t="s">
        <v>410</v>
      </c>
      <c r="B286" t="s">
        <v>411</v>
      </c>
      <c r="C286" t="s">
        <v>2224</v>
      </c>
      <c r="D286" s="1">
        <v>44019</v>
      </c>
      <c r="E286" s="1">
        <v>44020</v>
      </c>
      <c r="F286" s="1">
        <v>44010</v>
      </c>
      <c r="G286" s="2">
        <v>0.33333333333333331</v>
      </c>
      <c r="H286" s="3">
        <v>1</v>
      </c>
      <c r="I286" t="s">
        <v>26</v>
      </c>
      <c r="J286" s="12" t="s">
        <v>18</v>
      </c>
      <c r="K286">
        <v>1</v>
      </c>
      <c r="L286">
        <v>0</v>
      </c>
      <c r="M286" t="s">
        <v>19</v>
      </c>
      <c r="N286" s="6">
        <v>107</v>
      </c>
      <c r="O286">
        <f>Table13[[#This Row],[Adults]]+Table13[[#This Row],[Children]]</f>
        <v>1</v>
      </c>
      <c r="P286">
        <f>_xlfn.DAYS(Table13[[#This Row],[Depart]],Table13[[#This Row],[Arrive]])</f>
        <v>1</v>
      </c>
    </row>
    <row r="287" spans="1:16" x14ac:dyDescent="0.25">
      <c r="A287" t="s">
        <v>452</v>
      </c>
      <c r="B287" t="s">
        <v>453</v>
      </c>
      <c r="C287" t="s">
        <v>2223</v>
      </c>
      <c r="D287" s="1">
        <v>44019</v>
      </c>
      <c r="E287" s="1">
        <v>44020</v>
      </c>
      <c r="F287" s="1">
        <v>44018</v>
      </c>
      <c r="G287" s="2">
        <v>0.33333333333333331</v>
      </c>
      <c r="H287" s="3">
        <v>1</v>
      </c>
      <c r="I287" t="s">
        <v>22</v>
      </c>
      <c r="J287" s="12" t="s">
        <v>23</v>
      </c>
      <c r="K287">
        <v>5</v>
      </c>
      <c r="L287">
        <v>0</v>
      </c>
      <c r="M287" t="s">
        <v>19</v>
      </c>
      <c r="N287" s="6">
        <v>135</v>
      </c>
      <c r="O287">
        <f>Table13[[#This Row],[Adults]]+Table13[[#This Row],[Children]]</f>
        <v>5</v>
      </c>
      <c r="P287">
        <f>_xlfn.DAYS(Table13[[#This Row],[Depart]],Table13[[#This Row],[Arrive]])</f>
        <v>1</v>
      </c>
    </row>
    <row r="288" spans="1:16" x14ac:dyDescent="0.25">
      <c r="A288" t="s">
        <v>454</v>
      </c>
      <c r="B288" t="s">
        <v>455</v>
      </c>
      <c r="C288" t="s">
        <v>2223</v>
      </c>
      <c r="D288" s="1">
        <v>44020</v>
      </c>
      <c r="E288" s="1">
        <v>44021</v>
      </c>
      <c r="F288" s="1">
        <v>44020</v>
      </c>
      <c r="G288" s="2">
        <v>0.33333333333333331</v>
      </c>
      <c r="H288" s="3">
        <v>1</v>
      </c>
      <c r="I288" t="s">
        <v>22</v>
      </c>
      <c r="J288" s="12" t="s">
        <v>23</v>
      </c>
      <c r="K288">
        <v>6</v>
      </c>
      <c r="L288">
        <v>0</v>
      </c>
      <c r="M288" t="s">
        <v>19</v>
      </c>
      <c r="N288" s="6">
        <v>135</v>
      </c>
      <c r="O288">
        <f>Table13[[#This Row],[Adults]]+Table13[[#This Row],[Children]]</f>
        <v>6</v>
      </c>
      <c r="P288">
        <f>_xlfn.DAYS(Table13[[#This Row],[Depart]],Table13[[#This Row],[Arrive]])</f>
        <v>1</v>
      </c>
    </row>
    <row r="289" spans="1:16" x14ac:dyDescent="0.25">
      <c r="A289" t="s">
        <v>454</v>
      </c>
      <c r="B289" t="s">
        <v>455</v>
      </c>
      <c r="C289" t="s">
        <v>2224</v>
      </c>
      <c r="D289" s="1">
        <v>44020</v>
      </c>
      <c r="E289" s="1">
        <v>44021</v>
      </c>
      <c r="F289" s="1">
        <v>44006</v>
      </c>
      <c r="G289" s="2">
        <v>0.33333333333333331</v>
      </c>
      <c r="H289" s="3">
        <v>1</v>
      </c>
      <c r="I289" t="s">
        <v>22</v>
      </c>
      <c r="J289" s="12" t="s">
        <v>18</v>
      </c>
      <c r="K289">
        <v>5</v>
      </c>
      <c r="L289">
        <v>0</v>
      </c>
      <c r="M289" t="s">
        <v>19</v>
      </c>
      <c r="N289" s="6">
        <v>110</v>
      </c>
      <c r="O289">
        <f>Table13[[#This Row],[Adults]]+Table13[[#This Row],[Children]]</f>
        <v>5</v>
      </c>
      <c r="P289">
        <f>_xlfn.DAYS(Table13[[#This Row],[Depart]],Table13[[#This Row],[Arrive]])</f>
        <v>1</v>
      </c>
    </row>
    <row r="290" spans="1:16" x14ac:dyDescent="0.25">
      <c r="A290" t="s">
        <v>178</v>
      </c>
      <c r="B290" t="s">
        <v>179</v>
      </c>
      <c r="C290" t="s">
        <v>2226</v>
      </c>
      <c r="D290" s="1">
        <v>44021</v>
      </c>
      <c r="E290" s="1">
        <v>44026</v>
      </c>
      <c r="F290" s="1">
        <v>43920</v>
      </c>
      <c r="G290" s="2">
        <v>0.33333333333333331</v>
      </c>
      <c r="H290" s="3">
        <v>1</v>
      </c>
      <c r="I290" t="s">
        <v>26</v>
      </c>
      <c r="J290" s="12" t="s">
        <v>18</v>
      </c>
      <c r="K290">
        <v>6</v>
      </c>
      <c r="L290">
        <v>0</v>
      </c>
      <c r="M290" t="s">
        <v>19</v>
      </c>
      <c r="N290" s="6">
        <v>531</v>
      </c>
      <c r="O290">
        <f>Table13[[#This Row],[Adults]]+Table13[[#This Row],[Children]]</f>
        <v>6</v>
      </c>
      <c r="P290">
        <f>_xlfn.DAYS(Table13[[#This Row],[Depart]],Table13[[#This Row],[Arrive]])</f>
        <v>5</v>
      </c>
    </row>
    <row r="291" spans="1:16" x14ac:dyDescent="0.25">
      <c r="A291" t="s">
        <v>440</v>
      </c>
      <c r="B291" t="s">
        <v>441</v>
      </c>
      <c r="C291" t="s">
        <v>2223</v>
      </c>
      <c r="D291" s="1">
        <v>44021</v>
      </c>
      <c r="E291" s="1">
        <v>44022</v>
      </c>
      <c r="F291" s="1">
        <v>44019</v>
      </c>
      <c r="G291" s="2">
        <v>0.33333333333333331</v>
      </c>
      <c r="H291" s="3">
        <v>1</v>
      </c>
      <c r="I291" t="s">
        <v>22</v>
      </c>
      <c r="J291" s="12" t="s">
        <v>23</v>
      </c>
      <c r="K291">
        <v>5</v>
      </c>
      <c r="L291">
        <v>0</v>
      </c>
      <c r="M291" t="s">
        <v>19</v>
      </c>
      <c r="N291" s="6">
        <v>135</v>
      </c>
      <c r="O291">
        <f>Table13[[#This Row],[Adults]]+Table13[[#This Row],[Children]]</f>
        <v>5</v>
      </c>
      <c r="P291">
        <f>_xlfn.DAYS(Table13[[#This Row],[Depart]],Table13[[#This Row],[Arrive]])</f>
        <v>1</v>
      </c>
    </row>
    <row r="292" spans="1:16" x14ac:dyDescent="0.25">
      <c r="A292" t="s">
        <v>130</v>
      </c>
      <c r="B292" t="s">
        <v>131</v>
      </c>
      <c r="C292" t="s">
        <v>2226</v>
      </c>
      <c r="D292" s="1">
        <v>44022</v>
      </c>
      <c r="E292" s="1">
        <v>44029</v>
      </c>
      <c r="F292" s="1">
        <v>43953</v>
      </c>
      <c r="G292" s="2">
        <v>0.33333333333333331</v>
      </c>
      <c r="H292" s="3">
        <v>1</v>
      </c>
      <c r="I292" t="s">
        <v>22</v>
      </c>
      <c r="J292" s="12" t="s">
        <v>18</v>
      </c>
      <c r="K292">
        <v>4</v>
      </c>
      <c r="L292">
        <v>0</v>
      </c>
      <c r="M292" t="s">
        <v>19</v>
      </c>
      <c r="N292" s="6">
        <v>770</v>
      </c>
      <c r="O292">
        <f>Table13[[#This Row],[Adults]]+Table13[[#This Row],[Children]]</f>
        <v>4</v>
      </c>
      <c r="P292">
        <f>_xlfn.DAYS(Table13[[#This Row],[Depart]],Table13[[#This Row],[Arrive]])</f>
        <v>7</v>
      </c>
    </row>
    <row r="293" spans="1:16" x14ac:dyDescent="0.25">
      <c r="A293" t="s">
        <v>400</v>
      </c>
      <c r="B293" t="s">
        <v>401</v>
      </c>
      <c r="C293" t="s">
        <v>2224</v>
      </c>
      <c r="D293" s="1">
        <v>44022</v>
      </c>
      <c r="E293" s="1">
        <v>44023</v>
      </c>
      <c r="F293" s="1">
        <v>44008</v>
      </c>
      <c r="G293" s="2">
        <v>0.33333333333333331</v>
      </c>
      <c r="H293" s="3">
        <v>1</v>
      </c>
      <c r="I293" t="s">
        <v>22</v>
      </c>
      <c r="J293" s="12" t="s">
        <v>23</v>
      </c>
      <c r="K293">
        <v>5</v>
      </c>
      <c r="L293">
        <v>0</v>
      </c>
      <c r="M293" t="s">
        <v>19</v>
      </c>
      <c r="N293" s="6">
        <v>110</v>
      </c>
      <c r="O293">
        <f>Table13[[#This Row],[Adults]]+Table13[[#This Row],[Children]]</f>
        <v>5</v>
      </c>
      <c r="P293">
        <f>_xlfn.DAYS(Table13[[#This Row],[Depart]],Table13[[#This Row],[Arrive]])</f>
        <v>1</v>
      </c>
    </row>
    <row r="294" spans="1:16" x14ac:dyDescent="0.25">
      <c r="A294" t="s">
        <v>434</v>
      </c>
      <c r="B294" t="s">
        <v>435</v>
      </c>
      <c r="C294" t="s">
        <v>2223</v>
      </c>
      <c r="D294" s="1">
        <v>44022</v>
      </c>
      <c r="E294" s="1">
        <v>44023</v>
      </c>
      <c r="F294" s="1">
        <v>44009</v>
      </c>
      <c r="G294" s="2">
        <v>0.33333333333333331</v>
      </c>
      <c r="H294" s="3">
        <v>1</v>
      </c>
      <c r="I294" t="s">
        <v>22</v>
      </c>
      <c r="J294" s="12" t="s">
        <v>18</v>
      </c>
      <c r="K294">
        <v>3</v>
      </c>
      <c r="L294">
        <v>0</v>
      </c>
      <c r="M294" t="s">
        <v>19</v>
      </c>
      <c r="N294" s="6">
        <v>135</v>
      </c>
      <c r="O294">
        <f>Table13[[#This Row],[Adults]]+Table13[[#This Row],[Children]]</f>
        <v>3</v>
      </c>
      <c r="P294">
        <f>_xlfn.DAYS(Table13[[#This Row],[Depart]],Table13[[#This Row],[Arrive]])</f>
        <v>1</v>
      </c>
    </row>
    <row r="295" spans="1:16" x14ac:dyDescent="0.25">
      <c r="A295" t="s">
        <v>436</v>
      </c>
      <c r="B295" t="s">
        <v>437</v>
      </c>
      <c r="C295" t="s">
        <v>2226</v>
      </c>
      <c r="D295" s="1">
        <v>44022</v>
      </c>
      <c r="E295" s="1">
        <v>44025</v>
      </c>
      <c r="F295" s="1">
        <v>44005</v>
      </c>
      <c r="G295" s="2">
        <v>0.33333333333333331</v>
      </c>
      <c r="H295" s="3">
        <v>1</v>
      </c>
      <c r="I295" t="s">
        <v>22</v>
      </c>
      <c r="J295" s="12" t="s">
        <v>18</v>
      </c>
      <c r="K295">
        <v>5</v>
      </c>
      <c r="L295">
        <v>0</v>
      </c>
      <c r="M295" t="s">
        <v>19</v>
      </c>
      <c r="N295" s="6">
        <v>330</v>
      </c>
      <c r="O295">
        <f>Table13[[#This Row],[Adults]]+Table13[[#This Row],[Children]]</f>
        <v>5</v>
      </c>
      <c r="P295">
        <f>_xlfn.DAYS(Table13[[#This Row],[Depart]],Table13[[#This Row],[Arrive]])</f>
        <v>3</v>
      </c>
    </row>
    <row r="296" spans="1:16" x14ac:dyDescent="0.25">
      <c r="A296" t="s">
        <v>436</v>
      </c>
      <c r="B296" t="s">
        <v>437</v>
      </c>
      <c r="C296" t="s">
        <v>2223</v>
      </c>
      <c r="D296" s="1">
        <v>44022</v>
      </c>
      <c r="E296" s="1">
        <v>44025</v>
      </c>
      <c r="F296" s="1">
        <v>44018</v>
      </c>
      <c r="G296" s="2">
        <v>0.33333333333333331</v>
      </c>
      <c r="H296" s="3">
        <v>1</v>
      </c>
      <c r="I296" t="s">
        <v>22</v>
      </c>
      <c r="J296" s="12" t="s">
        <v>23</v>
      </c>
      <c r="K296">
        <v>8</v>
      </c>
      <c r="L296">
        <v>0</v>
      </c>
      <c r="M296" t="s">
        <v>19</v>
      </c>
      <c r="N296" s="6">
        <v>525</v>
      </c>
      <c r="O296">
        <f>Table13[[#This Row],[Adults]]+Table13[[#This Row],[Children]]</f>
        <v>8</v>
      </c>
      <c r="P296">
        <f>_xlfn.DAYS(Table13[[#This Row],[Depart]],Table13[[#This Row],[Arrive]])</f>
        <v>3</v>
      </c>
    </row>
    <row r="297" spans="1:16" x14ac:dyDescent="0.25">
      <c r="A297" t="s">
        <v>386</v>
      </c>
      <c r="B297" t="s">
        <v>387</v>
      </c>
      <c r="C297" t="s">
        <v>2224</v>
      </c>
      <c r="D297" s="1">
        <v>44023</v>
      </c>
      <c r="E297" s="1">
        <v>44024</v>
      </c>
      <c r="F297" s="1">
        <v>44005</v>
      </c>
      <c r="G297" s="2">
        <v>0.33333333333333331</v>
      </c>
      <c r="H297" s="3">
        <v>1</v>
      </c>
      <c r="I297" t="s">
        <v>22</v>
      </c>
      <c r="J297" s="12" t="s">
        <v>23</v>
      </c>
      <c r="K297">
        <v>5</v>
      </c>
      <c r="L297">
        <v>0</v>
      </c>
      <c r="M297" t="s">
        <v>19</v>
      </c>
      <c r="N297" s="6">
        <v>110</v>
      </c>
      <c r="O297">
        <f>Table13[[#This Row],[Adults]]+Table13[[#This Row],[Children]]</f>
        <v>5</v>
      </c>
      <c r="P297">
        <f>_xlfn.DAYS(Table13[[#This Row],[Depart]],Table13[[#This Row],[Arrive]])</f>
        <v>1</v>
      </c>
    </row>
    <row r="298" spans="1:16" x14ac:dyDescent="0.25">
      <c r="A298" t="s">
        <v>432</v>
      </c>
      <c r="B298" t="s">
        <v>433</v>
      </c>
      <c r="C298" t="s">
        <v>2226</v>
      </c>
      <c r="D298" s="1">
        <v>44023</v>
      </c>
      <c r="E298" s="1">
        <v>44024</v>
      </c>
      <c r="F298" s="1">
        <v>44018</v>
      </c>
      <c r="G298" s="2">
        <v>0.33333333333333331</v>
      </c>
      <c r="H298" s="3">
        <v>1</v>
      </c>
      <c r="I298" t="s">
        <v>22</v>
      </c>
      <c r="J298" s="12" t="s">
        <v>18</v>
      </c>
      <c r="K298">
        <v>5</v>
      </c>
      <c r="L298">
        <v>0</v>
      </c>
      <c r="M298" t="s">
        <v>19</v>
      </c>
      <c r="N298" s="6">
        <v>135</v>
      </c>
      <c r="O298">
        <f>Table13[[#This Row],[Adults]]+Table13[[#This Row],[Children]]</f>
        <v>5</v>
      </c>
      <c r="P298">
        <f>_xlfn.DAYS(Table13[[#This Row],[Depart]],Table13[[#This Row],[Arrive]])</f>
        <v>1</v>
      </c>
    </row>
    <row r="299" spans="1:16" x14ac:dyDescent="0.25">
      <c r="A299" t="s">
        <v>432</v>
      </c>
      <c r="B299" t="s">
        <v>433</v>
      </c>
      <c r="C299" t="s">
        <v>2226</v>
      </c>
      <c r="D299" s="1">
        <v>44023</v>
      </c>
      <c r="E299" s="1">
        <v>44024</v>
      </c>
      <c r="F299" s="1">
        <v>44018</v>
      </c>
      <c r="G299" s="2">
        <v>0.33333333333333331</v>
      </c>
      <c r="H299" s="3">
        <v>1</v>
      </c>
      <c r="I299" t="s">
        <v>35</v>
      </c>
      <c r="J299" s="12" t="s">
        <v>23</v>
      </c>
      <c r="K299">
        <v>3</v>
      </c>
      <c r="L299">
        <v>0</v>
      </c>
      <c r="M299" t="s">
        <v>19</v>
      </c>
      <c r="N299" s="6">
        <v>135</v>
      </c>
      <c r="O299">
        <f>Table13[[#This Row],[Adults]]+Table13[[#This Row],[Children]]</f>
        <v>3</v>
      </c>
      <c r="P299">
        <f>_xlfn.DAYS(Table13[[#This Row],[Depart]],Table13[[#This Row],[Arrive]])</f>
        <v>1</v>
      </c>
    </row>
    <row r="300" spans="1:16" x14ac:dyDescent="0.25">
      <c r="A300" t="s">
        <v>394</v>
      </c>
      <c r="B300" t="s">
        <v>395</v>
      </c>
      <c r="C300" t="s">
        <v>2224</v>
      </c>
      <c r="D300" s="1">
        <v>44024</v>
      </c>
      <c r="E300" s="1">
        <v>44026</v>
      </c>
      <c r="F300" s="1">
        <v>44006</v>
      </c>
      <c r="G300" s="2">
        <v>0.33333333333333331</v>
      </c>
      <c r="H300" s="3">
        <v>1</v>
      </c>
      <c r="I300" t="s">
        <v>22</v>
      </c>
      <c r="J300" s="12" t="s">
        <v>23</v>
      </c>
      <c r="K300">
        <v>4</v>
      </c>
      <c r="L300">
        <v>0</v>
      </c>
      <c r="M300" t="s">
        <v>19</v>
      </c>
      <c r="N300" s="6">
        <v>220</v>
      </c>
      <c r="O300">
        <f>Table13[[#This Row],[Adults]]+Table13[[#This Row],[Children]]</f>
        <v>4</v>
      </c>
      <c r="P300">
        <f>_xlfn.DAYS(Table13[[#This Row],[Depart]],Table13[[#This Row],[Arrive]])</f>
        <v>2</v>
      </c>
    </row>
    <row r="301" spans="1:16" x14ac:dyDescent="0.25">
      <c r="A301" t="s">
        <v>456</v>
      </c>
      <c r="B301" t="s">
        <v>457</v>
      </c>
      <c r="C301" t="s">
        <v>2226</v>
      </c>
      <c r="D301" s="1">
        <v>44024</v>
      </c>
      <c r="E301" s="1">
        <v>44025</v>
      </c>
      <c r="F301" s="1">
        <v>44021</v>
      </c>
      <c r="G301" s="2">
        <v>0.33333333333333331</v>
      </c>
      <c r="H301" s="3">
        <v>1</v>
      </c>
      <c r="I301" t="s">
        <v>22</v>
      </c>
      <c r="J301" s="12" t="s">
        <v>23</v>
      </c>
      <c r="K301">
        <v>9</v>
      </c>
      <c r="L301">
        <v>0</v>
      </c>
      <c r="M301" t="s">
        <v>19</v>
      </c>
      <c r="N301" s="6">
        <v>195</v>
      </c>
      <c r="O301">
        <f>Table13[[#This Row],[Adults]]+Table13[[#This Row],[Children]]</f>
        <v>9</v>
      </c>
      <c r="P301">
        <f>_xlfn.DAYS(Table13[[#This Row],[Depart]],Table13[[#This Row],[Arrive]])</f>
        <v>1</v>
      </c>
    </row>
    <row r="302" spans="1:16" x14ac:dyDescent="0.25">
      <c r="A302" t="s">
        <v>895</v>
      </c>
      <c r="B302" t="s">
        <v>896</v>
      </c>
      <c r="C302" t="s">
        <v>2226</v>
      </c>
      <c r="D302" s="1">
        <v>44024</v>
      </c>
      <c r="E302" s="1">
        <v>44055</v>
      </c>
      <c r="F302" s="1">
        <v>44126</v>
      </c>
      <c r="G302" s="2">
        <v>0.5</v>
      </c>
      <c r="H302" s="2">
        <v>0.58333333333333337</v>
      </c>
      <c r="I302" t="s">
        <v>22</v>
      </c>
      <c r="J302" s="12" t="s">
        <v>18</v>
      </c>
      <c r="K302">
        <v>1</v>
      </c>
      <c r="L302">
        <v>0</v>
      </c>
      <c r="M302" t="s">
        <v>19</v>
      </c>
      <c r="N302" s="6">
        <v>75000</v>
      </c>
      <c r="O302">
        <f>Table13[[#This Row],[Adults]]+Table13[[#This Row],[Children]]</f>
        <v>1</v>
      </c>
      <c r="P302">
        <f>_xlfn.DAYS(Table13[[#This Row],[Depart]],Table13[[#This Row],[Arrive]])</f>
        <v>31</v>
      </c>
    </row>
    <row r="303" spans="1:16" x14ac:dyDescent="0.25">
      <c r="A303" t="s">
        <v>895</v>
      </c>
      <c r="B303" t="s">
        <v>896</v>
      </c>
      <c r="C303" t="s">
        <v>2226</v>
      </c>
      <c r="D303" s="1">
        <v>44024</v>
      </c>
      <c r="E303" s="1">
        <v>44055</v>
      </c>
      <c r="F303" s="1">
        <v>44126</v>
      </c>
      <c r="G303" s="2">
        <v>0.5</v>
      </c>
      <c r="H303" s="2">
        <v>0.58333333333333337</v>
      </c>
      <c r="I303" t="s">
        <v>22</v>
      </c>
      <c r="J303" s="12" t="s">
        <v>18</v>
      </c>
      <c r="K303">
        <v>1</v>
      </c>
      <c r="L303">
        <v>0</v>
      </c>
      <c r="M303" t="s">
        <v>19</v>
      </c>
      <c r="N303" s="6">
        <v>75000</v>
      </c>
      <c r="O303">
        <f>Table13[[#This Row],[Adults]]+Table13[[#This Row],[Children]]</f>
        <v>1</v>
      </c>
      <c r="P303">
        <f>_xlfn.DAYS(Table13[[#This Row],[Depart]],Table13[[#This Row],[Arrive]])</f>
        <v>31</v>
      </c>
    </row>
    <row r="304" spans="1:16" x14ac:dyDescent="0.25">
      <c r="A304" t="s">
        <v>951</v>
      </c>
      <c r="B304" t="s">
        <v>952</v>
      </c>
      <c r="C304" t="s">
        <v>2226</v>
      </c>
      <c r="D304" s="1">
        <v>44024</v>
      </c>
      <c r="E304" s="1">
        <v>44116</v>
      </c>
      <c r="F304" s="1">
        <v>44129</v>
      </c>
      <c r="G304" s="2">
        <v>0.5</v>
      </c>
      <c r="H304" s="2">
        <v>0.58333333333333337</v>
      </c>
      <c r="I304" t="s">
        <v>22</v>
      </c>
      <c r="J304" s="12" t="s">
        <v>18</v>
      </c>
      <c r="K304">
        <v>1</v>
      </c>
      <c r="L304">
        <v>0</v>
      </c>
      <c r="M304" t="s">
        <v>19</v>
      </c>
      <c r="N304" s="6">
        <v>390000</v>
      </c>
      <c r="O304">
        <f>Table13[[#This Row],[Adults]]+Table13[[#This Row],[Children]]</f>
        <v>1</v>
      </c>
      <c r="P304">
        <f>_xlfn.DAYS(Table13[[#This Row],[Depart]],Table13[[#This Row],[Arrive]])</f>
        <v>92</v>
      </c>
    </row>
    <row r="305" spans="1:16" x14ac:dyDescent="0.25">
      <c r="A305" t="s">
        <v>396</v>
      </c>
      <c r="B305" t="s">
        <v>397</v>
      </c>
      <c r="C305" t="s">
        <v>2226</v>
      </c>
      <c r="D305" s="1">
        <v>44025</v>
      </c>
      <c r="E305" s="1">
        <v>44027</v>
      </c>
      <c r="F305" s="1">
        <v>44007</v>
      </c>
      <c r="G305" s="2">
        <v>0.33333333333333331</v>
      </c>
      <c r="H305" s="3">
        <v>1</v>
      </c>
      <c r="I305" t="s">
        <v>22</v>
      </c>
      <c r="J305" s="12" t="s">
        <v>23</v>
      </c>
      <c r="K305">
        <v>12</v>
      </c>
      <c r="L305">
        <v>0</v>
      </c>
      <c r="M305" t="s">
        <v>19</v>
      </c>
      <c r="N305" s="6">
        <v>220</v>
      </c>
      <c r="O305">
        <f>Table13[[#This Row],[Adults]]+Table13[[#This Row],[Children]]</f>
        <v>12</v>
      </c>
      <c r="P305">
        <f>_xlfn.DAYS(Table13[[#This Row],[Depart]],Table13[[#This Row],[Arrive]])</f>
        <v>2</v>
      </c>
    </row>
    <row r="306" spans="1:16" x14ac:dyDescent="0.25">
      <c r="A306" t="s">
        <v>434</v>
      </c>
      <c r="B306" t="s">
        <v>435</v>
      </c>
      <c r="C306" t="s">
        <v>2223</v>
      </c>
      <c r="D306" s="1">
        <v>44025</v>
      </c>
      <c r="E306" s="1">
        <v>44036</v>
      </c>
      <c r="F306" s="1">
        <v>44009</v>
      </c>
      <c r="G306" s="2">
        <v>0.33333333333333331</v>
      </c>
      <c r="H306" s="3">
        <v>1</v>
      </c>
      <c r="I306" t="s">
        <v>22</v>
      </c>
      <c r="J306" s="12" t="s">
        <v>18</v>
      </c>
      <c r="K306">
        <v>3</v>
      </c>
      <c r="L306">
        <v>0</v>
      </c>
      <c r="M306" t="s">
        <v>19</v>
      </c>
      <c r="N306" s="6">
        <v>1485</v>
      </c>
      <c r="O306">
        <f>Table13[[#This Row],[Adults]]+Table13[[#This Row],[Children]]</f>
        <v>3</v>
      </c>
      <c r="P306">
        <f>_xlfn.DAYS(Table13[[#This Row],[Depart]],Table13[[#This Row],[Arrive]])</f>
        <v>11</v>
      </c>
    </row>
    <row r="307" spans="1:16" x14ac:dyDescent="0.25">
      <c r="A307" t="s">
        <v>450</v>
      </c>
      <c r="B307" t="s">
        <v>451</v>
      </c>
      <c r="C307" t="s">
        <v>2223</v>
      </c>
      <c r="D307" s="1">
        <v>44025</v>
      </c>
      <c r="E307" s="1">
        <v>44027</v>
      </c>
      <c r="F307" s="1">
        <v>44020</v>
      </c>
      <c r="G307" s="2">
        <v>0.33333333333333331</v>
      </c>
      <c r="H307" s="3">
        <v>1</v>
      </c>
      <c r="I307" t="s">
        <v>22</v>
      </c>
      <c r="J307" s="12" t="s">
        <v>23</v>
      </c>
      <c r="K307">
        <v>5</v>
      </c>
      <c r="L307">
        <v>0</v>
      </c>
      <c r="M307" t="s">
        <v>19</v>
      </c>
      <c r="N307" s="6">
        <v>270</v>
      </c>
      <c r="O307">
        <f>Table13[[#This Row],[Adults]]+Table13[[#This Row],[Children]]</f>
        <v>5</v>
      </c>
      <c r="P307">
        <f>_xlfn.DAYS(Table13[[#This Row],[Depart]],Table13[[#This Row],[Arrive]])</f>
        <v>2</v>
      </c>
    </row>
    <row r="308" spans="1:16" x14ac:dyDescent="0.25">
      <c r="A308" t="s">
        <v>486</v>
      </c>
      <c r="B308" t="s">
        <v>487</v>
      </c>
      <c r="C308" t="s">
        <v>2224</v>
      </c>
      <c r="D308" s="1">
        <v>44026</v>
      </c>
      <c r="E308" s="1">
        <v>44028</v>
      </c>
      <c r="F308" s="1">
        <v>44015</v>
      </c>
      <c r="G308" s="2">
        <v>0.33333333333333331</v>
      </c>
      <c r="H308" s="3">
        <v>1</v>
      </c>
      <c r="I308" t="s">
        <v>22</v>
      </c>
      <c r="J308" s="12" t="s">
        <v>23</v>
      </c>
      <c r="K308">
        <v>6</v>
      </c>
      <c r="L308">
        <v>0</v>
      </c>
      <c r="M308" t="s">
        <v>19</v>
      </c>
      <c r="N308" s="6">
        <v>270</v>
      </c>
      <c r="O308">
        <f>Table13[[#This Row],[Adults]]+Table13[[#This Row],[Children]]</f>
        <v>6</v>
      </c>
      <c r="P308">
        <f>_xlfn.DAYS(Table13[[#This Row],[Depart]],Table13[[#This Row],[Arrive]])</f>
        <v>2</v>
      </c>
    </row>
    <row r="309" spans="1:16" x14ac:dyDescent="0.25">
      <c r="A309" t="s">
        <v>438</v>
      </c>
      <c r="B309" t="s">
        <v>439</v>
      </c>
      <c r="C309" t="s">
        <v>2223</v>
      </c>
      <c r="D309" s="1">
        <v>44027</v>
      </c>
      <c r="E309" s="1">
        <v>44028</v>
      </c>
      <c r="F309" s="1">
        <v>44019</v>
      </c>
      <c r="G309" s="2">
        <v>0.33333333333333331</v>
      </c>
      <c r="H309" s="3">
        <v>1</v>
      </c>
      <c r="I309" t="s">
        <v>22</v>
      </c>
      <c r="J309" s="12" t="s">
        <v>23</v>
      </c>
      <c r="K309">
        <v>8</v>
      </c>
      <c r="L309">
        <v>0</v>
      </c>
      <c r="M309" t="s">
        <v>19</v>
      </c>
      <c r="N309" s="6">
        <v>175</v>
      </c>
      <c r="O309">
        <f>Table13[[#This Row],[Adults]]+Table13[[#This Row],[Children]]</f>
        <v>8</v>
      </c>
      <c r="P309">
        <f>_xlfn.DAYS(Table13[[#This Row],[Depart]],Table13[[#This Row],[Arrive]])</f>
        <v>1</v>
      </c>
    </row>
    <row r="310" spans="1:16" x14ac:dyDescent="0.25">
      <c r="A310" t="s">
        <v>438</v>
      </c>
      <c r="B310" t="s">
        <v>439</v>
      </c>
      <c r="C310" t="s">
        <v>2226</v>
      </c>
      <c r="D310" s="1">
        <v>44027</v>
      </c>
      <c r="E310" s="1">
        <v>44028</v>
      </c>
      <c r="F310" s="1">
        <v>44016</v>
      </c>
      <c r="G310" s="2">
        <v>0.33333333333333331</v>
      </c>
      <c r="H310" s="3">
        <v>1</v>
      </c>
      <c r="I310" t="s">
        <v>22</v>
      </c>
      <c r="J310" s="12" t="s">
        <v>18</v>
      </c>
      <c r="K310">
        <v>7</v>
      </c>
      <c r="L310">
        <v>0</v>
      </c>
      <c r="M310" t="s">
        <v>19</v>
      </c>
      <c r="N310" s="6">
        <v>155</v>
      </c>
      <c r="O310">
        <f>Table13[[#This Row],[Adults]]+Table13[[#This Row],[Children]]</f>
        <v>7</v>
      </c>
      <c r="P310">
        <f>_xlfn.DAYS(Table13[[#This Row],[Depart]],Table13[[#This Row],[Arrive]])</f>
        <v>1</v>
      </c>
    </row>
    <row r="311" spans="1:16" x14ac:dyDescent="0.25">
      <c r="A311" t="s">
        <v>284</v>
      </c>
      <c r="B311" t="s">
        <v>285</v>
      </c>
      <c r="C311" t="s">
        <v>2226</v>
      </c>
      <c r="D311" s="1">
        <v>44027</v>
      </c>
      <c r="E311" s="1">
        <v>44028</v>
      </c>
      <c r="F311" s="1">
        <v>44020</v>
      </c>
      <c r="G311" s="2">
        <v>0.33333333333333331</v>
      </c>
      <c r="H311" s="3">
        <v>1</v>
      </c>
      <c r="I311" t="s">
        <v>22</v>
      </c>
      <c r="J311" s="12" t="s">
        <v>23</v>
      </c>
      <c r="K311">
        <v>5</v>
      </c>
      <c r="L311">
        <v>0</v>
      </c>
      <c r="M311" t="s">
        <v>19</v>
      </c>
      <c r="N311" s="6">
        <v>135</v>
      </c>
      <c r="O311">
        <f>Table13[[#This Row],[Adults]]+Table13[[#This Row],[Children]]</f>
        <v>5</v>
      </c>
      <c r="P311">
        <f>_xlfn.DAYS(Table13[[#This Row],[Depart]],Table13[[#This Row],[Arrive]])</f>
        <v>1</v>
      </c>
    </row>
    <row r="312" spans="1:16" x14ac:dyDescent="0.25">
      <c r="A312" t="s">
        <v>432</v>
      </c>
      <c r="B312" t="s">
        <v>433</v>
      </c>
      <c r="C312" t="s">
        <v>2226</v>
      </c>
      <c r="D312" s="1">
        <v>44028</v>
      </c>
      <c r="E312" s="1">
        <v>44029</v>
      </c>
      <c r="F312" s="1">
        <v>44018</v>
      </c>
      <c r="G312" s="2">
        <v>0.33333333333333331</v>
      </c>
      <c r="H312" s="3">
        <v>1</v>
      </c>
      <c r="I312" t="s">
        <v>35</v>
      </c>
      <c r="J312" s="12" t="s">
        <v>18</v>
      </c>
      <c r="K312">
        <v>3</v>
      </c>
      <c r="L312">
        <v>0</v>
      </c>
      <c r="M312" t="s">
        <v>19</v>
      </c>
      <c r="N312" s="6">
        <v>135</v>
      </c>
      <c r="O312">
        <f>Table13[[#This Row],[Adults]]+Table13[[#This Row],[Children]]</f>
        <v>3</v>
      </c>
      <c r="P312">
        <f>_xlfn.DAYS(Table13[[#This Row],[Depart]],Table13[[#This Row],[Arrive]])</f>
        <v>1</v>
      </c>
    </row>
    <row r="313" spans="1:16" x14ac:dyDescent="0.25">
      <c r="A313" t="s">
        <v>448</v>
      </c>
      <c r="B313" t="s">
        <v>449</v>
      </c>
      <c r="C313" t="s">
        <v>2226</v>
      </c>
      <c r="D313" s="1">
        <v>44028</v>
      </c>
      <c r="E313" s="1">
        <v>44029</v>
      </c>
      <c r="F313" s="1">
        <v>44020</v>
      </c>
      <c r="G313" s="2">
        <v>0.33333333333333331</v>
      </c>
      <c r="H313" s="3">
        <v>1</v>
      </c>
      <c r="I313" t="s">
        <v>22</v>
      </c>
      <c r="J313" s="12" t="s">
        <v>23</v>
      </c>
      <c r="K313">
        <v>9</v>
      </c>
      <c r="L313">
        <v>0</v>
      </c>
      <c r="M313" t="s">
        <v>19</v>
      </c>
      <c r="N313" s="6">
        <v>195</v>
      </c>
      <c r="O313">
        <f>Table13[[#This Row],[Adults]]+Table13[[#This Row],[Children]]</f>
        <v>9</v>
      </c>
      <c r="P313">
        <f>_xlfn.DAYS(Table13[[#This Row],[Depart]],Table13[[#This Row],[Arrive]])</f>
        <v>1</v>
      </c>
    </row>
    <row r="314" spans="1:16" x14ac:dyDescent="0.25">
      <c r="A314" t="s">
        <v>470</v>
      </c>
      <c r="B314" t="s">
        <v>471</v>
      </c>
      <c r="C314" t="s">
        <v>2223</v>
      </c>
      <c r="D314" s="1">
        <v>44028</v>
      </c>
      <c r="E314" s="1">
        <v>44029</v>
      </c>
      <c r="F314" s="1">
        <v>44024</v>
      </c>
      <c r="G314" s="2">
        <v>0.58333333333333337</v>
      </c>
      <c r="H314" s="2">
        <v>0.45833333333333331</v>
      </c>
      <c r="I314" t="s">
        <v>22</v>
      </c>
      <c r="J314" s="12" t="s">
        <v>23</v>
      </c>
      <c r="K314">
        <v>6</v>
      </c>
      <c r="L314">
        <v>0</v>
      </c>
      <c r="M314" t="s">
        <v>19</v>
      </c>
      <c r="N314" s="6">
        <v>135</v>
      </c>
      <c r="O314">
        <f>Table13[[#This Row],[Adults]]+Table13[[#This Row],[Children]]</f>
        <v>6</v>
      </c>
      <c r="P314">
        <f>_xlfn.DAYS(Table13[[#This Row],[Depart]],Table13[[#This Row],[Arrive]])</f>
        <v>1</v>
      </c>
    </row>
    <row r="315" spans="1:16" x14ac:dyDescent="0.25">
      <c r="A315" t="s">
        <v>356</v>
      </c>
      <c r="B315" t="s">
        <v>357</v>
      </c>
      <c r="C315" t="s">
        <v>2226</v>
      </c>
      <c r="D315" s="1">
        <v>44029</v>
      </c>
      <c r="E315" s="1">
        <v>44039</v>
      </c>
      <c r="F315" s="1">
        <v>43848</v>
      </c>
      <c r="G315" s="2">
        <v>0.33333333333333331</v>
      </c>
      <c r="H315" s="3">
        <v>1</v>
      </c>
      <c r="I315" t="s">
        <v>17</v>
      </c>
      <c r="J315" s="12" t="s">
        <v>18</v>
      </c>
      <c r="K315">
        <v>2</v>
      </c>
      <c r="L315">
        <v>0</v>
      </c>
      <c r="M315" t="s">
        <v>19</v>
      </c>
      <c r="N315" s="6">
        <v>928.8</v>
      </c>
      <c r="O315">
        <f>Table13[[#This Row],[Adults]]+Table13[[#This Row],[Children]]</f>
        <v>2</v>
      </c>
      <c r="P315">
        <f>_xlfn.DAYS(Table13[[#This Row],[Depart]],Table13[[#This Row],[Arrive]])</f>
        <v>10</v>
      </c>
    </row>
    <row r="316" spans="1:16" x14ac:dyDescent="0.25">
      <c r="A316" t="s">
        <v>402</v>
      </c>
      <c r="B316" t="s">
        <v>403</v>
      </c>
      <c r="C316" t="s">
        <v>2224</v>
      </c>
      <c r="D316" s="1">
        <v>44029</v>
      </c>
      <c r="E316" s="1">
        <v>44031</v>
      </c>
      <c r="F316" s="1">
        <v>44009</v>
      </c>
      <c r="G316" s="2">
        <v>0.33333333333333331</v>
      </c>
      <c r="H316" s="3">
        <v>1</v>
      </c>
      <c r="I316" t="s">
        <v>22</v>
      </c>
      <c r="J316" s="12" t="s">
        <v>23</v>
      </c>
      <c r="K316">
        <v>4</v>
      </c>
      <c r="L316">
        <v>0</v>
      </c>
      <c r="M316" t="s">
        <v>19</v>
      </c>
      <c r="N316" s="6">
        <v>220</v>
      </c>
      <c r="O316">
        <f>Table13[[#This Row],[Adults]]+Table13[[#This Row],[Children]]</f>
        <v>4</v>
      </c>
      <c r="P316">
        <f>_xlfn.DAYS(Table13[[#This Row],[Depart]],Table13[[#This Row],[Arrive]])</f>
        <v>2</v>
      </c>
    </row>
    <row r="317" spans="1:16" x14ac:dyDescent="0.25">
      <c r="A317" t="s">
        <v>402</v>
      </c>
      <c r="B317" t="s">
        <v>403</v>
      </c>
      <c r="C317" t="s">
        <v>2223</v>
      </c>
      <c r="D317" s="1">
        <v>44029</v>
      </c>
      <c r="E317" s="1">
        <v>44031</v>
      </c>
      <c r="F317" s="1">
        <v>43995</v>
      </c>
      <c r="G317" s="2">
        <v>0.33333333333333331</v>
      </c>
      <c r="H317" s="3">
        <v>1</v>
      </c>
      <c r="I317" t="s">
        <v>22</v>
      </c>
      <c r="J317" s="12" t="s">
        <v>18</v>
      </c>
      <c r="K317">
        <v>6</v>
      </c>
      <c r="L317">
        <v>0</v>
      </c>
      <c r="M317" t="s">
        <v>19</v>
      </c>
      <c r="N317" s="6">
        <v>220</v>
      </c>
      <c r="O317">
        <f>Table13[[#This Row],[Adults]]+Table13[[#This Row],[Children]]</f>
        <v>6</v>
      </c>
      <c r="P317">
        <f>_xlfn.DAYS(Table13[[#This Row],[Depart]],Table13[[#This Row],[Arrive]])</f>
        <v>2</v>
      </c>
    </row>
    <row r="318" spans="1:16" x14ac:dyDescent="0.25">
      <c r="A318" t="s">
        <v>406</v>
      </c>
      <c r="B318" t="s">
        <v>407</v>
      </c>
      <c r="C318" t="s">
        <v>2226</v>
      </c>
      <c r="D318" s="1">
        <v>44029</v>
      </c>
      <c r="E318" s="1">
        <v>44031</v>
      </c>
      <c r="F318" s="1">
        <v>44009</v>
      </c>
      <c r="G318" s="2">
        <v>0.33333333333333331</v>
      </c>
      <c r="H318" s="3">
        <v>1</v>
      </c>
      <c r="I318" t="s">
        <v>22</v>
      </c>
      <c r="J318" s="12" t="s">
        <v>23</v>
      </c>
      <c r="K318">
        <v>3</v>
      </c>
      <c r="L318">
        <v>0</v>
      </c>
      <c r="M318" t="s">
        <v>19</v>
      </c>
      <c r="N318" s="6">
        <v>220</v>
      </c>
      <c r="O318">
        <f>Table13[[#This Row],[Adults]]+Table13[[#This Row],[Children]]</f>
        <v>3</v>
      </c>
      <c r="P318">
        <f>_xlfn.DAYS(Table13[[#This Row],[Depart]],Table13[[#This Row],[Arrive]])</f>
        <v>2</v>
      </c>
    </row>
    <row r="319" spans="1:16" x14ac:dyDescent="0.25">
      <c r="A319" t="s">
        <v>468</v>
      </c>
      <c r="B319" t="s">
        <v>469</v>
      </c>
      <c r="C319" t="s">
        <v>2223</v>
      </c>
      <c r="D319" s="1">
        <v>44029</v>
      </c>
      <c r="E319" s="1">
        <v>44031</v>
      </c>
      <c r="F319" s="1">
        <v>44021</v>
      </c>
      <c r="G319" s="2">
        <v>0.33333333333333331</v>
      </c>
      <c r="H319" s="3">
        <v>1</v>
      </c>
      <c r="I319" t="s">
        <v>22</v>
      </c>
      <c r="J319" s="12" t="s">
        <v>23</v>
      </c>
      <c r="K319">
        <v>6</v>
      </c>
      <c r="L319">
        <v>0</v>
      </c>
      <c r="M319" t="s">
        <v>19</v>
      </c>
      <c r="N319" s="6">
        <v>264</v>
      </c>
      <c r="O319">
        <f>Table13[[#This Row],[Adults]]+Table13[[#This Row],[Children]]</f>
        <v>6</v>
      </c>
      <c r="P319">
        <f>_xlfn.DAYS(Table13[[#This Row],[Depart]],Table13[[#This Row],[Arrive]])</f>
        <v>2</v>
      </c>
    </row>
    <row r="320" spans="1:16" x14ac:dyDescent="0.25">
      <c r="A320" t="s">
        <v>372</v>
      </c>
      <c r="B320" t="s">
        <v>373</v>
      </c>
      <c r="C320" t="s">
        <v>2224</v>
      </c>
      <c r="D320" s="1">
        <v>44031</v>
      </c>
      <c r="E320" s="1">
        <v>44032</v>
      </c>
      <c r="F320" s="1">
        <v>44001</v>
      </c>
      <c r="G320" s="2">
        <v>0.33333333333333331</v>
      </c>
      <c r="H320" s="3">
        <v>1</v>
      </c>
      <c r="I320" t="s">
        <v>22</v>
      </c>
      <c r="J320" s="12" t="s">
        <v>23</v>
      </c>
      <c r="K320">
        <v>6</v>
      </c>
      <c r="L320">
        <v>0</v>
      </c>
      <c r="M320" t="s">
        <v>19</v>
      </c>
      <c r="N320" s="6">
        <v>110</v>
      </c>
      <c r="O320">
        <f>Table13[[#This Row],[Adults]]+Table13[[#This Row],[Children]]</f>
        <v>6</v>
      </c>
      <c r="P320">
        <f>_xlfn.DAYS(Table13[[#This Row],[Depart]],Table13[[#This Row],[Arrive]])</f>
        <v>1</v>
      </c>
    </row>
    <row r="321" spans="1:16" x14ac:dyDescent="0.25">
      <c r="A321" t="s">
        <v>484</v>
      </c>
      <c r="B321" t="s">
        <v>485</v>
      </c>
      <c r="C321" t="s">
        <v>2223</v>
      </c>
      <c r="D321" s="1">
        <v>44031</v>
      </c>
      <c r="E321" s="1">
        <v>44032</v>
      </c>
      <c r="F321" s="1">
        <v>44022</v>
      </c>
      <c r="G321" s="2">
        <v>0.58333333333333337</v>
      </c>
      <c r="H321" s="2">
        <v>0.45833333333333331</v>
      </c>
      <c r="I321" t="s">
        <v>22</v>
      </c>
      <c r="J321" s="12" t="s">
        <v>23</v>
      </c>
      <c r="K321">
        <v>6</v>
      </c>
      <c r="L321">
        <v>0</v>
      </c>
      <c r="M321" t="s">
        <v>19</v>
      </c>
      <c r="N321" s="6">
        <v>135</v>
      </c>
      <c r="O321">
        <f>Table13[[#This Row],[Adults]]+Table13[[#This Row],[Children]]</f>
        <v>6</v>
      </c>
      <c r="P321">
        <f>_xlfn.DAYS(Table13[[#This Row],[Depart]],Table13[[#This Row],[Arrive]])</f>
        <v>1</v>
      </c>
    </row>
    <row r="322" spans="1:16" x14ac:dyDescent="0.25">
      <c r="A322" t="s">
        <v>242</v>
      </c>
      <c r="B322" t="s">
        <v>243</v>
      </c>
      <c r="C322" t="s">
        <v>2224</v>
      </c>
      <c r="D322" s="1">
        <v>44032</v>
      </c>
      <c r="E322" s="1">
        <v>44034</v>
      </c>
      <c r="F322" s="1">
        <v>44014</v>
      </c>
      <c r="G322" s="2">
        <v>0.33333333333333331</v>
      </c>
      <c r="H322" s="3">
        <v>1</v>
      </c>
      <c r="I322" t="s">
        <v>22</v>
      </c>
      <c r="J322" s="12" t="s">
        <v>23</v>
      </c>
      <c r="K322">
        <v>7</v>
      </c>
      <c r="L322">
        <v>0</v>
      </c>
      <c r="M322" t="s">
        <v>19</v>
      </c>
      <c r="N322" s="6">
        <v>220</v>
      </c>
      <c r="O322">
        <f>Table13[[#This Row],[Adults]]+Table13[[#This Row],[Children]]</f>
        <v>7</v>
      </c>
      <c r="P322">
        <f>_xlfn.DAYS(Table13[[#This Row],[Depart]],Table13[[#This Row],[Arrive]])</f>
        <v>2</v>
      </c>
    </row>
    <row r="323" spans="1:16" x14ac:dyDescent="0.25">
      <c r="A323" t="s">
        <v>492</v>
      </c>
      <c r="B323" t="s">
        <v>493</v>
      </c>
      <c r="C323" t="s">
        <v>2228</v>
      </c>
      <c r="D323" s="1">
        <v>44032</v>
      </c>
      <c r="E323" s="1">
        <v>44035</v>
      </c>
      <c r="F323" s="1">
        <v>44032</v>
      </c>
      <c r="G323" s="2">
        <v>0.58333333333333337</v>
      </c>
      <c r="H323" s="2">
        <v>0.45833333333333331</v>
      </c>
      <c r="I323" t="s">
        <v>22</v>
      </c>
      <c r="J323" s="12" t="s">
        <v>23</v>
      </c>
      <c r="K323">
        <v>3</v>
      </c>
      <c r="L323">
        <v>0</v>
      </c>
      <c r="M323" t="s">
        <v>19</v>
      </c>
      <c r="N323" s="6">
        <v>330</v>
      </c>
      <c r="O323">
        <f>Table13[[#This Row],[Adults]]+Table13[[#This Row],[Children]]</f>
        <v>3</v>
      </c>
      <c r="P323">
        <f>_xlfn.DAYS(Table13[[#This Row],[Depart]],Table13[[#This Row],[Arrive]])</f>
        <v>3</v>
      </c>
    </row>
    <row r="324" spans="1:16" x14ac:dyDescent="0.25">
      <c r="A324" t="s">
        <v>416</v>
      </c>
      <c r="B324" t="s">
        <v>417</v>
      </c>
      <c r="C324" t="s">
        <v>2226</v>
      </c>
      <c r="D324" s="1">
        <v>44033</v>
      </c>
      <c r="E324" s="1">
        <v>44037</v>
      </c>
      <c r="F324" s="1">
        <v>44011</v>
      </c>
      <c r="G324" s="2">
        <v>0.33333333333333331</v>
      </c>
      <c r="H324" s="3">
        <v>1</v>
      </c>
      <c r="I324" t="s">
        <v>22</v>
      </c>
      <c r="J324" s="12" t="s">
        <v>18</v>
      </c>
      <c r="K324">
        <v>2</v>
      </c>
      <c r="L324">
        <v>0</v>
      </c>
      <c r="M324" t="s">
        <v>19</v>
      </c>
      <c r="N324" s="6">
        <v>440</v>
      </c>
      <c r="O324">
        <f>Table13[[#This Row],[Adults]]+Table13[[#This Row],[Children]]</f>
        <v>2</v>
      </c>
      <c r="P324">
        <f>_xlfn.DAYS(Table13[[#This Row],[Depart]],Table13[[#This Row],[Arrive]])</f>
        <v>4</v>
      </c>
    </row>
    <row r="325" spans="1:16" x14ac:dyDescent="0.25">
      <c r="A325" t="s">
        <v>420</v>
      </c>
      <c r="B325" t="s">
        <v>421</v>
      </c>
      <c r="C325" t="s">
        <v>2226</v>
      </c>
      <c r="D325" s="1">
        <v>44033</v>
      </c>
      <c r="E325" s="1">
        <v>44034</v>
      </c>
      <c r="F325" s="1">
        <v>44014</v>
      </c>
      <c r="G325" s="2">
        <v>0.33333333333333331</v>
      </c>
      <c r="H325" s="3">
        <v>1</v>
      </c>
      <c r="I325" t="s">
        <v>22</v>
      </c>
      <c r="J325" s="12" t="s">
        <v>23</v>
      </c>
      <c r="K325">
        <v>5</v>
      </c>
      <c r="L325">
        <v>0</v>
      </c>
      <c r="M325" t="s">
        <v>19</v>
      </c>
      <c r="N325" s="6">
        <v>110</v>
      </c>
      <c r="O325">
        <f>Table13[[#This Row],[Adults]]+Table13[[#This Row],[Children]]</f>
        <v>5</v>
      </c>
      <c r="P325">
        <f>_xlfn.DAYS(Table13[[#This Row],[Depart]],Table13[[#This Row],[Arrive]])</f>
        <v>1</v>
      </c>
    </row>
    <row r="326" spans="1:16" x14ac:dyDescent="0.25">
      <c r="A326" t="s">
        <v>496</v>
      </c>
      <c r="B326" t="s">
        <v>497</v>
      </c>
      <c r="C326" t="s">
        <v>2223</v>
      </c>
      <c r="D326" s="1">
        <v>44033</v>
      </c>
      <c r="E326" s="1">
        <v>44036</v>
      </c>
      <c r="F326" s="1">
        <v>44023</v>
      </c>
      <c r="G326" s="2">
        <v>0.58333333333333337</v>
      </c>
      <c r="H326" s="2">
        <v>0.45833333333333331</v>
      </c>
      <c r="I326" t="s">
        <v>22</v>
      </c>
      <c r="J326" s="12" t="s">
        <v>23</v>
      </c>
      <c r="K326">
        <v>5</v>
      </c>
      <c r="L326">
        <v>0</v>
      </c>
      <c r="M326" t="s">
        <v>19</v>
      </c>
      <c r="N326" s="6">
        <v>405</v>
      </c>
      <c r="O326">
        <f>Table13[[#This Row],[Adults]]+Table13[[#This Row],[Children]]</f>
        <v>5</v>
      </c>
      <c r="P326">
        <f>_xlfn.DAYS(Table13[[#This Row],[Depart]],Table13[[#This Row],[Arrive]])</f>
        <v>3</v>
      </c>
    </row>
    <row r="327" spans="1:16" x14ac:dyDescent="0.25">
      <c r="A327" t="s">
        <v>266</v>
      </c>
      <c r="B327" t="s">
        <v>267</v>
      </c>
      <c r="C327" t="s">
        <v>2223</v>
      </c>
      <c r="D327" s="1">
        <v>44034</v>
      </c>
      <c r="E327" s="1">
        <v>44046</v>
      </c>
      <c r="F327" s="1">
        <v>43986</v>
      </c>
      <c r="G327" s="2">
        <v>0.33333333333333331</v>
      </c>
      <c r="H327" s="3">
        <v>1</v>
      </c>
      <c r="I327" t="s">
        <v>26</v>
      </c>
      <c r="J327" s="12" t="s">
        <v>18</v>
      </c>
      <c r="K327">
        <v>4</v>
      </c>
      <c r="L327">
        <v>0</v>
      </c>
      <c r="M327" t="s">
        <v>19</v>
      </c>
      <c r="N327" s="6">
        <v>1234</v>
      </c>
      <c r="O327">
        <f>Table13[[#This Row],[Adults]]+Table13[[#This Row],[Children]]</f>
        <v>4</v>
      </c>
      <c r="P327">
        <f>_xlfn.DAYS(Table13[[#This Row],[Depart]],Table13[[#This Row],[Arrive]])</f>
        <v>12</v>
      </c>
    </row>
    <row r="328" spans="1:16" x14ac:dyDescent="0.25">
      <c r="A328" t="s">
        <v>442</v>
      </c>
      <c r="B328" t="s">
        <v>443</v>
      </c>
      <c r="C328" t="s">
        <v>2226</v>
      </c>
      <c r="D328" s="1">
        <v>44034</v>
      </c>
      <c r="E328" s="1">
        <v>44037</v>
      </c>
      <c r="F328" s="1">
        <v>44019</v>
      </c>
      <c r="G328" s="2">
        <v>0.33333333333333331</v>
      </c>
      <c r="H328" s="3">
        <v>1</v>
      </c>
      <c r="I328" t="s">
        <v>26</v>
      </c>
      <c r="J328" s="12" t="s">
        <v>18</v>
      </c>
      <c r="K328">
        <v>1</v>
      </c>
      <c r="L328">
        <v>0</v>
      </c>
      <c r="M328" t="s">
        <v>19</v>
      </c>
      <c r="N328" s="6">
        <v>391</v>
      </c>
      <c r="O328">
        <f>Table13[[#This Row],[Adults]]+Table13[[#This Row],[Children]]</f>
        <v>1</v>
      </c>
      <c r="P328">
        <f>_xlfn.DAYS(Table13[[#This Row],[Depart]],Table13[[#This Row],[Arrive]])</f>
        <v>3</v>
      </c>
    </row>
    <row r="329" spans="1:16" x14ac:dyDescent="0.25">
      <c r="A329" t="s">
        <v>460</v>
      </c>
      <c r="B329" t="s">
        <v>461</v>
      </c>
      <c r="C329" t="s">
        <v>2224</v>
      </c>
      <c r="D329" s="1">
        <v>44034</v>
      </c>
      <c r="E329" s="1">
        <v>44035</v>
      </c>
      <c r="F329" s="1">
        <v>44021</v>
      </c>
      <c r="G329" s="2">
        <v>0.33333333333333331</v>
      </c>
      <c r="H329" s="3">
        <v>1</v>
      </c>
      <c r="I329" t="s">
        <v>22</v>
      </c>
      <c r="J329" s="12" t="s">
        <v>18</v>
      </c>
      <c r="K329">
        <v>1</v>
      </c>
      <c r="L329">
        <v>0</v>
      </c>
      <c r="M329" t="s">
        <v>19</v>
      </c>
      <c r="N329" s="6">
        <v>65000</v>
      </c>
      <c r="O329">
        <f>Table13[[#This Row],[Adults]]+Table13[[#This Row],[Children]]</f>
        <v>1</v>
      </c>
      <c r="P329">
        <f>_xlfn.DAYS(Table13[[#This Row],[Depart]],Table13[[#This Row],[Arrive]])</f>
        <v>1</v>
      </c>
    </row>
    <row r="330" spans="1:16" x14ac:dyDescent="0.25">
      <c r="A330" t="s">
        <v>460</v>
      </c>
      <c r="B330" t="s">
        <v>461</v>
      </c>
      <c r="C330" t="s">
        <v>2226</v>
      </c>
      <c r="D330" s="1">
        <v>44034</v>
      </c>
      <c r="E330" s="1">
        <v>44035</v>
      </c>
      <c r="F330" s="1">
        <v>44021</v>
      </c>
      <c r="G330" s="2">
        <v>0.33333333333333331</v>
      </c>
      <c r="H330" s="3">
        <v>1</v>
      </c>
      <c r="I330" t="s">
        <v>22</v>
      </c>
      <c r="J330" s="12" t="s">
        <v>18</v>
      </c>
      <c r="K330">
        <v>6</v>
      </c>
      <c r="L330">
        <v>0</v>
      </c>
      <c r="M330" t="s">
        <v>19</v>
      </c>
      <c r="N330" s="6">
        <v>135</v>
      </c>
      <c r="O330">
        <f>Table13[[#This Row],[Adults]]+Table13[[#This Row],[Children]]</f>
        <v>6</v>
      </c>
      <c r="P330">
        <f>_xlfn.DAYS(Table13[[#This Row],[Depart]],Table13[[#This Row],[Arrive]])</f>
        <v>1</v>
      </c>
    </row>
    <row r="331" spans="1:16" x14ac:dyDescent="0.25">
      <c r="A331" t="s">
        <v>296</v>
      </c>
      <c r="B331" t="s">
        <v>297</v>
      </c>
      <c r="C331" t="s">
        <v>2226</v>
      </c>
      <c r="D331" s="1">
        <v>44034</v>
      </c>
      <c r="E331" s="1">
        <v>44037</v>
      </c>
      <c r="F331" s="1">
        <v>44024</v>
      </c>
      <c r="G331" s="2">
        <v>0.33333333333333331</v>
      </c>
      <c r="H331" s="3">
        <v>1</v>
      </c>
      <c r="I331" t="s">
        <v>22</v>
      </c>
      <c r="J331" s="12" t="s">
        <v>23</v>
      </c>
      <c r="K331">
        <v>5</v>
      </c>
      <c r="L331">
        <v>0</v>
      </c>
      <c r="M331" t="s">
        <v>19</v>
      </c>
      <c r="N331" s="6">
        <v>405</v>
      </c>
      <c r="O331">
        <f>Table13[[#This Row],[Adults]]+Table13[[#This Row],[Children]]</f>
        <v>5</v>
      </c>
      <c r="P331">
        <f>_xlfn.DAYS(Table13[[#This Row],[Depart]],Table13[[#This Row],[Arrive]])</f>
        <v>3</v>
      </c>
    </row>
    <row r="332" spans="1:16" x14ac:dyDescent="0.25">
      <c r="A332" t="s">
        <v>476</v>
      </c>
      <c r="B332" t="s">
        <v>477</v>
      </c>
      <c r="C332" t="s">
        <v>2224</v>
      </c>
      <c r="D332" s="1">
        <v>44034</v>
      </c>
      <c r="E332" s="1">
        <v>44035</v>
      </c>
      <c r="F332" s="1">
        <v>44026</v>
      </c>
      <c r="G332" s="2">
        <v>0.33333333333333331</v>
      </c>
      <c r="H332" s="3">
        <v>1</v>
      </c>
      <c r="I332" t="s">
        <v>22</v>
      </c>
      <c r="J332" s="12" t="s">
        <v>23</v>
      </c>
      <c r="K332">
        <v>6</v>
      </c>
      <c r="L332">
        <v>0</v>
      </c>
      <c r="M332" t="s">
        <v>19</v>
      </c>
      <c r="N332" s="6">
        <v>135</v>
      </c>
      <c r="O332">
        <f>Table13[[#This Row],[Adults]]+Table13[[#This Row],[Children]]</f>
        <v>6</v>
      </c>
      <c r="P332">
        <f>_xlfn.DAYS(Table13[[#This Row],[Depart]],Table13[[#This Row],[Arrive]])</f>
        <v>1</v>
      </c>
    </row>
    <row r="333" spans="1:16" x14ac:dyDescent="0.25">
      <c r="A333" t="s">
        <v>372</v>
      </c>
      <c r="B333" t="s">
        <v>373</v>
      </c>
      <c r="C333" t="s">
        <v>2224</v>
      </c>
      <c r="D333" s="1">
        <v>44035</v>
      </c>
      <c r="E333" s="1">
        <v>44041</v>
      </c>
      <c r="F333" s="1">
        <v>44004</v>
      </c>
      <c r="G333" s="2">
        <v>0.33333333333333331</v>
      </c>
      <c r="H333" s="3">
        <v>1</v>
      </c>
      <c r="I333" t="s">
        <v>22</v>
      </c>
      <c r="J333" s="12" t="s">
        <v>23</v>
      </c>
      <c r="K333">
        <v>5</v>
      </c>
      <c r="L333">
        <v>0</v>
      </c>
      <c r="M333" t="s">
        <v>19</v>
      </c>
      <c r="N333" s="6">
        <v>810</v>
      </c>
      <c r="O333">
        <f>Table13[[#This Row],[Adults]]+Table13[[#This Row],[Children]]</f>
        <v>5</v>
      </c>
      <c r="P333">
        <f>_xlfn.DAYS(Table13[[#This Row],[Depart]],Table13[[#This Row],[Arrive]])</f>
        <v>6</v>
      </c>
    </row>
    <row r="334" spans="1:16" x14ac:dyDescent="0.25">
      <c r="A334" t="s">
        <v>498</v>
      </c>
      <c r="B334" t="s">
        <v>499</v>
      </c>
      <c r="C334" t="s">
        <v>2228</v>
      </c>
      <c r="D334" s="1">
        <v>44035</v>
      </c>
      <c r="E334" s="1">
        <v>44037</v>
      </c>
      <c r="F334" s="1">
        <v>44033</v>
      </c>
      <c r="G334" s="2">
        <v>0.58333333333333337</v>
      </c>
      <c r="H334" s="2">
        <v>0.45833333333333331</v>
      </c>
      <c r="I334" t="s">
        <v>22</v>
      </c>
      <c r="J334" s="12" t="s">
        <v>23</v>
      </c>
      <c r="K334">
        <v>3</v>
      </c>
      <c r="L334">
        <v>2</v>
      </c>
      <c r="M334" t="s">
        <v>19</v>
      </c>
      <c r="N334" s="6">
        <v>220</v>
      </c>
      <c r="O334">
        <f>Table13[[#This Row],[Adults]]+Table13[[#This Row],[Children]]</f>
        <v>5</v>
      </c>
      <c r="P334">
        <f>_xlfn.DAYS(Table13[[#This Row],[Depart]],Table13[[#This Row],[Arrive]])</f>
        <v>2</v>
      </c>
    </row>
    <row r="335" spans="1:16" x14ac:dyDescent="0.25">
      <c r="A335" t="s">
        <v>472</v>
      </c>
      <c r="B335" t="s">
        <v>473</v>
      </c>
      <c r="C335" t="s">
        <v>2226</v>
      </c>
      <c r="D335" s="1">
        <v>44036</v>
      </c>
      <c r="E335" s="1">
        <v>44037</v>
      </c>
      <c r="F335" s="1">
        <v>44020</v>
      </c>
      <c r="G335" s="2">
        <v>0.33333333333333331</v>
      </c>
      <c r="H335" s="3">
        <v>1</v>
      </c>
      <c r="I335" t="s">
        <v>22</v>
      </c>
      <c r="J335" s="12" t="s">
        <v>18</v>
      </c>
      <c r="K335">
        <v>6</v>
      </c>
      <c r="L335">
        <v>0</v>
      </c>
      <c r="M335" t="s">
        <v>19</v>
      </c>
      <c r="N335" s="6">
        <v>135</v>
      </c>
      <c r="O335">
        <f>Table13[[#This Row],[Adults]]+Table13[[#This Row],[Children]]</f>
        <v>6</v>
      </c>
      <c r="P335">
        <f>_xlfn.DAYS(Table13[[#This Row],[Depart]],Table13[[#This Row],[Arrive]])</f>
        <v>1</v>
      </c>
    </row>
    <row r="336" spans="1:16" x14ac:dyDescent="0.25">
      <c r="A336" t="s">
        <v>336</v>
      </c>
      <c r="B336" t="s">
        <v>337</v>
      </c>
      <c r="C336" t="s">
        <v>2223</v>
      </c>
      <c r="D336" s="1">
        <v>44037</v>
      </c>
      <c r="E336" s="1">
        <v>44038</v>
      </c>
      <c r="F336" s="1">
        <v>43996</v>
      </c>
      <c r="G336" s="2">
        <v>0.33333333333333331</v>
      </c>
      <c r="H336" s="3">
        <v>1</v>
      </c>
      <c r="I336" t="s">
        <v>22</v>
      </c>
      <c r="J336" s="12" t="s">
        <v>23</v>
      </c>
      <c r="K336">
        <v>5</v>
      </c>
      <c r="L336">
        <v>0</v>
      </c>
      <c r="M336" t="s">
        <v>19</v>
      </c>
      <c r="N336" s="6">
        <v>110</v>
      </c>
      <c r="O336">
        <f>Table13[[#This Row],[Adults]]+Table13[[#This Row],[Children]]</f>
        <v>5</v>
      </c>
      <c r="P336">
        <f>_xlfn.DAYS(Table13[[#This Row],[Depart]],Table13[[#This Row],[Arrive]])</f>
        <v>1</v>
      </c>
    </row>
    <row r="337" spans="1:16" x14ac:dyDescent="0.25">
      <c r="A337" t="s">
        <v>378</v>
      </c>
      <c r="B337" t="s">
        <v>379</v>
      </c>
      <c r="C337" t="s">
        <v>2226</v>
      </c>
      <c r="D337" s="1">
        <v>44037</v>
      </c>
      <c r="E337" s="1">
        <v>44039</v>
      </c>
      <c r="F337" s="1">
        <v>44004</v>
      </c>
      <c r="G337" s="2">
        <v>0.33333333333333331</v>
      </c>
      <c r="H337" s="3">
        <v>1</v>
      </c>
      <c r="I337" t="s">
        <v>22</v>
      </c>
      <c r="J337" s="12" t="s">
        <v>23</v>
      </c>
      <c r="K337">
        <v>4</v>
      </c>
      <c r="L337">
        <v>0</v>
      </c>
      <c r="M337" t="s">
        <v>19</v>
      </c>
      <c r="N337" s="6">
        <v>220</v>
      </c>
      <c r="O337">
        <f>Table13[[#This Row],[Adults]]+Table13[[#This Row],[Children]]</f>
        <v>4</v>
      </c>
      <c r="P337">
        <f>_xlfn.DAYS(Table13[[#This Row],[Depart]],Table13[[#This Row],[Arrive]])</f>
        <v>2</v>
      </c>
    </row>
    <row r="338" spans="1:16" x14ac:dyDescent="0.25">
      <c r="A338" t="s">
        <v>378</v>
      </c>
      <c r="B338" t="s">
        <v>379</v>
      </c>
      <c r="C338" t="s">
        <v>2224</v>
      </c>
      <c r="D338" s="1">
        <v>44037</v>
      </c>
      <c r="E338" s="1">
        <v>44039</v>
      </c>
      <c r="F338" s="1">
        <v>44000</v>
      </c>
      <c r="G338" s="2">
        <v>0.33333333333333331</v>
      </c>
      <c r="H338" s="3">
        <v>1</v>
      </c>
      <c r="I338" t="s">
        <v>22</v>
      </c>
      <c r="J338" s="12" t="s">
        <v>18</v>
      </c>
      <c r="K338">
        <v>9</v>
      </c>
      <c r="L338">
        <v>0</v>
      </c>
      <c r="M338" t="s">
        <v>19</v>
      </c>
      <c r="N338" s="6">
        <v>220</v>
      </c>
      <c r="O338">
        <f>Table13[[#This Row],[Adults]]+Table13[[#This Row],[Children]]</f>
        <v>9</v>
      </c>
      <c r="P338">
        <f>_xlfn.DAYS(Table13[[#This Row],[Depart]],Table13[[#This Row],[Arrive]])</f>
        <v>2</v>
      </c>
    </row>
    <row r="339" spans="1:16" x14ac:dyDescent="0.25">
      <c r="A339" t="s">
        <v>500</v>
      </c>
      <c r="B339" t="s">
        <v>501</v>
      </c>
      <c r="C339" t="s">
        <v>2228</v>
      </c>
      <c r="D339" s="1">
        <v>44037</v>
      </c>
      <c r="E339" s="1">
        <v>44038</v>
      </c>
      <c r="F339" s="1">
        <v>44034</v>
      </c>
      <c r="G339" s="2">
        <v>0.58333333333333337</v>
      </c>
      <c r="H339" s="2">
        <v>0.45833333333333331</v>
      </c>
      <c r="I339" t="s">
        <v>22</v>
      </c>
      <c r="J339" s="12" t="s">
        <v>23</v>
      </c>
      <c r="K339">
        <v>6</v>
      </c>
      <c r="L339">
        <v>0</v>
      </c>
      <c r="M339" t="s">
        <v>19</v>
      </c>
      <c r="N339" s="6">
        <v>110</v>
      </c>
      <c r="O339">
        <f>Table13[[#This Row],[Adults]]+Table13[[#This Row],[Children]]</f>
        <v>6</v>
      </c>
      <c r="P339">
        <f>_xlfn.DAYS(Table13[[#This Row],[Depart]],Table13[[#This Row],[Arrive]])</f>
        <v>1</v>
      </c>
    </row>
    <row r="340" spans="1:16" x14ac:dyDescent="0.25">
      <c r="A340" t="s">
        <v>434</v>
      </c>
      <c r="B340" t="s">
        <v>435</v>
      </c>
      <c r="C340" t="s">
        <v>2223</v>
      </c>
      <c r="D340" s="1">
        <v>44038</v>
      </c>
      <c r="E340" s="1">
        <v>44044</v>
      </c>
      <c r="F340" s="1">
        <v>44009</v>
      </c>
      <c r="G340" s="2">
        <v>0.33333333333333331</v>
      </c>
      <c r="H340" s="3">
        <v>1</v>
      </c>
      <c r="I340" t="s">
        <v>22</v>
      </c>
      <c r="J340" s="12" t="s">
        <v>18</v>
      </c>
      <c r="K340">
        <v>5</v>
      </c>
      <c r="L340">
        <v>0</v>
      </c>
      <c r="M340" t="s">
        <v>19</v>
      </c>
      <c r="N340" s="6">
        <v>660</v>
      </c>
      <c r="O340">
        <f>Table13[[#This Row],[Adults]]+Table13[[#This Row],[Children]]</f>
        <v>5</v>
      </c>
      <c r="P340">
        <f>_xlfn.DAYS(Table13[[#This Row],[Depart]],Table13[[#This Row],[Arrive]])</f>
        <v>6</v>
      </c>
    </row>
    <row r="341" spans="1:16" x14ac:dyDescent="0.25">
      <c r="A341" t="s">
        <v>474</v>
      </c>
      <c r="B341" t="s">
        <v>475</v>
      </c>
      <c r="C341" t="s">
        <v>2223</v>
      </c>
      <c r="D341" s="1">
        <v>44038</v>
      </c>
      <c r="E341" s="1">
        <v>44039</v>
      </c>
      <c r="F341" s="1">
        <v>44025</v>
      </c>
      <c r="G341" s="2">
        <v>0.58333333333333337</v>
      </c>
      <c r="H341" s="2">
        <v>0.45833333333333331</v>
      </c>
      <c r="I341" t="s">
        <v>22</v>
      </c>
      <c r="J341" s="12" t="s">
        <v>23</v>
      </c>
      <c r="K341">
        <v>5</v>
      </c>
      <c r="L341">
        <v>0</v>
      </c>
      <c r="M341" t="s">
        <v>19</v>
      </c>
      <c r="N341" s="6">
        <v>135</v>
      </c>
      <c r="O341">
        <f>Table13[[#This Row],[Adults]]+Table13[[#This Row],[Children]]</f>
        <v>5</v>
      </c>
      <c r="P341">
        <f>_xlfn.DAYS(Table13[[#This Row],[Depart]],Table13[[#This Row],[Arrive]])</f>
        <v>1</v>
      </c>
    </row>
    <row r="342" spans="1:16" x14ac:dyDescent="0.25">
      <c r="A342" t="s">
        <v>296</v>
      </c>
      <c r="B342" t="s">
        <v>297</v>
      </c>
      <c r="C342" t="s">
        <v>2228</v>
      </c>
      <c r="D342" s="1">
        <v>44038</v>
      </c>
      <c r="E342" s="1">
        <v>44041</v>
      </c>
      <c r="F342" s="1">
        <v>44036</v>
      </c>
      <c r="G342" s="2">
        <v>0.58333333333333337</v>
      </c>
      <c r="H342" s="2">
        <v>0.45833333333333331</v>
      </c>
      <c r="I342" t="s">
        <v>22</v>
      </c>
      <c r="J342" s="12" t="s">
        <v>23</v>
      </c>
      <c r="K342">
        <v>5</v>
      </c>
      <c r="L342">
        <v>0</v>
      </c>
      <c r="M342" t="s">
        <v>19</v>
      </c>
      <c r="N342" s="6">
        <v>330</v>
      </c>
      <c r="O342">
        <f>Table13[[#This Row],[Adults]]+Table13[[#This Row],[Children]]</f>
        <v>5</v>
      </c>
      <c r="P342">
        <f>_xlfn.DAYS(Table13[[#This Row],[Depart]],Table13[[#This Row],[Arrive]])</f>
        <v>3</v>
      </c>
    </row>
    <row r="343" spans="1:16" x14ac:dyDescent="0.25">
      <c r="A343" t="s">
        <v>512</v>
      </c>
      <c r="B343" t="s">
        <v>513</v>
      </c>
      <c r="C343" t="s">
        <v>2225</v>
      </c>
      <c r="D343" s="1">
        <v>44038</v>
      </c>
      <c r="E343" s="1">
        <v>44039</v>
      </c>
      <c r="F343" s="1">
        <v>44038</v>
      </c>
      <c r="G343" s="2">
        <v>0.33333333333333331</v>
      </c>
      <c r="H343" s="3">
        <v>1</v>
      </c>
      <c r="I343" t="s">
        <v>22</v>
      </c>
      <c r="J343" s="12" t="s">
        <v>18</v>
      </c>
      <c r="K343">
        <v>2</v>
      </c>
      <c r="L343">
        <v>0</v>
      </c>
      <c r="M343" t="s">
        <v>19</v>
      </c>
      <c r="N343" s="6">
        <v>110</v>
      </c>
      <c r="O343">
        <f>Table13[[#This Row],[Adults]]+Table13[[#This Row],[Children]]</f>
        <v>2</v>
      </c>
      <c r="P343">
        <f>_xlfn.DAYS(Table13[[#This Row],[Depart]],Table13[[#This Row],[Arrive]])</f>
        <v>1</v>
      </c>
    </row>
    <row r="344" spans="1:16" x14ac:dyDescent="0.25">
      <c r="A344" t="s">
        <v>418</v>
      </c>
      <c r="B344" t="s">
        <v>419</v>
      </c>
      <c r="C344" t="s">
        <v>2226</v>
      </c>
      <c r="D344" s="1">
        <v>44039</v>
      </c>
      <c r="E344" s="1">
        <v>44040</v>
      </c>
      <c r="F344" s="1">
        <v>44013</v>
      </c>
      <c r="G344" s="2">
        <v>0.33333333333333331</v>
      </c>
      <c r="H344" s="3">
        <v>1</v>
      </c>
      <c r="I344" t="s">
        <v>22</v>
      </c>
      <c r="J344" s="12" t="s">
        <v>23</v>
      </c>
      <c r="K344">
        <v>9</v>
      </c>
      <c r="L344">
        <v>0</v>
      </c>
      <c r="M344" t="s">
        <v>19</v>
      </c>
      <c r="N344" s="6">
        <v>110</v>
      </c>
      <c r="O344">
        <f>Table13[[#This Row],[Adults]]+Table13[[#This Row],[Children]]</f>
        <v>9</v>
      </c>
      <c r="P344">
        <f>_xlfn.DAYS(Table13[[#This Row],[Depart]],Table13[[#This Row],[Arrive]])</f>
        <v>1</v>
      </c>
    </row>
    <row r="345" spans="1:16" x14ac:dyDescent="0.25">
      <c r="A345" t="s">
        <v>446</v>
      </c>
      <c r="B345" t="s">
        <v>447</v>
      </c>
      <c r="C345" t="s">
        <v>2223</v>
      </c>
      <c r="D345" s="1">
        <v>44039</v>
      </c>
      <c r="E345" s="1">
        <v>44043</v>
      </c>
      <c r="F345" s="1">
        <v>44020</v>
      </c>
      <c r="G345" s="2">
        <v>0.33333333333333331</v>
      </c>
      <c r="H345" s="3">
        <v>1</v>
      </c>
      <c r="I345" t="s">
        <v>22</v>
      </c>
      <c r="J345" s="12" t="s">
        <v>23</v>
      </c>
      <c r="K345">
        <v>7</v>
      </c>
      <c r="L345">
        <v>0</v>
      </c>
      <c r="M345" t="s">
        <v>19</v>
      </c>
      <c r="N345" s="6">
        <v>620</v>
      </c>
      <c r="O345">
        <f>Table13[[#This Row],[Adults]]+Table13[[#This Row],[Children]]</f>
        <v>7</v>
      </c>
      <c r="P345">
        <f>_xlfn.DAYS(Table13[[#This Row],[Depart]],Table13[[#This Row],[Arrive]])</f>
        <v>4</v>
      </c>
    </row>
    <row r="346" spans="1:16" x14ac:dyDescent="0.25">
      <c r="A346" t="s">
        <v>514</v>
      </c>
      <c r="B346" t="s">
        <v>515</v>
      </c>
      <c r="C346" t="s">
        <v>2225</v>
      </c>
      <c r="D346" s="1">
        <v>44039</v>
      </c>
      <c r="E346" s="1">
        <v>44040</v>
      </c>
      <c r="F346" s="1">
        <v>44037</v>
      </c>
      <c r="G346" s="2">
        <v>0.33333333333333331</v>
      </c>
      <c r="H346" s="3">
        <v>1</v>
      </c>
      <c r="I346" t="s">
        <v>22</v>
      </c>
      <c r="J346" s="12" t="s">
        <v>18</v>
      </c>
      <c r="K346">
        <v>5</v>
      </c>
      <c r="L346">
        <v>0</v>
      </c>
      <c r="M346" t="s">
        <v>19</v>
      </c>
      <c r="N346" s="6">
        <v>110</v>
      </c>
      <c r="O346">
        <f>Table13[[#This Row],[Adults]]+Table13[[#This Row],[Children]]</f>
        <v>5</v>
      </c>
      <c r="P346">
        <f>_xlfn.DAYS(Table13[[#This Row],[Depart]],Table13[[#This Row],[Arrive]])</f>
        <v>1</v>
      </c>
    </row>
    <row r="347" spans="1:16" x14ac:dyDescent="0.25">
      <c r="A347" t="s">
        <v>376</v>
      </c>
      <c r="B347" t="s">
        <v>377</v>
      </c>
      <c r="C347" t="s">
        <v>2226</v>
      </c>
      <c r="D347" s="1">
        <v>44040</v>
      </c>
      <c r="E347" s="1">
        <v>44042</v>
      </c>
      <c r="F347" s="1">
        <v>43996</v>
      </c>
      <c r="G347" s="2">
        <v>0.33333333333333331</v>
      </c>
      <c r="H347" s="3">
        <v>1</v>
      </c>
      <c r="I347" t="s">
        <v>22</v>
      </c>
      <c r="J347" s="12" t="s">
        <v>23</v>
      </c>
      <c r="K347">
        <v>6</v>
      </c>
      <c r="L347">
        <v>0</v>
      </c>
      <c r="M347" t="s">
        <v>19</v>
      </c>
      <c r="N347" s="6">
        <v>220</v>
      </c>
      <c r="O347">
        <f>Table13[[#This Row],[Adults]]+Table13[[#This Row],[Children]]</f>
        <v>6</v>
      </c>
      <c r="P347">
        <f>_xlfn.DAYS(Table13[[#This Row],[Depart]],Table13[[#This Row],[Arrive]])</f>
        <v>2</v>
      </c>
    </row>
    <row r="348" spans="1:16" x14ac:dyDescent="0.25">
      <c r="A348" t="s">
        <v>296</v>
      </c>
      <c r="B348" t="s">
        <v>297</v>
      </c>
      <c r="C348" t="s">
        <v>2225</v>
      </c>
      <c r="D348" s="1">
        <v>44041</v>
      </c>
      <c r="E348" s="1">
        <v>44044</v>
      </c>
      <c r="F348" s="1">
        <v>44038</v>
      </c>
      <c r="G348" s="2">
        <v>0.33333333333333331</v>
      </c>
      <c r="H348" s="3">
        <v>1</v>
      </c>
      <c r="I348" t="s">
        <v>22</v>
      </c>
      <c r="J348" s="12" t="s">
        <v>23</v>
      </c>
      <c r="K348">
        <v>5</v>
      </c>
      <c r="L348">
        <v>0</v>
      </c>
      <c r="M348" t="s">
        <v>19</v>
      </c>
      <c r="N348" s="6">
        <v>330</v>
      </c>
      <c r="O348">
        <f>Table13[[#This Row],[Adults]]+Table13[[#This Row],[Children]]</f>
        <v>5</v>
      </c>
      <c r="P348">
        <f>_xlfn.DAYS(Table13[[#This Row],[Depart]],Table13[[#This Row],[Arrive]])</f>
        <v>3</v>
      </c>
    </row>
    <row r="349" spans="1:16" x14ac:dyDescent="0.25">
      <c r="A349" t="s">
        <v>404</v>
      </c>
      <c r="B349" t="s">
        <v>405</v>
      </c>
      <c r="C349" t="s">
        <v>2223</v>
      </c>
      <c r="D349" s="1">
        <v>44042</v>
      </c>
      <c r="E349" s="1">
        <v>44045</v>
      </c>
      <c r="F349" s="1">
        <v>43995</v>
      </c>
      <c r="G349" s="2">
        <v>0.33333333333333331</v>
      </c>
      <c r="H349" s="3">
        <v>1</v>
      </c>
      <c r="I349" t="s">
        <v>22</v>
      </c>
      <c r="J349" s="12" t="s">
        <v>18</v>
      </c>
      <c r="K349">
        <v>5</v>
      </c>
      <c r="L349">
        <v>0</v>
      </c>
      <c r="M349" t="s">
        <v>19</v>
      </c>
      <c r="N349" s="6">
        <v>330</v>
      </c>
      <c r="O349">
        <f>Table13[[#This Row],[Adults]]+Table13[[#This Row],[Children]]</f>
        <v>5</v>
      </c>
      <c r="P349">
        <f>_xlfn.DAYS(Table13[[#This Row],[Depart]],Table13[[#This Row],[Arrive]])</f>
        <v>3</v>
      </c>
    </row>
    <row r="350" spans="1:16" x14ac:dyDescent="0.25">
      <c r="A350" t="s">
        <v>416</v>
      </c>
      <c r="B350" t="s">
        <v>417</v>
      </c>
      <c r="C350" t="s">
        <v>2228</v>
      </c>
      <c r="D350" s="1">
        <v>44042</v>
      </c>
      <c r="E350" s="1">
        <v>44056</v>
      </c>
      <c r="F350" s="1">
        <v>44011</v>
      </c>
      <c r="G350" s="2">
        <v>0.58333333333333337</v>
      </c>
      <c r="H350" s="2">
        <v>0.45833333333333331</v>
      </c>
      <c r="I350" t="s">
        <v>22</v>
      </c>
      <c r="J350" s="12" t="s">
        <v>18</v>
      </c>
      <c r="K350">
        <v>2</v>
      </c>
      <c r="L350">
        <v>0</v>
      </c>
      <c r="M350" t="s">
        <v>19</v>
      </c>
      <c r="N350" s="6">
        <v>1540</v>
      </c>
      <c r="O350">
        <f>Table13[[#This Row],[Adults]]+Table13[[#This Row],[Children]]</f>
        <v>2</v>
      </c>
      <c r="P350">
        <f>_xlfn.DAYS(Table13[[#This Row],[Depart]],Table13[[#This Row],[Arrive]])</f>
        <v>14</v>
      </c>
    </row>
    <row r="351" spans="1:16" x14ac:dyDescent="0.25">
      <c r="A351" t="s">
        <v>430</v>
      </c>
      <c r="B351" t="s">
        <v>431</v>
      </c>
      <c r="C351" t="s">
        <v>2224</v>
      </c>
      <c r="D351" s="1">
        <v>44042</v>
      </c>
      <c r="E351" s="1">
        <v>44043</v>
      </c>
      <c r="F351" s="1">
        <v>44018</v>
      </c>
      <c r="G351" s="2">
        <v>0.33333333333333331</v>
      </c>
      <c r="H351" s="3">
        <v>1</v>
      </c>
      <c r="I351" t="s">
        <v>22</v>
      </c>
      <c r="J351" s="12" t="s">
        <v>23</v>
      </c>
      <c r="K351">
        <v>5</v>
      </c>
      <c r="L351">
        <v>0</v>
      </c>
      <c r="M351" t="s">
        <v>19</v>
      </c>
      <c r="N351" s="6">
        <v>135</v>
      </c>
      <c r="O351">
        <f>Table13[[#This Row],[Adults]]+Table13[[#This Row],[Children]]</f>
        <v>5</v>
      </c>
      <c r="P351">
        <f>_xlfn.DAYS(Table13[[#This Row],[Depart]],Table13[[#This Row],[Arrive]])</f>
        <v>1</v>
      </c>
    </row>
    <row r="352" spans="1:16" x14ac:dyDescent="0.25">
      <c r="A352" t="s">
        <v>547</v>
      </c>
      <c r="B352" t="s">
        <v>548</v>
      </c>
      <c r="C352" t="s">
        <v>2228</v>
      </c>
      <c r="D352" s="1">
        <v>44042</v>
      </c>
      <c r="E352" s="1">
        <v>44045</v>
      </c>
      <c r="F352" s="1">
        <v>44022</v>
      </c>
      <c r="G352" s="2">
        <v>0.58333333333333337</v>
      </c>
      <c r="H352" s="2">
        <v>0.45833333333333331</v>
      </c>
      <c r="I352" t="s">
        <v>22</v>
      </c>
      <c r="J352" s="12" t="s">
        <v>23</v>
      </c>
      <c r="K352">
        <v>7</v>
      </c>
      <c r="L352">
        <v>0</v>
      </c>
      <c r="M352" t="s">
        <v>19</v>
      </c>
      <c r="N352" s="6">
        <v>390</v>
      </c>
      <c r="O352">
        <f>Table13[[#This Row],[Adults]]+Table13[[#This Row],[Children]]</f>
        <v>7</v>
      </c>
      <c r="P352">
        <f>_xlfn.DAYS(Table13[[#This Row],[Depart]],Table13[[#This Row],[Arrive]])</f>
        <v>3</v>
      </c>
    </row>
    <row r="353" spans="1:16" x14ac:dyDescent="0.25">
      <c r="A353" t="s">
        <v>342</v>
      </c>
      <c r="B353" t="s">
        <v>343</v>
      </c>
      <c r="C353" t="s">
        <v>2224</v>
      </c>
      <c r="D353" s="1">
        <v>44043</v>
      </c>
      <c r="E353" s="1">
        <v>44044</v>
      </c>
      <c r="F353" s="1">
        <v>43996</v>
      </c>
      <c r="G353" s="2">
        <v>0.33333333333333331</v>
      </c>
      <c r="H353" s="3">
        <v>1</v>
      </c>
      <c r="I353" t="s">
        <v>26</v>
      </c>
      <c r="J353" s="12" t="s">
        <v>18</v>
      </c>
      <c r="K353">
        <v>1</v>
      </c>
      <c r="L353">
        <v>0</v>
      </c>
      <c r="M353" t="s">
        <v>19</v>
      </c>
      <c r="N353" s="6">
        <v>107</v>
      </c>
      <c r="O353">
        <f>Table13[[#This Row],[Adults]]+Table13[[#This Row],[Children]]</f>
        <v>1</v>
      </c>
      <c r="P353">
        <f>_xlfn.DAYS(Table13[[#This Row],[Depart]],Table13[[#This Row],[Arrive]])</f>
        <v>1</v>
      </c>
    </row>
    <row r="354" spans="1:16" x14ac:dyDescent="0.25">
      <c r="A354" t="s">
        <v>422</v>
      </c>
      <c r="B354" t="s">
        <v>423</v>
      </c>
      <c r="C354" t="s">
        <v>2224</v>
      </c>
      <c r="D354" s="1">
        <v>44043</v>
      </c>
      <c r="E354" s="1">
        <v>44044</v>
      </c>
      <c r="F354" s="1">
        <v>44015</v>
      </c>
      <c r="G354" s="2">
        <v>0.33333333333333331</v>
      </c>
      <c r="H354" s="3">
        <v>1</v>
      </c>
      <c r="I354" t="s">
        <v>26</v>
      </c>
      <c r="J354" s="12" t="s">
        <v>18</v>
      </c>
      <c r="K354">
        <v>1</v>
      </c>
      <c r="L354">
        <v>0</v>
      </c>
      <c r="M354" t="s">
        <v>19</v>
      </c>
      <c r="N354" s="6">
        <v>107</v>
      </c>
      <c r="O354">
        <f>Table13[[#This Row],[Adults]]+Table13[[#This Row],[Children]]</f>
        <v>1</v>
      </c>
      <c r="P354">
        <f>_xlfn.DAYS(Table13[[#This Row],[Depart]],Table13[[#This Row],[Arrive]])</f>
        <v>1</v>
      </c>
    </row>
    <row r="355" spans="1:16" x14ac:dyDescent="0.25">
      <c r="A355" t="s">
        <v>404</v>
      </c>
      <c r="B355" t="s">
        <v>405</v>
      </c>
      <c r="C355" t="s">
        <v>2226</v>
      </c>
      <c r="D355" s="1">
        <v>44043</v>
      </c>
      <c r="E355" s="1">
        <v>44046</v>
      </c>
      <c r="F355" s="1">
        <v>44009</v>
      </c>
      <c r="G355" s="2">
        <v>0.33333333333333331</v>
      </c>
      <c r="H355" s="3">
        <v>1</v>
      </c>
      <c r="I355" t="s">
        <v>22</v>
      </c>
      <c r="J355" s="12" t="s">
        <v>23</v>
      </c>
      <c r="K355">
        <v>6</v>
      </c>
      <c r="L355">
        <v>0</v>
      </c>
      <c r="M355" t="s">
        <v>19</v>
      </c>
      <c r="N355" s="6">
        <v>270</v>
      </c>
      <c r="O355">
        <f>Table13[[#This Row],[Adults]]+Table13[[#This Row],[Children]]</f>
        <v>6</v>
      </c>
      <c r="P355">
        <f>_xlfn.DAYS(Table13[[#This Row],[Depart]],Table13[[#This Row],[Arrive]])</f>
        <v>3</v>
      </c>
    </row>
    <row r="356" spans="1:16" x14ac:dyDescent="0.25">
      <c r="A356" t="s">
        <v>466</v>
      </c>
      <c r="B356" t="s">
        <v>467</v>
      </c>
      <c r="C356" t="s">
        <v>2224</v>
      </c>
      <c r="D356" s="1">
        <v>44043</v>
      </c>
      <c r="E356" s="1">
        <v>44044</v>
      </c>
      <c r="F356" s="1">
        <v>44023</v>
      </c>
      <c r="G356" s="2">
        <v>0.33333333333333331</v>
      </c>
      <c r="H356" s="3">
        <v>1</v>
      </c>
      <c r="I356" t="s">
        <v>22</v>
      </c>
      <c r="J356" s="12" t="s">
        <v>23</v>
      </c>
      <c r="K356">
        <v>8</v>
      </c>
      <c r="L356">
        <v>0</v>
      </c>
      <c r="M356" t="s">
        <v>19</v>
      </c>
      <c r="N356" s="6">
        <v>175</v>
      </c>
      <c r="O356">
        <f>Table13[[#This Row],[Adults]]+Table13[[#This Row],[Children]]</f>
        <v>8</v>
      </c>
      <c r="P356">
        <f>_xlfn.DAYS(Table13[[#This Row],[Depart]],Table13[[#This Row],[Arrive]])</f>
        <v>1</v>
      </c>
    </row>
    <row r="357" spans="1:16" x14ac:dyDescent="0.25">
      <c r="A357" t="s">
        <v>494</v>
      </c>
      <c r="B357" t="s">
        <v>495</v>
      </c>
      <c r="C357" t="s">
        <v>2223</v>
      </c>
      <c r="D357" s="1">
        <v>44043</v>
      </c>
      <c r="E357" s="1">
        <v>44044</v>
      </c>
      <c r="F357" s="1">
        <v>44032</v>
      </c>
      <c r="G357" s="2">
        <v>0.58333333333333337</v>
      </c>
      <c r="H357" s="2">
        <v>0.45833333333333331</v>
      </c>
      <c r="I357" t="s">
        <v>22</v>
      </c>
      <c r="J357" s="12" t="s">
        <v>23</v>
      </c>
      <c r="K357">
        <v>12</v>
      </c>
      <c r="L357">
        <v>0</v>
      </c>
      <c r="M357" t="s">
        <v>19</v>
      </c>
      <c r="N357" s="6">
        <v>230</v>
      </c>
      <c r="O357">
        <f>Table13[[#This Row],[Adults]]+Table13[[#This Row],[Children]]</f>
        <v>12</v>
      </c>
      <c r="P357">
        <f>_xlfn.DAYS(Table13[[#This Row],[Depart]],Table13[[#This Row],[Arrive]])</f>
        <v>1</v>
      </c>
    </row>
    <row r="358" spans="1:16" x14ac:dyDescent="0.25">
      <c r="A358" t="s">
        <v>74</v>
      </c>
      <c r="B358" t="s">
        <v>75</v>
      </c>
      <c r="C358" t="s">
        <v>2226</v>
      </c>
      <c r="D358" s="1">
        <v>44044</v>
      </c>
      <c r="E358" s="1">
        <v>44047</v>
      </c>
      <c r="F358" s="1">
        <v>43888</v>
      </c>
      <c r="G358" s="2">
        <v>0.33333333333333331</v>
      </c>
      <c r="H358" s="3">
        <v>1</v>
      </c>
      <c r="I358" t="s">
        <v>26</v>
      </c>
      <c r="J358" s="12" t="s">
        <v>18</v>
      </c>
      <c r="K358">
        <v>6</v>
      </c>
      <c r="L358">
        <v>0</v>
      </c>
      <c r="M358" t="s">
        <v>19</v>
      </c>
      <c r="N358" s="6">
        <v>318</v>
      </c>
      <c r="O358">
        <f>Table13[[#This Row],[Adults]]+Table13[[#This Row],[Children]]</f>
        <v>6</v>
      </c>
      <c r="P358">
        <f>_xlfn.DAYS(Table13[[#This Row],[Depart]],Table13[[#This Row],[Arrive]])</f>
        <v>3</v>
      </c>
    </row>
    <row r="359" spans="1:16" x14ac:dyDescent="0.25">
      <c r="A359" t="s">
        <v>412</v>
      </c>
      <c r="B359" t="s">
        <v>413</v>
      </c>
      <c r="C359" t="s">
        <v>2224</v>
      </c>
      <c r="D359" s="1">
        <v>44044</v>
      </c>
      <c r="E359" s="1">
        <v>44047</v>
      </c>
      <c r="F359" s="1">
        <v>44010</v>
      </c>
      <c r="G359" s="2">
        <v>0.33333333333333331</v>
      </c>
      <c r="H359" s="3">
        <v>1</v>
      </c>
      <c r="I359" t="s">
        <v>26</v>
      </c>
      <c r="J359" s="12" t="s">
        <v>18</v>
      </c>
      <c r="K359">
        <v>1</v>
      </c>
      <c r="L359">
        <v>0</v>
      </c>
      <c r="M359" t="s">
        <v>19</v>
      </c>
      <c r="N359" s="6">
        <v>319</v>
      </c>
      <c r="O359">
        <f>Table13[[#This Row],[Adults]]+Table13[[#This Row],[Children]]</f>
        <v>1</v>
      </c>
      <c r="P359">
        <f>_xlfn.DAYS(Table13[[#This Row],[Depart]],Table13[[#This Row],[Arrive]])</f>
        <v>3</v>
      </c>
    </row>
    <row r="360" spans="1:16" x14ac:dyDescent="0.25">
      <c r="A360" t="s">
        <v>426</v>
      </c>
      <c r="B360" t="s">
        <v>427</v>
      </c>
      <c r="C360" t="s">
        <v>2224</v>
      </c>
      <c r="D360" s="1">
        <v>44044</v>
      </c>
      <c r="E360" s="1">
        <v>44045</v>
      </c>
      <c r="F360" s="1">
        <v>44018</v>
      </c>
      <c r="G360" s="2">
        <v>0.33333333333333331</v>
      </c>
      <c r="H360" s="3">
        <v>1</v>
      </c>
      <c r="I360" t="s">
        <v>22</v>
      </c>
      <c r="J360" s="12" t="s">
        <v>23</v>
      </c>
      <c r="K360">
        <v>4</v>
      </c>
      <c r="L360">
        <v>0</v>
      </c>
      <c r="M360" t="s">
        <v>19</v>
      </c>
      <c r="N360" s="6">
        <v>135</v>
      </c>
      <c r="O360">
        <f>Table13[[#This Row],[Adults]]+Table13[[#This Row],[Children]]</f>
        <v>4</v>
      </c>
      <c r="P360">
        <f>_xlfn.DAYS(Table13[[#This Row],[Depart]],Table13[[#This Row],[Arrive]])</f>
        <v>1</v>
      </c>
    </row>
    <row r="361" spans="1:16" x14ac:dyDescent="0.25">
      <c r="A361" t="s">
        <v>504</v>
      </c>
      <c r="B361" t="s">
        <v>505</v>
      </c>
      <c r="C361" t="s">
        <v>2225</v>
      </c>
      <c r="D361" s="1">
        <v>44044</v>
      </c>
      <c r="E361" s="1">
        <v>44045</v>
      </c>
      <c r="F361" s="1">
        <v>44036</v>
      </c>
      <c r="G361" s="2">
        <v>0.33333333333333331</v>
      </c>
      <c r="H361" s="3">
        <v>1</v>
      </c>
      <c r="I361" t="s">
        <v>22</v>
      </c>
      <c r="J361" s="12" t="s">
        <v>23</v>
      </c>
      <c r="K361">
        <v>5</v>
      </c>
      <c r="L361">
        <v>0</v>
      </c>
      <c r="M361" t="s">
        <v>19</v>
      </c>
      <c r="N361" s="6">
        <v>110</v>
      </c>
      <c r="O361">
        <f>Table13[[#This Row],[Adults]]+Table13[[#This Row],[Children]]</f>
        <v>5</v>
      </c>
      <c r="P361">
        <f>_xlfn.DAYS(Table13[[#This Row],[Depart]],Table13[[#This Row],[Arrive]])</f>
        <v>1</v>
      </c>
    </row>
    <row r="362" spans="1:16" x14ac:dyDescent="0.25">
      <c r="A362" t="s">
        <v>296</v>
      </c>
      <c r="B362" t="s">
        <v>297</v>
      </c>
      <c r="C362" t="s">
        <v>2228</v>
      </c>
      <c r="D362" s="1">
        <v>44044</v>
      </c>
      <c r="E362" s="1">
        <v>44045</v>
      </c>
      <c r="F362" s="1">
        <v>44041</v>
      </c>
      <c r="G362" s="2">
        <v>0.58333333333333337</v>
      </c>
      <c r="H362" s="2">
        <v>0.45833333333333331</v>
      </c>
      <c r="I362" t="s">
        <v>22</v>
      </c>
      <c r="J362" s="12" t="s">
        <v>18</v>
      </c>
      <c r="K362">
        <v>4</v>
      </c>
      <c r="L362">
        <v>0</v>
      </c>
      <c r="M362" t="s">
        <v>19</v>
      </c>
      <c r="N362" s="6">
        <v>110</v>
      </c>
      <c r="O362">
        <f>Table13[[#This Row],[Adults]]+Table13[[#This Row],[Children]]</f>
        <v>4</v>
      </c>
      <c r="P362">
        <f>_xlfn.DAYS(Table13[[#This Row],[Depart]],Table13[[#This Row],[Arrive]])</f>
        <v>1</v>
      </c>
    </row>
    <row r="363" spans="1:16" x14ac:dyDescent="0.25">
      <c r="A363" t="s">
        <v>551</v>
      </c>
      <c r="B363" t="s">
        <v>552</v>
      </c>
      <c r="C363" t="s">
        <v>2223</v>
      </c>
      <c r="D363" s="1">
        <v>44044</v>
      </c>
      <c r="E363" s="1">
        <v>44045</v>
      </c>
      <c r="F363" s="1">
        <v>44035</v>
      </c>
      <c r="G363" s="2">
        <v>0.58333333333333337</v>
      </c>
      <c r="H363" s="2">
        <v>0.45833333333333331</v>
      </c>
      <c r="I363" t="s">
        <v>22</v>
      </c>
      <c r="J363" s="12" t="s">
        <v>23</v>
      </c>
      <c r="K363">
        <v>10</v>
      </c>
      <c r="L363">
        <v>0</v>
      </c>
      <c r="M363" t="s">
        <v>19</v>
      </c>
      <c r="N363" s="6">
        <v>190</v>
      </c>
      <c r="O363">
        <f>Table13[[#This Row],[Adults]]+Table13[[#This Row],[Children]]</f>
        <v>10</v>
      </c>
      <c r="P363">
        <f>_xlfn.DAYS(Table13[[#This Row],[Depart]],Table13[[#This Row],[Arrive]])</f>
        <v>1</v>
      </c>
    </row>
    <row r="364" spans="1:16" x14ac:dyDescent="0.25">
      <c r="A364" t="s">
        <v>412</v>
      </c>
      <c r="B364" t="s">
        <v>413</v>
      </c>
      <c r="C364" t="s">
        <v>2226</v>
      </c>
      <c r="D364" s="1">
        <v>44045</v>
      </c>
      <c r="E364" s="1">
        <v>44048</v>
      </c>
      <c r="F364" s="1">
        <v>44010</v>
      </c>
      <c r="G364" s="2">
        <v>0.33333333333333331</v>
      </c>
      <c r="H364" s="3">
        <v>1</v>
      </c>
      <c r="I364" t="s">
        <v>26</v>
      </c>
      <c r="J364" s="12" t="s">
        <v>18</v>
      </c>
      <c r="K364">
        <v>1</v>
      </c>
      <c r="L364">
        <v>0</v>
      </c>
      <c r="M364" t="s">
        <v>19</v>
      </c>
      <c r="N364" s="6">
        <v>319</v>
      </c>
      <c r="O364">
        <f>Table13[[#This Row],[Adults]]+Table13[[#This Row],[Children]]</f>
        <v>1</v>
      </c>
      <c r="P364">
        <f>_xlfn.DAYS(Table13[[#This Row],[Depart]],Table13[[#This Row],[Arrive]])</f>
        <v>3</v>
      </c>
    </row>
    <row r="365" spans="1:16" x14ac:dyDescent="0.25">
      <c r="A365" t="s">
        <v>490</v>
      </c>
      <c r="B365" t="s">
        <v>491</v>
      </c>
      <c r="C365" t="s">
        <v>2224</v>
      </c>
      <c r="D365" s="1">
        <v>44045</v>
      </c>
      <c r="E365" s="1">
        <v>44050</v>
      </c>
      <c r="F365" s="1">
        <v>44031</v>
      </c>
      <c r="G365" s="2">
        <v>0.33333333333333331</v>
      </c>
      <c r="H365" s="3">
        <v>1</v>
      </c>
      <c r="I365" t="s">
        <v>26</v>
      </c>
      <c r="J365" s="12" t="s">
        <v>18</v>
      </c>
      <c r="K365">
        <v>5</v>
      </c>
      <c r="L365">
        <v>0</v>
      </c>
      <c r="M365" t="s">
        <v>19</v>
      </c>
      <c r="N365" s="6">
        <v>651</v>
      </c>
      <c r="O365">
        <f>Table13[[#This Row],[Adults]]+Table13[[#This Row],[Children]]</f>
        <v>5</v>
      </c>
      <c r="P365">
        <f>_xlfn.DAYS(Table13[[#This Row],[Depart]],Table13[[#This Row],[Arrive]])</f>
        <v>5</v>
      </c>
    </row>
    <row r="366" spans="1:16" x14ac:dyDescent="0.25">
      <c r="A366" t="s">
        <v>516</v>
      </c>
      <c r="B366" t="s">
        <v>517</v>
      </c>
      <c r="C366" t="s">
        <v>2225</v>
      </c>
      <c r="D366" s="1">
        <v>44045</v>
      </c>
      <c r="E366" s="1">
        <v>44046</v>
      </c>
      <c r="F366" s="1">
        <v>44039</v>
      </c>
      <c r="G366" s="2">
        <v>0.33333333333333331</v>
      </c>
      <c r="H366" s="3">
        <v>1</v>
      </c>
      <c r="I366" t="s">
        <v>22</v>
      </c>
      <c r="J366" s="12" t="s">
        <v>23</v>
      </c>
      <c r="K366">
        <v>6</v>
      </c>
      <c r="L366">
        <v>0</v>
      </c>
      <c r="M366" t="s">
        <v>19</v>
      </c>
      <c r="N366" s="6">
        <v>110</v>
      </c>
      <c r="O366">
        <f>Table13[[#This Row],[Adults]]+Table13[[#This Row],[Children]]</f>
        <v>6</v>
      </c>
      <c r="P366">
        <f>_xlfn.DAYS(Table13[[#This Row],[Depart]],Table13[[#This Row],[Arrive]])</f>
        <v>1</v>
      </c>
    </row>
    <row r="367" spans="1:16" x14ac:dyDescent="0.25">
      <c r="A367" t="s">
        <v>521</v>
      </c>
      <c r="B367" t="s">
        <v>522</v>
      </c>
      <c r="C367" t="s">
        <v>2224</v>
      </c>
      <c r="D367" s="1">
        <v>44045</v>
      </c>
      <c r="E367" s="1">
        <v>44046</v>
      </c>
      <c r="F367" s="1">
        <v>44040</v>
      </c>
      <c r="G367" s="2">
        <v>0.33333333333333331</v>
      </c>
      <c r="H367" s="3">
        <v>1</v>
      </c>
      <c r="I367" t="s">
        <v>22</v>
      </c>
      <c r="J367" s="12" t="s">
        <v>23</v>
      </c>
      <c r="K367">
        <v>5</v>
      </c>
      <c r="L367">
        <v>0</v>
      </c>
      <c r="M367" t="s">
        <v>19</v>
      </c>
      <c r="N367" s="6">
        <v>110</v>
      </c>
      <c r="O367">
        <f>Table13[[#This Row],[Adults]]+Table13[[#This Row],[Children]]</f>
        <v>5</v>
      </c>
      <c r="P367">
        <f>_xlfn.DAYS(Table13[[#This Row],[Depart]],Table13[[#This Row],[Arrive]])</f>
        <v>1</v>
      </c>
    </row>
    <row r="368" spans="1:16" x14ac:dyDescent="0.25">
      <c r="A368" t="s">
        <v>527</v>
      </c>
      <c r="B368" t="s">
        <v>528</v>
      </c>
      <c r="C368" t="s">
        <v>2228</v>
      </c>
      <c r="D368" s="1">
        <v>44045</v>
      </c>
      <c r="E368" s="1">
        <v>44048</v>
      </c>
      <c r="F368" s="1">
        <v>44037</v>
      </c>
      <c r="G368" s="2">
        <v>0.58333333333333337</v>
      </c>
      <c r="H368" s="2">
        <v>0.45833333333333331</v>
      </c>
      <c r="I368" t="s">
        <v>22</v>
      </c>
      <c r="J368" s="12" t="s">
        <v>23</v>
      </c>
      <c r="K368">
        <v>8</v>
      </c>
      <c r="L368">
        <v>0</v>
      </c>
      <c r="M368" t="s">
        <v>19</v>
      </c>
      <c r="N368" s="6">
        <v>450</v>
      </c>
      <c r="O368">
        <f>Table13[[#This Row],[Adults]]+Table13[[#This Row],[Children]]</f>
        <v>8</v>
      </c>
      <c r="P368">
        <f>_xlfn.DAYS(Table13[[#This Row],[Depart]],Table13[[#This Row],[Arrive]])</f>
        <v>3</v>
      </c>
    </row>
    <row r="369" spans="1:16" x14ac:dyDescent="0.25">
      <c r="A369" t="s">
        <v>484</v>
      </c>
      <c r="B369" t="s">
        <v>485</v>
      </c>
      <c r="C369" t="s">
        <v>2223</v>
      </c>
      <c r="D369" s="1">
        <v>44045</v>
      </c>
      <c r="E369" s="1">
        <v>44046</v>
      </c>
      <c r="F369" s="1">
        <v>44045</v>
      </c>
      <c r="G369" s="2">
        <v>0.58333333333333337</v>
      </c>
      <c r="H369" s="2">
        <v>0.45833333333333331</v>
      </c>
      <c r="I369" t="s">
        <v>22</v>
      </c>
      <c r="J369" s="12" t="s">
        <v>23</v>
      </c>
      <c r="K369">
        <v>6</v>
      </c>
      <c r="L369">
        <v>0</v>
      </c>
      <c r="M369" t="s">
        <v>19</v>
      </c>
      <c r="N369" s="6">
        <v>110</v>
      </c>
      <c r="O369">
        <f>Table13[[#This Row],[Adults]]+Table13[[#This Row],[Children]]</f>
        <v>6</v>
      </c>
      <c r="P369">
        <f>_xlfn.DAYS(Table13[[#This Row],[Depart]],Table13[[#This Row],[Arrive]])</f>
        <v>1</v>
      </c>
    </row>
    <row r="370" spans="1:16" x14ac:dyDescent="0.25">
      <c r="A370" t="s">
        <v>212</v>
      </c>
      <c r="B370" t="s">
        <v>213</v>
      </c>
      <c r="C370" t="s">
        <v>2223</v>
      </c>
      <c r="D370" s="1">
        <v>44046</v>
      </c>
      <c r="E370" s="1">
        <v>44053</v>
      </c>
      <c r="F370" s="1">
        <v>43959</v>
      </c>
      <c r="G370" s="2">
        <v>0.33333333333333331</v>
      </c>
      <c r="H370" s="3">
        <v>1</v>
      </c>
      <c r="I370" t="s">
        <v>26</v>
      </c>
      <c r="J370" s="12" t="s">
        <v>18</v>
      </c>
      <c r="K370">
        <v>1</v>
      </c>
      <c r="L370">
        <v>0</v>
      </c>
      <c r="M370" t="s">
        <v>19</v>
      </c>
      <c r="N370" s="6">
        <v>720</v>
      </c>
      <c r="O370">
        <f>Table13[[#This Row],[Adults]]+Table13[[#This Row],[Children]]</f>
        <v>1</v>
      </c>
      <c r="P370">
        <f>_xlfn.DAYS(Table13[[#This Row],[Depart]],Table13[[#This Row],[Arrive]])</f>
        <v>7</v>
      </c>
    </row>
    <row r="371" spans="1:16" x14ac:dyDescent="0.25">
      <c r="A371" t="s">
        <v>516</v>
      </c>
      <c r="B371" t="s">
        <v>517</v>
      </c>
      <c r="C371" t="s">
        <v>2226</v>
      </c>
      <c r="D371" s="1">
        <v>44046</v>
      </c>
      <c r="E371" s="1">
        <v>44047</v>
      </c>
      <c r="F371" s="1">
        <v>44039</v>
      </c>
      <c r="G371" s="2">
        <v>0.33333333333333331</v>
      </c>
      <c r="H371" s="3">
        <v>1</v>
      </c>
      <c r="I371" t="s">
        <v>22</v>
      </c>
      <c r="J371" s="12" t="s">
        <v>23</v>
      </c>
      <c r="K371">
        <v>6</v>
      </c>
      <c r="L371">
        <v>0</v>
      </c>
      <c r="M371" t="s">
        <v>19</v>
      </c>
      <c r="N371" s="6">
        <v>110</v>
      </c>
      <c r="O371">
        <f>Table13[[#This Row],[Adults]]+Table13[[#This Row],[Children]]</f>
        <v>6</v>
      </c>
      <c r="P371">
        <f>_xlfn.DAYS(Table13[[#This Row],[Depart]],Table13[[#This Row],[Arrive]])</f>
        <v>1</v>
      </c>
    </row>
    <row r="372" spans="1:16" x14ac:dyDescent="0.25">
      <c r="A372" t="s">
        <v>308</v>
      </c>
      <c r="B372" t="s">
        <v>309</v>
      </c>
      <c r="C372" t="s">
        <v>2225</v>
      </c>
      <c r="D372" s="1">
        <v>44046</v>
      </c>
      <c r="E372" s="1">
        <v>44047</v>
      </c>
      <c r="F372" s="1">
        <v>44038</v>
      </c>
      <c r="G372" s="2">
        <v>0.33333333333333331</v>
      </c>
      <c r="H372" s="3">
        <v>1</v>
      </c>
      <c r="I372" t="s">
        <v>22</v>
      </c>
      <c r="J372" s="12" t="s">
        <v>18</v>
      </c>
      <c r="K372">
        <v>4</v>
      </c>
      <c r="L372">
        <v>0</v>
      </c>
      <c r="M372" t="s">
        <v>19</v>
      </c>
      <c r="N372" s="6">
        <v>110</v>
      </c>
      <c r="O372">
        <f>Table13[[#This Row],[Adults]]+Table13[[#This Row],[Children]]</f>
        <v>4</v>
      </c>
      <c r="P372">
        <f>_xlfn.DAYS(Table13[[#This Row],[Depart]],Table13[[#This Row],[Arrive]])</f>
        <v>1</v>
      </c>
    </row>
    <row r="373" spans="1:16" x14ac:dyDescent="0.25">
      <c r="A373" t="s">
        <v>537</v>
      </c>
      <c r="B373" t="s">
        <v>538</v>
      </c>
      <c r="C373" t="s">
        <v>2225</v>
      </c>
      <c r="D373" s="1">
        <v>44046</v>
      </c>
      <c r="E373" s="1">
        <v>44049</v>
      </c>
      <c r="F373" s="1">
        <v>44041</v>
      </c>
      <c r="G373" s="2">
        <v>0.33333333333333331</v>
      </c>
      <c r="H373" s="3">
        <v>1</v>
      </c>
      <c r="I373" t="s">
        <v>22</v>
      </c>
      <c r="J373" s="12" t="s">
        <v>23</v>
      </c>
      <c r="K373">
        <v>6</v>
      </c>
      <c r="L373">
        <v>0</v>
      </c>
      <c r="M373" t="s">
        <v>19</v>
      </c>
      <c r="N373" s="6">
        <v>330</v>
      </c>
      <c r="O373">
        <f>Table13[[#This Row],[Adults]]+Table13[[#This Row],[Children]]</f>
        <v>6</v>
      </c>
      <c r="P373">
        <f>_xlfn.DAYS(Table13[[#This Row],[Depart]],Table13[[#This Row],[Arrive]])</f>
        <v>3</v>
      </c>
    </row>
    <row r="374" spans="1:16" x14ac:dyDescent="0.25">
      <c r="A374" t="s">
        <v>553</v>
      </c>
      <c r="B374" t="s">
        <v>554</v>
      </c>
      <c r="C374" t="s">
        <v>2224</v>
      </c>
      <c r="D374" s="1">
        <v>44046</v>
      </c>
      <c r="E374" s="1">
        <v>44048</v>
      </c>
      <c r="F374" s="1">
        <v>44045</v>
      </c>
      <c r="G374" s="2">
        <v>0.33333333333333331</v>
      </c>
      <c r="H374" s="3">
        <v>1</v>
      </c>
      <c r="I374" t="s">
        <v>22</v>
      </c>
      <c r="J374" s="12" t="s">
        <v>23</v>
      </c>
      <c r="K374">
        <v>6</v>
      </c>
      <c r="L374">
        <v>0</v>
      </c>
      <c r="M374" t="s">
        <v>19</v>
      </c>
      <c r="N374" s="6">
        <v>220</v>
      </c>
      <c r="O374">
        <f>Table13[[#This Row],[Adults]]+Table13[[#This Row],[Children]]</f>
        <v>6</v>
      </c>
      <c r="P374">
        <f>_xlfn.DAYS(Table13[[#This Row],[Depart]],Table13[[#This Row],[Arrive]])</f>
        <v>2</v>
      </c>
    </row>
    <row r="375" spans="1:16" x14ac:dyDescent="0.25">
      <c r="A375" t="s">
        <v>428</v>
      </c>
      <c r="B375" t="s">
        <v>429</v>
      </c>
      <c r="C375" t="s">
        <v>2226</v>
      </c>
      <c r="D375" s="1">
        <v>44047</v>
      </c>
      <c r="E375" s="1">
        <v>44050</v>
      </c>
      <c r="F375" s="1">
        <v>44018</v>
      </c>
      <c r="G375" s="2">
        <v>0.33333333333333331</v>
      </c>
      <c r="H375" s="3">
        <v>1</v>
      </c>
      <c r="I375" t="s">
        <v>22</v>
      </c>
      <c r="J375" s="12" t="s">
        <v>23</v>
      </c>
      <c r="K375">
        <v>7</v>
      </c>
      <c r="L375">
        <v>0</v>
      </c>
      <c r="M375" t="s">
        <v>19</v>
      </c>
      <c r="N375" s="6">
        <v>465</v>
      </c>
      <c r="O375">
        <f>Table13[[#This Row],[Adults]]+Table13[[#This Row],[Children]]</f>
        <v>7</v>
      </c>
      <c r="P375">
        <f>_xlfn.DAYS(Table13[[#This Row],[Depart]],Table13[[#This Row],[Arrive]])</f>
        <v>3</v>
      </c>
    </row>
    <row r="376" spans="1:16" x14ac:dyDescent="0.25">
      <c r="A376" t="s">
        <v>543</v>
      </c>
      <c r="B376" t="s">
        <v>544</v>
      </c>
      <c r="C376" t="s">
        <v>2228</v>
      </c>
      <c r="D376" s="1">
        <v>44048</v>
      </c>
      <c r="E376" s="1">
        <v>44050</v>
      </c>
      <c r="F376" s="1">
        <v>44044</v>
      </c>
      <c r="G376" s="2">
        <v>0.58333333333333337</v>
      </c>
      <c r="H376" s="2">
        <v>0.45833333333333331</v>
      </c>
      <c r="I376" t="s">
        <v>22</v>
      </c>
      <c r="J376" s="12" t="s">
        <v>23</v>
      </c>
      <c r="K376">
        <v>4</v>
      </c>
      <c r="L376">
        <v>0</v>
      </c>
      <c r="M376" t="s">
        <v>19</v>
      </c>
      <c r="N376" s="6">
        <v>220</v>
      </c>
      <c r="O376">
        <f>Table13[[#This Row],[Adults]]+Table13[[#This Row],[Children]]</f>
        <v>4</v>
      </c>
      <c r="P376">
        <f>_xlfn.DAYS(Table13[[#This Row],[Depart]],Table13[[#This Row],[Arrive]])</f>
        <v>2</v>
      </c>
    </row>
    <row r="377" spans="1:16" x14ac:dyDescent="0.25">
      <c r="A377" t="s">
        <v>543</v>
      </c>
      <c r="B377" t="s">
        <v>544</v>
      </c>
      <c r="C377" t="s">
        <v>2224</v>
      </c>
      <c r="D377" s="1">
        <v>44048</v>
      </c>
      <c r="E377" s="1">
        <v>44050</v>
      </c>
      <c r="F377" s="1">
        <v>44043</v>
      </c>
      <c r="G377" s="2">
        <v>0.33333333333333331</v>
      </c>
      <c r="H377" s="3">
        <v>1</v>
      </c>
      <c r="I377" t="s">
        <v>22</v>
      </c>
      <c r="J377" s="12" t="s">
        <v>18</v>
      </c>
      <c r="K377">
        <v>4</v>
      </c>
      <c r="L377">
        <v>0</v>
      </c>
      <c r="M377" t="s">
        <v>19</v>
      </c>
      <c r="N377" s="6">
        <v>220</v>
      </c>
      <c r="O377">
        <f>Table13[[#This Row],[Adults]]+Table13[[#This Row],[Children]]</f>
        <v>4</v>
      </c>
      <c r="P377">
        <f>_xlfn.DAYS(Table13[[#This Row],[Depart]],Table13[[#This Row],[Arrive]])</f>
        <v>2</v>
      </c>
    </row>
    <row r="378" spans="1:16" x14ac:dyDescent="0.25">
      <c r="A378" t="s">
        <v>545</v>
      </c>
      <c r="B378" t="s">
        <v>546</v>
      </c>
      <c r="C378" t="s">
        <v>2224</v>
      </c>
      <c r="D378" s="1">
        <v>44048</v>
      </c>
      <c r="E378" s="1">
        <v>44049</v>
      </c>
      <c r="F378" s="1">
        <v>44044</v>
      </c>
      <c r="G378" s="2">
        <v>0.33333333333333331</v>
      </c>
      <c r="H378" s="3">
        <v>1</v>
      </c>
      <c r="I378" t="s">
        <v>22</v>
      </c>
      <c r="J378" s="12" t="s">
        <v>23</v>
      </c>
      <c r="K378">
        <v>6</v>
      </c>
      <c r="L378">
        <v>0</v>
      </c>
      <c r="M378" t="s">
        <v>19</v>
      </c>
      <c r="N378" s="6">
        <v>110</v>
      </c>
      <c r="O378">
        <f>Table13[[#This Row],[Adults]]+Table13[[#This Row],[Children]]</f>
        <v>6</v>
      </c>
      <c r="P378">
        <f>_xlfn.DAYS(Table13[[#This Row],[Depart]],Table13[[#This Row],[Arrive]])</f>
        <v>1</v>
      </c>
    </row>
    <row r="379" spans="1:16" x14ac:dyDescent="0.25">
      <c r="A379" t="s">
        <v>424</v>
      </c>
      <c r="B379" t="s">
        <v>425</v>
      </c>
      <c r="C379" t="s">
        <v>2224</v>
      </c>
      <c r="D379" s="1">
        <v>44049</v>
      </c>
      <c r="E379" s="1">
        <v>44058</v>
      </c>
      <c r="F379" s="1">
        <v>44017</v>
      </c>
      <c r="G379" s="2">
        <v>0.33333333333333331</v>
      </c>
      <c r="H379" s="3">
        <v>1</v>
      </c>
      <c r="I379" t="s">
        <v>26</v>
      </c>
      <c r="J379" s="12" t="s">
        <v>18</v>
      </c>
      <c r="K379">
        <v>1</v>
      </c>
      <c r="L379">
        <v>0</v>
      </c>
      <c r="M379" t="s">
        <v>19</v>
      </c>
      <c r="N379" s="6">
        <v>1101</v>
      </c>
      <c r="O379">
        <f>Table13[[#This Row],[Adults]]+Table13[[#This Row],[Children]]</f>
        <v>1</v>
      </c>
      <c r="P379">
        <f>_xlfn.DAYS(Table13[[#This Row],[Depart]],Table13[[#This Row],[Arrive]])</f>
        <v>9</v>
      </c>
    </row>
    <row r="380" spans="1:16" x14ac:dyDescent="0.25">
      <c r="A380" t="s">
        <v>242</v>
      </c>
      <c r="B380" t="s">
        <v>243</v>
      </c>
      <c r="C380" t="s">
        <v>2225</v>
      </c>
      <c r="D380" s="1">
        <v>44049</v>
      </c>
      <c r="E380" s="1">
        <v>44051</v>
      </c>
      <c r="F380" s="1">
        <v>44041</v>
      </c>
      <c r="G380" s="2">
        <v>0.33333333333333331</v>
      </c>
      <c r="H380" s="3">
        <v>1</v>
      </c>
      <c r="I380" t="s">
        <v>22</v>
      </c>
      <c r="J380" s="12" t="s">
        <v>18</v>
      </c>
      <c r="K380">
        <v>5</v>
      </c>
      <c r="L380">
        <v>0</v>
      </c>
      <c r="M380" t="s">
        <v>19</v>
      </c>
      <c r="N380" s="6">
        <v>220</v>
      </c>
      <c r="O380">
        <f>Table13[[#This Row],[Adults]]+Table13[[#This Row],[Children]]</f>
        <v>5</v>
      </c>
      <c r="P380">
        <f>_xlfn.DAYS(Table13[[#This Row],[Depart]],Table13[[#This Row],[Arrive]])</f>
        <v>2</v>
      </c>
    </row>
    <row r="381" spans="1:16" x14ac:dyDescent="0.25">
      <c r="A381" t="s">
        <v>296</v>
      </c>
      <c r="B381" t="s">
        <v>297</v>
      </c>
      <c r="C381" t="s">
        <v>2223</v>
      </c>
      <c r="D381" s="1">
        <v>44049</v>
      </c>
      <c r="E381" s="1">
        <v>44050</v>
      </c>
      <c r="F381" s="1">
        <v>44048</v>
      </c>
      <c r="G381" s="2">
        <v>0.58333333333333337</v>
      </c>
      <c r="H381" s="2">
        <v>0.45833333333333331</v>
      </c>
      <c r="I381" t="s">
        <v>22</v>
      </c>
      <c r="J381" s="12" t="s">
        <v>18</v>
      </c>
      <c r="K381">
        <v>4</v>
      </c>
      <c r="L381">
        <v>0</v>
      </c>
      <c r="M381" t="s">
        <v>19</v>
      </c>
      <c r="N381" s="6">
        <v>110</v>
      </c>
      <c r="O381">
        <f>Table13[[#This Row],[Adults]]+Table13[[#This Row],[Children]]</f>
        <v>4</v>
      </c>
      <c r="P381">
        <f>_xlfn.DAYS(Table13[[#This Row],[Depart]],Table13[[#This Row],[Arrive]])</f>
        <v>1</v>
      </c>
    </row>
    <row r="382" spans="1:16" x14ac:dyDescent="0.25">
      <c r="A382" t="s">
        <v>296</v>
      </c>
      <c r="B382" t="s">
        <v>297</v>
      </c>
      <c r="C382" t="s">
        <v>2224</v>
      </c>
      <c r="D382" s="1">
        <v>44049</v>
      </c>
      <c r="E382" s="1">
        <v>44050</v>
      </c>
      <c r="F382" s="1">
        <v>44048</v>
      </c>
      <c r="G382" s="2">
        <v>0.33333333333333331</v>
      </c>
      <c r="H382" s="3">
        <v>1</v>
      </c>
      <c r="I382" t="s">
        <v>22</v>
      </c>
      <c r="J382" s="12" t="s">
        <v>18</v>
      </c>
      <c r="K382">
        <v>4</v>
      </c>
      <c r="L382">
        <v>0</v>
      </c>
      <c r="M382" t="s">
        <v>19</v>
      </c>
      <c r="N382" s="6">
        <v>110</v>
      </c>
      <c r="O382">
        <f>Table13[[#This Row],[Adults]]+Table13[[#This Row],[Children]]</f>
        <v>4</v>
      </c>
      <c r="P382">
        <f>_xlfn.DAYS(Table13[[#This Row],[Depart]],Table13[[#This Row],[Arrive]])</f>
        <v>1</v>
      </c>
    </row>
    <row r="383" spans="1:16" x14ac:dyDescent="0.25">
      <c r="A383" t="s">
        <v>557</v>
      </c>
      <c r="B383" t="s">
        <v>558</v>
      </c>
      <c r="C383" t="s">
        <v>2225</v>
      </c>
      <c r="D383" s="1">
        <v>44049</v>
      </c>
      <c r="E383" s="1">
        <v>44050</v>
      </c>
      <c r="F383" s="1">
        <v>44045</v>
      </c>
      <c r="G383" s="2">
        <v>0.33333333333333331</v>
      </c>
      <c r="H383" s="3">
        <v>1</v>
      </c>
      <c r="I383" t="s">
        <v>22</v>
      </c>
      <c r="J383" s="12" t="s">
        <v>18</v>
      </c>
      <c r="K383">
        <v>5</v>
      </c>
      <c r="L383">
        <v>0</v>
      </c>
      <c r="M383" t="s">
        <v>19</v>
      </c>
      <c r="N383" s="6">
        <v>220</v>
      </c>
      <c r="O383">
        <f>Table13[[#This Row],[Adults]]+Table13[[#This Row],[Children]]</f>
        <v>5</v>
      </c>
      <c r="P383">
        <f>_xlfn.DAYS(Table13[[#This Row],[Depart]],Table13[[#This Row],[Arrive]])</f>
        <v>1</v>
      </c>
    </row>
    <row r="384" spans="1:16" x14ac:dyDescent="0.25">
      <c r="A384" t="s">
        <v>296</v>
      </c>
      <c r="B384" t="s">
        <v>297</v>
      </c>
      <c r="C384" t="s">
        <v>2225</v>
      </c>
      <c r="D384" s="1">
        <v>44049</v>
      </c>
      <c r="E384" s="1">
        <v>44050</v>
      </c>
      <c r="F384" s="1">
        <v>44049</v>
      </c>
      <c r="G384" s="2">
        <v>0.33333333333333331</v>
      </c>
      <c r="H384" s="3">
        <v>1</v>
      </c>
      <c r="I384" t="s">
        <v>22</v>
      </c>
      <c r="J384" s="12" t="s">
        <v>23</v>
      </c>
      <c r="K384">
        <v>4</v>
      </c>
      <c r="L384">
        <v>0</v>
      </c>
      <c r="M384" t="s">
        <v>19</v>
      </c>
      <c r="N384" s="6">
        <v>110</v>
      </c>
      <c r="O384">
        <f>Table13[[#This Row],[Adults]]+Table13[[#This Row],[Children]]</f>
        <v>4</v>
      </c>
      <c r="P384">
        <f>_xlfn.DAYS(Table13[[#This Row],[Depart]],Table13[[#This Row],[Arrive]])</f>
        <v>1</v>
      </c>
    </row>
    <row r="385" spans="1:16" x14ac:dyDescent="0.25">
      <c r="A385" t="s">
        <v>561</v>
      </c>
      <c r="B385" t="s">
        <v>562</v>
      </c>
      <c r="C385" t="s">
        <v>2224</v>
      </c>
      <c r="D385" s="1">
        <v>44049</v>
      </c>
      <c r="E385" s="1">
        <v>44050</v>
      </c>
      <c r="F385" s="1">
        <v>44049</v>
      </c>
      <c r="G385" s="2">
        <v>0.33333333333333331</v>
      </c>
      <c r="H385" s="3">
        <v>1</v>
      </c>
      <c r="I385" t="s">
        <v>22</v>
      </c>
      <c r="J385" s="12" t="s">
        <v>23</v>
      </c>
      <c r="K385">
        <v>5</v>
      </c>
      <c r="L385">
        <v>0</v>
      </c>
      <c r="M385" t="s">
        <v>19</v>
      </c>
      <c r="N385" s="6">
        <v>110</v>
      </c>
      <c r="O385">
        <f>Table13[[#This Row],[Adults]]+Table13[[#This Row],[Children]]</f>
        <v>5</v>
      </c>
      <c r="P385">
        <f>_xlfn.DAYS(Table13[[#This Row],[Depart]],Table13[[#This Row],[Arrive]])</f>
        <v>1</v>
      </c>
    </row>
    <row r="386" spans="1:16" x14ac:dyDescent="0.25">
      <c r="A386" t="s">
        <v>478</v>
      </c>
      <c r="B386" t="s">
        <v>479</v>
      </c>
      <c r="C386" t="s">
        <v>2224</v>
      </c>
      <c r="D386" s="1">
        <v>44050</v>
      </c>
      <c r="E386" s="1">
        <v>44052</v>
      </c>
      <c r="F386" s="1">
        <v>44026</v>
      </c>
      <c r="G386" s="2">
        <v>0.33333333333333331</v>
      </c>
      <c r="H386" s="3">
        <v>1</v>
      </c>
      <c r="I386" t="s">
        <v>22</v>
      </c>
      <c r="J386" s="12" t="s">
        <v>23</v>
      </c>
      <c r="K386">
        <v>1</v>
      </c>
      <c r="L386">
        <v>0</v>
      </c>
      <c r="M386" t="s">
        <v>19</v>
      </c>
      <c r="N386" s="6">
        <v>103</v>
      </c>
      <c r="O386">
        <f>Table13[[#This Row],[Adults]]+Table13[[#This Row],[Children]]</f>
        <v>1</v>
      </c>
      <c r="P386">
        <f>_xlfn.DAYS(Table13[[#This Row],[Depart]],Table13[[#This Row],[Arrive]])</f>
        <v>2</v>
      </c>
    </row>
    <row r="387" spans="1:16" x14ac:dyDescent="0.25">
      <c r="A387" t="s">
        <v>482</v>
      </c>
      <c r="B387" t="s">
        <v>483</v>
      </c>
      <c r="C387" t="s">
        <v>2226</v>
      </c>
      <c r="D387" s="1">
        <v>44050</v>
      </c>
      <c r="E387" s="1">
        <v>44051</v>
      </c>
      <c r="F387" s="1">
        <v>44026</v>
      </c>
      <c r="G387" s="2">
        <v>0.33333333333333331</v>
      </c>
      <c r="H387" s="3">
        <v>1</v>
      </c>
      <c r="I387" t="s">
        <v>22</v>
      </c>
      <c r="J387" s="12" t="s">
        <v>18</v>
      </c>
      <c r="K387">
        <v>6</v>
      </c>
      <c r="L387">
        <v>0</v>
      </c>
      <c r="M387" t="s">
        <v>19</v>
      </c>
      <c r="N387" s="6">
        <v>135</v>
      </c>
      <c r="O387">
        <f>Table13[[#This Row],[Adults]]+Table13[[#This Row],[Children]]</f>
        <v>6</v>
      </c>
      <c r="P387">
        <f>_xlfn.DAYS(Table13[[#This Row],[Depart]],Table13[[#This Row],[Arrive]])</f>
        <v>1</v>
      </c>
    </row>
    <row r="388" spans="1:16" x14ac:dyDescent="0.25">
      <c r="A388" t="s">
        <v>272</v>
      </c>
      <c r="B388" t="s">
        <v>273</v>
      </c>
      <c r="C388" t="s">
        <v>2228</v>
      </c>
      <c r="D388" s="1">
        <v>44050</v>
      </c>
      <c r="E388" s="1">
        <v>44052</v>
      </c>
      <c r="F388" s="1">
        <v>44039</v>
      </c>
      <c r="G388" s="2">
        <v>0.58333333333333337</v>
      </c>
      <c r="H388" s="2">
        <v>0.45833333333333331</v>
      </c>
      <c r="I388" t="s">
        <v>22</v>
      </c>
      <c r="J388" s="12" t="s">
        <v>18</v>
      </c>
      <c r="K388">
        <v>4</v>
      </c>
      <c r="L388">
        <v>0</v>
      </c>
      <c r="M388" t="s">
        <v>19</v>
      </c>
      <c r="N388" s="6">
        <v>220</v>
      </c>
      <c r="O388">
        <f>Table13[[#This Row],[Adults]]+Table13[[#This Row],[Children]]</f>
        <v>4</v>
      </c>
      <c r="P388">
        <f>_xlfn.DAYS(Table13[[#This Row],[Depart]],Table13[[#This Row],[Arrive]])</f>
        <v>2</v>
      </c>
    </row>
    <row r="389" spans="1:16" x14ac:dyDescent="0.25">
      <c r="A389" t="s">
        <v>482</v>
      </c>
      <c r="B389" t="s">
        <v>483</v>
      </c>
      <c r="C389" t="s">
        <v>2228</v>
      </c>
      <c r="D389" s="1">
        <v>44050</v>
      </c>
      <c r="E389" s="1">
        <v>44051</v>
      </c>
      <c r="F389" s="1">
        <v>44045</v>
      </c>
      <c r="G389" s="2">
        <v>0.58333333333333337</v>
      </c>
      <c r="H389" s="2">
        <v>0.45833333333333331</v>
      </c>
      <c r="I389" t="s">
        <v>22</v>
      </c>
      <c r="J389" s="12" t="s">
        <v>23</v>
      </c>
      <c r="K389">
        <v>4</v>
      </c>
      <c r="L389">
        <v>0</v>
      </c>
      <c r="M389" t="s">
        <v>19</v>
      </c>
      <c r="N389" s="6">
        <v>110</v>
      </c>
      <c r="O389">
        <f>Table13[[#This Row],[Adults]]+Table13[[#This Row],[Children]]</f>
        <v>4</v>
      </c>
      <c r="P389">
        <f>_xlfn.DAYS(Table13[[#This Row],[Depart]],Table13[[#This Row],[Arrive]])</f>
        <v>1</v>
      </c>
    </row>
    <row r="390" spans="1:16" x14ac:dyDescent="0.25">
      <c r="A390" t="s">
        <v>557</v>
      </c>
      <c r="B390" t="s">
        <v>558</v>
      </c>
      <c r="C390" t="s">
        <v>2225</v>
      </c>
      <c r="D390" s="1">
        <v>44050</v>
      </c>
      <c r="E390" s="1">
        <v>44051</v>
      </c>
      <c r="F390" s="1">
        <v>44049</v>
      </c>
      <c r="G390" s="2">
        <v>0.33333333333333331</v>
      </c>
      <c r="H390" s="3">
        <v>1</v>
      </c>
      <c r="I390" t="s">
        <v>22</v>
      </c>
      <c r="J390" s="12" t="s">
        <v>18</v>
      </c>
      <c r="K390">
        <v>5</v>
      </c>
      <c r="L390">
        <v>0</v>
      </c>
      <c r="M390" t="s">
        <v>19</v>
      </c>
      <c r="N390" s="6">
        <v>110</v>
      </c>
      <c r="O390">
        <f>Table13[[#This Row],[Adults]]+Table13[[#This Row],[Children]]</f>
        <v>5</v>
      </c>
      <c r="P390">
        <f>_xlfn.DAYS(Table13[[#This Row],[Depart]],Table13[[#This Row],[Arrive]])</f>
        <v>1</v>
      </c>
    </row>
    <row r="391" spans="1:16" x14ac:dyDescent="0.25">
      <c r="A391" t="s">
        <v>579</v>
      </c>
      <c r="B391" t="s">
        <v>580</v>
      </c>
      <c r="C391" t="s">
        <v>2225</v>
      </c>
      <c r="D391" s="1">
        <v>44050</v>
      </c>
      <c r="E391" s="1">
        <v>44051</v>
      </c>
      <c r="F391" s="1">
        <v>44051</v>
      </c>
      <c r="G391" s="2">
        <v>0.33333333333333331</v>
      </c>
      <c r="H391" s="3">
        <v>1</v>
      </c>
      <c r="I391" t="s">
        <v>22</v>
      </c>
      <c r="J391" s="12" t="s">
        <v>23</v>
      </c>
      <c r="K391">
        <v>5</v>
      </c>
      <c r="L391">
        <v>0</v>
      </c>
      <c r="M391" t="s">
        <v>19</v>
      </c>
      <c r="N391" s="6">
        <v>110</v>
      </c>
      <c r="O391">
        <f>Table13[[#This Row],[Adults]]+Table13[[#This Row],[Children]]</f>
        <v>5</v>
      </c>
      <c r="P391">
        <f>_xlfn.DAYS(Table13[[#This Row],[Depart]],Table13[[#This Row],[Arrive]])</f>
        <v>1</v>
      </c>
    </row>
    <row r="392" spans="1:16" x14ac:dyDescent="0.25">
      <c r="A392" t="s">
        <v>480</v>
      </c>
      <c r="B392" t="s">
        <v>481</v>
      </c>
      <c r="C392" t="s">
        <v>2225</v>
      </c>
      <c r="D392" s="1">
        <v>44051</v>
      </c>
      <c r="E392" s="1">
        <v>44052</v>
      </c>
      <c r="F392" s="1">
        <v>44027</v>
      </c>
      <c r="G392" s="2">
        <v>0.33333333333333331</v>
      </c>
      <c r="H392" s="3">
        <v>1</v>
      </c>
      <c r="I392" t="s">
        <v>22</v>
      </c>
      <c r="J392" s="12" t="s">
        <v>23</v>
      </c>
      <c r="K392">
        <v>6</v>
      </c>
      <c r="L392">
        <v>0</v>
      </c>
      <c r="M392" t="s">
        <v>19</v>
      </c>
      <c r="N392" s="6">
        <v>110</v>
      </c>
      <c r="O392">
        <f>Table13[[#This Row],[Adults]]+Table13[[#This Row],[Children]]</f>
        <v>6</v>
      </c>
      <c r="P392">
        <f>_xlfn.DAYS(Table13[[#This Row],[Depart]],Table13[[#This Row],[Arrive]])</f>
        <v>1</v>
      </c>
    </row>
    <row r="393" spans="1:16" x14ac:dyDescent="0.25">
      <c r="A393" t="s">
        <v>480</v>
      </c>
      <c r="B393" t="s">
        <v>481</v>
      </c>
      <c r="C393" t="s">
        <v>2228</v>
      </c>
      <c r="D393" s="1">
        <v>44051</v>
      </c>
      <c r="E393" s="1">
        <v>44052</v>
      </c>
      <c r="F393" s="1">
        <v>44027</v>
      </c>
      <c r="G393" s="2">
        <v>0.58333333333333337</v>
      </c>
      <c r="H393" s="2">
        <v>0.45833333333333331</v>
      </c>
      <c r="I393" t="s">
        <v>22</v>
      </c>
      <c r="J393" s="12" t="s">
        <v>18</v>
      </c>
      <c r="K393">
        <v>6</v>
      </c>
      <c r="L393">
        <v>0</v>
      </c>
      <c r="M393" t="s">
        <v>19</v>
      </c>
      <c r="N393" s="6">
        <v>135</v>
      </c>
      <c r="O393">
        <f>Table13[[#This Row],[Adults]]+Table13[[#This Row],[Children]]</f>
        <v>6</v>
      </c>
      <c r="P393">
        <f>_xlfn.DAYS(Table13[[#This Row],[Depart]],Table13[[#This Row],[Arrive]])</f>
        <v>1</v>
      </c>
    </row>
    <row r="394" spans="1:16" x14ac:dyDescent="0.25">
      <c r="A394" t="s">
        <v>480</v>
      </c>
      <c r="B394" t="s">
        <v>481</v>
      </c>
      <c r="C394" t="s">
        <v>2223</v>
      </c>
      <c r="D394" s="1">
        <v>44051</v>
      </c>
      <c r="E394" s="1">
        <v>44052</v>
      </c>
      <c r="F394" s="1">
        <v>44027</v>
      </c>
      <c r="G394" s="2">
        <v>0.58333333333333337</v>
      </c>
      <c r="H394" s="2">
        <v>0.45833333333333331</v>
      </c>
      <c r="I394" t="s">
        <v>22</v>
      </c>
      <c r="J394" s="12" t="s">
        <v>18</v>
      </c>
      <c r="K394">
        <v>6</v>
      </c>
      <c r="L394">
        <v>0</v>
      </c>
      <c r="M394" t="s">
        <v>19</v>
      </c>
      <c r="N394" s="6">
        <v>135</v>
      </c>
      <c r="O394">
        <f>Table13[[#This Row],[Adults]]+Table13[[#This Row],[Children]]</f>
        <v>6</v>
      </c>
      <c r="P394">
        <f>_xlfn.DAYS(Table13[[#This Row],[Depart]],Table13[[#This Row],[Arrive]])</f>
        <v>1</v>
      </c>
    </row>
    <row r="395" spans="1:16" x14ac:dyDescent="0.25">
      <c r="A395" t="s">
        <v>549</v>
      </c>
      <c r="B395" t="s">
        <v>550</v>
      </c>
      <c r="C395" t="s">
        <v>2223</v>
      </c>
      <c r="D395" s="1">
        <v>44051</v>
      </c>
      <c r="E395" s="1">
        <v>44052</v>
      </c>
      <c r="F395" s="1">
        <v>44027</v>
      </c>
      <c r="G395" s="2">
        <v>0.58333333333333337</v>
      </c>
      <c r="H395" s="2">
        <v>0.45833333333333331</v>
      </c>
      <c r="I395" t="s">
        <v>22</v>
      </c>
      <c r="J395" s="12" t="s">
        <v>18</v>
      </c>
      <c r="K395">
        <v>2</v>
      </c>
      <c r="L395">
        <v>0</v>
      </c>
      <c r="M395" t="s">
        <v>19</v>
      </c>
      <c r="N395" s="6">
        <v>135</v>
      </c>
      <c r="O395">
        <f>Table13[[#This Row],[Adults]]+Table13[[#This Row],[Children]]</f>
        <v>2</v>
      </c>
      <c r="P395">
        <f>_xlfn.DAYS(Table13[[#This Row],[Depart]],Table13[[#This Row],[Arrive]])</f>
        <v>1</v>
      </c>
    </row>
    <row r="396" spans="1:16" x14ac:dyDescent="0.25">
      <c r="A396" t="s">
        <v>559</v>
      </c>
      <c r="B396" t="s">
        <v>560</v>
      </c>
      <c r="C396" t="s">
        <v>2228</v>
      </c>
      <c r="D396" s="1">
        <v>44051</v>
      </c>
      <c r="E396" s="1">
        <v>44052</v>
      </c>
      <c r="F396" s="1">
        <v>44040</v>
      </c>
      <c r="G396" s="2">
        <v>0.58333333333333337</v>
      </c>
      <c r="H396" s="2">
        <v>0.45833333333333331</v>
      </c>
      <c r="I396" t="s">
        <v>22</v>
      </c>
      <c r="J396" s="12" t="s">
        <v>23</v>
      </c>
      <c r="K396">
        <v>4</v>
      </c>
      <c r="L396">
        <v>0</v>
      </c>
      <c r="M396" t="s">
        <v>19</v>
      </c>
      <c r="N396" s="6">
        <v>110</v>
      </c>
      <c r="O396">
        <f>Table13[[#This Row],[Adults]]+Table13[[#This Row],[Children]]</f>
        <v>4</v>
      </c>
      <c r="P396">
        <f>_xlfn.DAYS(Table13[[#This Row],[Depart]],Table13[[#This Row],[Arrive]])</f>
        <v>1</v>
      </c>
    </row>
    <row r="397" spans="1:16" x14ac:dyDescent="0.25">
      <c r="A397" t="s">
        <v>242</v>
      </c>
      <c r="B397" t="s">
        <v>243</v>
      </c>
      <c r="C397" t="s">
        <v>2223</v>
      </c>
      <c r="D397" s="1">
        <v>44051</v>
      </c>
      <c r="E397" s="1">
        <v>44053</v>
      </c>
      <c r="F397" s="1">
        <v>44045</v>
      </c>
      <c r="G397" s="2">
        <v>0.58333333333333337</v>
      </c>
      <c r="H397" s="2">
        <v>0.45833333333333331</v>
      </c>
      <c r="I397" t="s">
        <v>22</v>
      </c>
      <c r="J397" s="12" t="s">
        <v>23</v>
      </c>
      <c r="K397">
        <v>6</v>
      </c>
      <c r="L397">
        <v>0</v>
      </c>
      <c r="M397" t="s">
        <v>19</v>
      </c>
      <c r="N397" s="6">
        <v>220</v>
      </c>
      <c r="O397">
        <f>Table13[[#This Row],[Adults]]+Table13[[#This Row],[Children]]</f>
        <v>6</v>
      </c>
      <c r="P397">
        <f>_xlfn.DAYS(Table13[[#This Row],[Depart]],Table13[[#This Row],[Arrive]])</f>
        <v>2</v>
      </c>
    </row>
    <row r="398" spans="1:16" x14ac:dyDescent="0.25">
      <c r="A398" t="s">
        <v>529</v>
      </c>
      <c r="B398" t="s">
        <v>530</v>
      </c>
      <c r="C398" t="s">
        <v>2224</v>
      </c>
      <c r="D398" s="1">
        <v>44052</v>
      </c>
      <c r="E398" s="1">
        <v>44053</v>
      </c>
      <c r="F398" s="1">
        <v>44032</v>
      </c>
      <c r="G398" s="2">
        <v>0.33333333333333331</v>
      </c>
      <c r="H398" s="3">
        <v>1</v>
      </c>
      <c r="I398" t="s">
        <v>22</v>
      </c>
      <c r="J398" s="12" t="s">
        <v>23</v>
      </c>
      <c r="K398">
        <v>6</v>
      </c>
      <c r="L398">
        <v>0</v>
      </c>
      <c r="M398" t="s">
        <v>19</v>
      </c>
      <c r="N398" s="6">
        <v>110</v>
      </c>
      <c r="O398">
        <f>Table13[[#This Row],[Adults]]+Table13[[#This Row],[Children]]</f>
        <v>6</v>
      </c>
      <c r="P398">
        <f>_xlfn.DAYS(Table13[[#This Row],[Depart]],Table13[[#This Row],[Arrive]])</f>
        <v>1</v>
      </c>
    </row>
    <row r="399" spans="1:16" x14ac:dyDescent="0.25">
      <c r="A399" t="s">
        <v>533</v>
      </c>
      <c r="B399" t="s">
        <v>534</v>
      </c>
      <c r="C399" t="s">
        <v>2228</v>
      </c>
      <c r="D399" s="1">
        <v>44052</v>
      </c>
      <c r="E399" s="1">
        <v>44053</v>
      </c>
      <c r="F399" s="1">
        <v>44041</v>
      </c>
      <c r="G399" s="2">
        <v>0.58333333333333337</v>
      </c>
      <c r="H399" s="2">
        <v>0.45833333333333331</v>
      </c>
      <c r="I399" t="s">
        <v>22</v>
      </c>
      <c r="J399" s="12" t="s">
        <v>23</v>
      </c>
      <c r="K399">
        <v>4</v>
      </c>
      <c r="L399">
        <v>0</v>
      </c>
      <c r="M399" t="s">
        <v>19</v>
      </c>
      <c r="N399" s="6">
        <v>110</v>
      </c>
      <c r="O399">
        <f>Table13[[#This Row],[Adults]]+Table13[[#This Row],[Children]]</f>
        <v>4</v>
      </c>
      <c r="P399">
        <f>_xlfn.DAYS(Table13[[#This Row],[Depart]],Table13[[#This Row],[Arrive]])</f>
        <v>1</v>
      </c>
    </row>
    <row r="400" spans="1:16" x14ac:dyDescent="0.25">
      <c r="A400" t="s">
        <v>288</v>
      </c>
      <c r="B400" t="s">
        <v>289</v>
      </c>
      <c r="C400" t="s">
        <v>2223</v>
      </c>
      <c r="D400" s="1">
        <v>44052</v>
      </c>
      <c r="E400" s="1">
        <v>44058</v>
      </c>
      <c r="F400" s="1">
        <v>44043</v>
      </c>
      <c r="G400" s="2">
        <v>0.58333333333333337</v>
      </c>
      <c r="H400" s="2">
        <v>0.45833333333333331</v>
      </c>
      <c r="I400" t="s">
        <v>26</v>
      </c>
      <c r="J400" s="12" t="s">
        <v>18</v>
      </c>
      <c r="K400">
        <v>1</v>
      </c>
      <c r="L400">
        <v>0</v>
      </c>
      <c r="M400" t="s">
        <v>19</v>
      </c>
      <c r="N400" s="6">
        <v>637</v>
      </c>
      <c r="O400">
        <f>Table13[[#This Row],[Adults]]+Table13[[#This Row],[Children]]</f>
        <v>1</v>
      </c>
      <c r="P400">
        <f>_xlfn.DAYS(Table13[[#This Row],[Depart]],Table13[[#This Row],[Arrive]])</f>
        <v>6</v>
      </c>
    </row>
    <row r="401" spans="1:16" x14ac:dyDescent="0.25">
      <c r="A401" t="s">
        <v>571</v>
      </c>
      <c r="B401" t="s">
        <v>572</v>
      </c>
      <c r="C401" t="s">
        <v>2225</v>
      </c>
      <c r="D401" s="1">
        <v>44052</v>
      </c>
      <c r="E401" s="1">
        <v>44053</v>
      </c>
      <c r="F401" s="1">
        <v>44046</v>
      </c>
      <c r="G401" s="2">
        <v>0.33333333333333331</v>
      </c>
      <c r="H401" s="3">
        <v>1</v>
      </c>
      <c r="I401" t="s">
        <v>22</v>
      </c>
      <c r="J401" s="12" t="s">
        <v>23</v>
      </c>
      <c r="K401">
        <v>5</v>
      </c>
      <c r="L401">
        <v>0</v>
      </c>
      <c r="M401" t="s">
        <v>19</v>
      </c>
      <c r="N401" s="6">
        <v>110</v>
      </c>
      <c r="O401">
        <f>Table13[[#This Row],[Adults]]+Table13[[#This Row],[Children]]</f>
        <v>5</v>
      </c>
      <c r="P401">
        <f>_xlfn.DAYS(Table13[[#This Row],[Depart]],Table13[[#This Row],[Arrive]])</f>
        <v>1</v>
      </c>
    </row>
    <row r="402" spans="1:16" x14ac:dyDescent="0.25">
      <c r="A402" t="s">
        <v>573</v>
      </c>
      <c r="B402" t="s">
        <v>574</v>
      </c>
      <c r="C402" t="s">
        <v>2228</v>
      </c>
      <c r="D402" s="1">
        <v>44053</v>
      </c>
      <c r="E402" s="1">
        <v>44054</v>
      </c>
      <c r="F402" s="1">
        <v>44049</v>
      </c>
      <c r="G402" s="2">
        <v>0.58333333333333337</v>
      </c>
      <c r="H402" s="2">
        <v>0.45833333333333331</v>
      </c>
      <c r="I402" t="s">
        <v>22</v>
      </c>
      <c r="J402" s="12" t="s">
        <v>23</v>
      </c>
      <c r="K402">
        <v>6</v>
      </c>
      <c r="L402">
        <v>0</v>
      </c>
      <c r="M402" t="s">
        <v>19</v>
      </c>
      <c r="N402" s="6">
        <v>110</v>
      </c>
      <c r="O402">
        <f>Table13[[#This Row],[Adults]]+Table13[[#This Row],[Children]]</f>
        <v>6</v>
      </c>
      <c r="P402">
        <f>_xlfn.DAYS(Table13[[#This Row],[Depart]],Table13[[#This Row],[Arrive]])</f>
        <v>1</v>
      </c>
    </row>
    <row r="403" spans="1:16" x14ac:dyDescent="0.25">
      <c r="A403" t="s">
        <v>577</v>
      </c>
      <c r="B403" t="s">
        <v>578</v>
      </c>
      <c r="C403" t="s">
        <v>2223</v>
      </c>
      <c r="D403" s="1">
        <v>44053</v>
      </c>
      <c r="E403" s="1">
        <v>44054</v>
      </c>
      <c r="F403" s="1">
        <v>44049</v>
      </c>
      <c r="G403" s="2">
        <v>0.58333333333333337</v>
      </c>
      <c r="H403" s="2">
        <v>0.45833333333333331</v>
      </c>
      <c r="I403" t="s">
        <v>22</v>
      </c>
      <c r="J403" s="12" t="s">
        <v>23</v>
      </c>
      <c r="K403">
        <v>6</v>
      </c>
      <c r="L403">
        <v>0</v>
      </c>
      <c r="M403" t="s">
        <v>19</v>
      </c>
      <c r="N403" s="6">
        <v>131.62</v>
      </c>
      <c r="O403">
        <f>Table13[[#This Row],[Adults]]+Table13[[#This Row],[Children]]</f>
        <v>6</v>
      </c>
      <c r="P403">
        <f>_xlfn.DAYS(Table13[[#This Row],[Depart]],Table13[[#This Row],[Arrive]])</f>
        <v>1</v>
      </c>
    </row>
    <row r="404" spans="1:16" x14ac:dyDescent="0.25">
      <c r="A404" t="s">
        <v>583</v>
      </c>
      <c r="B404" t="s">
        <v>584</v>
      </c>
      <c r="C404" t="s">
        <v>2225</v>
      </c>
      <c r="D404" s="1">
        <v>44053</v>
      </c>
      <c r="E404" s="1">
        <v>44054</v>
      </c>
      <c r="F404" s="1">
        <v>44047</v>
      </c>
      <c r="G404" s="2">
        <v>0.33333333333333331</v>
      </c>
      <c r="H404" s="3">
        <v>1</v>
      </c>
      <c r="I404" t="s">
        <v>22</v>
      </c>
      <c r="J404" s="12" t="s">
        <v>23</v>
      </c>
      <c r="K404">
        <v>6</v>
      </c>
      <c r="L404">
        <v>0</v>
      </c>
      <c r="M404" t="s">
        <v>19</v>
      </c>
      <c r="N404" s="6">
        <v>110</v>
      </c>
      <c r="O404">
        <f>Table13[[#This Row],[Adults]]+Table13[[#This Row],[Children]]</f>
        <v>6</v>
      </c>
      <c r="P404">
        <f>_xlfn.DAYS(Table13[[#This Row],[Depart]],Table13[[#This Row],[Arrive]])</f>
        <v>1</v>
      </c>
    </row>
    <row r="405" spans="1:16" x14ac:dyDescent="0.25">
      <c r="A405" t="s">
        <v>589</v>
      </c>
      <c r="B405" t="s">
        <v>590</v>
      </c>
      <c r="C405" t="s">
        <v>2224</v>
      </c>
      <c r="D405" s="1">
        <v>44053</v>
      </c>
      <c r="E405" s="1">
        <v>44054</v>
      </c>
      <c r="F405" s="1">
        <v>44050</v>
      </c>
      <c r="G405" s="2">
        <v>0.33333333333333331</v>
      </c>
      <c r="H405" s="3">
        <v>1</v>
      </c>
      <c r="I405" t="s">
        <v>22</v>
      </c>
      <c r="J405" s="12" t="s">
        <v>23</v>
      </c>
      <c r="K405">
        <v>4</v>
      </c>
      <c r="L405">
        <v>0</v>
      </c>
      <c r="M405" t="s">
        <v>19</v>
      </c>
      <c r="N405" s="6">
        <v>110</v>
      </c>
      <c r="O405">
        <f>Table13[[#This Row],[Adults]]+Table13[[#This Row],[Children]]</f>
        <v>4</v>
      </c>
      <c r="P405">
        <f>_xlfn.DAYS(Table13[[#This Row],[Depart]],Table13[[#This Row],[Arrive]])</f>
        <v>1</v>
      </c>
    </row>
    <row r="406" spans="1:16" x14ac:dyDescent="0.25">
      <c r="A406" t="s">
        <v>450</v>
      </c>
      <c r="B406" t="s">
        <v>451</v>
      </c>
      <c r="C406" t="s">
        <v>2224</v>
      </c>
      <c r="D406" s="1">
        <v>44054</v>
      </c>
      <c r="E406" s="1">
        <v>44057</v>
      </c>
      <c r="F406" s="1">
        <v>44036</v>
      </c>
      <c r="G406" s="2">
        <v>0.33333333333333331</v>
      </c>
      <c r="H406" s="3">
        <v>1</v>
      </c>
      <c r="I406" t="s">
        <v>22</v>
      </c>
      <c r="J406" s="12" t="s">
        <v>23</v>
      </c>
      <c r="K406">
        <v>3</v>
      </c>
      <c r="L406">
        <v>0</v>
      </c>
      <c r="M406" t="s">
        <v>19</v>
      </c>
      <c r="N406" s="6">
        <v>330</v>
      </c>
      <c r="O406">
        <f>Table13[[#This Row],[Adults]]+Table13[[#This Row],[Children]]</f>
        <v>3</v>
      </c>
      <c r="P406">
        <f>_xlfn.DAYS(Table13[[#This Row],[Depart]],Table13[[#This Row],[Arrive]])</f>
        <v>3</v>
      </c>
    </row>
    <row r="407" spans="1:16" x14ac:dyDescent="0.25">
      <c r="A407" t="s">
        <v>296</v>
      </c>
      <c r="B407" t="s">
        <v>297</v>
      </c>
      <c r="C407" t="s">
        <v>2226</v>
      </c>
      <c r="D407" s="1">
        <v>44054</v>
      </c>
      <c r="E407" s="1">
        <v>44055</v>
      </c>
      <c r="F407" s="1">
        <v>44048</v>
      </c>
      <c r="G407" s="2">
        <v>0.33333333333333331</v>
      </c>
      <c r="H407" s="3">
        <v>1</v>
      </c>
      <c r="I407" t="s">
        <v>22</v>
      </c>
      <c r="J407" s="12" t="s">
        <v>23</v>
      </c>
      <c r="K407">
        <v>4</v>
      </c>
      <c r="L407">
        <v>0</v>
      </c>
      <c r="M407" t="s">
        <v>19</v>
      </c>
      <c r="N407" s="6">
        <v>110</v>
      </c>
      <c r="O407">
        <f>Table13[[#This Row],[Adults]]+Table13[[#This Row],[Children]]</f>
        <v>4</v>
      </c>
      <c r="P407">
        <f>_xlfn.DAYS(Table13[[#This Row],[Depart]],Table13[[#This Row],[Arrive]])</f>
        <v>1</v>
      </c>
    </row>
    <row r="408" spans="1:16" x14ac:dyDescent="0.25">
      <c r="A408" t="s">
        <v>575</v>
      </c>
      <c r="B408" t="s">
        <v>576</v>
      </c>
      <c r="C408" t="s">
        <v>2223</v>
      </c>
      <c r="D408" s="1">
        <v>44054</v>
      </c>
      <c r="E408" s="1">
        <v>44056</v>
      </c>
      <c r="F408" s="1">
        <v>44050</v>
      </c>
      <c r="G408" s="2">
        <v>0.58333333333333337</v>
      </c>
      <c r="H408" s="2">
        <v>0.45833333333333331</v>
      </c>
      <c r="I408" t="s">
        <v>22</v>
      </c>
      <c r="J408" s="12" t="s">
        <v>18</v>
      </c>
      <c r="K408">
        <v>3</v>
      </c>
      <c r="L408">
        <v>0</v>
      </c>
      <c r="M408" t="s">
        <v>19</v>
      </c>
      <c r="N408" s="6">
        <v>220</v>
      </c>
      <c r="O408">
        <f>Table13[[#This Row],[Adults]]+Table13[[#This Row],[Children]]</f>
        <v>3</v>
      </c>
      <c r="P408">
        <f>_xlfn.DAYS(Table13[[#This Row],[Depart]],Table13[[#This Row],[Arrive]])</f>
        <v>2</v>
      </c>
    </row>
    <row r="409" spans="1:16" x14ac:dyDescent="0.25">
      <c r="A409" t="s">
        <v>252</v>
      </c>
      <c r="B409" t="s">
        <v>253</v>
      </c>
      <c r="C409" t="s">
        <v>2223</v>
      </c>
      <c r="D409" s="1">
        <v>44054</v>
      </c>
      <c r="E409" s="1">
        <v>44055</v>
      </c>
      <c r="F409" s="1">
        <v>44050</v>
      </c>
      <c r="G409" s="2">
        <v>0.58333333333333337</v>
      </c>
      <c r="H409" s="2">
        <v>0.45833333333333331</v>
      </c>
      <c r="I409" t="s">
        <v>22</v>
      </c>
      <c r="J409" s="12" t="s">
        <v>23</v>
      </c>
      <c r="K409">
        <v>2</v>
      </c>
      <c r="L409">
        <v>0</v>
      </c>
      <c r="M409" t="s">
        <v>19</v>
      </c>
      <c r="N409" s="6">
        <v>110</v>
      </c>
      <c r="O409">
        <f>Table13[[#This Row],[Adults]]+Table13[[#This Row],[Children]]</f>
        <v>2</v>
      </c>
      <c r="P409">
        <f>_xlfn.DAYS(Table13[[#This Row],[Depart]],Table13[[#This Row],[Arrive]])</f>
        <v>1</v>
      </c>
    </row>
    <row r="410" spans="1:16" x14ac:dyDescent="0.25">
      <c r="A410" t="s">
        <v>589</v>
      </c>
      <c r="B410" t="s">
        <v>590</v>
      </c>
      <c r="C410" t="s">
        <v>2228</v>
      </c>
      <c r="D410" s="1">
        <v>44054</v>
      </c>
      <c r="E410" s="1">
        <v>44055</v>
      </c>
      <c r="F410" s="1">
        <v>44054</v>
      </c>
      <c r="G410" s="2">
        <v>0.58333333333333337</v>
      </c>
      <c r="H410" s="2">
        <v>0.45833333333333331</v>
      </c>
      <c r="I410" t="s">
        <v>22</v>
      </c>
      <c r="J410" s="12" t="s">
        <v>23</v>
      </c>
      <c r="K410">
        <v>4</v>
      </c>
      <c r="L410">
        <v>0</v>
      </c>
      <c r="M410" t="s">
        <v>19</v>
      </c>
      <c r="N410" s="6">
        <v>110</v>
      </c>
      <c r="O410">
        <f>Table13[[#This Row],[Adults]]+Table13[[#This Row],[Children]]</f>
        <v>4</v>
      </c>
      <c r="P410">
        <f>_xlfn.DAYS(Table13[[#This Row],[Depart]],Table13[[#This Row],[Arrive]])</f>
        <v>1</v>
      </c>
    </row>
    <row r="411" spans="1:16" x14ac:dyDescent="0.25">
      <c r="A411" t="s">
        <v>601</v>
      </c>
      <c r="B411" t="s">
        <v>602</v>
      </c>
      <c r="C411" t="s">
        <v>2225</v>
      </c>
      <c r="D411" s="1">
        <v>44054</v>
      </c>
      <c r="E411" s="1">
        <v>44055</v>
      </c>
      <c r="F411" s="1">
        <v>44054</v>
      </c>
      <c r="G411" s="2">
        <v>0.33333333333333331</v>
      </c>
      <c r="H411" s="3">
        <v>1</v>
      </c>
      <c r="I411" t="s">
        <v>22</v>
      </c>
      <c r="J411" s="12" t="s">
        <v>23</v>
      </c>
      <c r="K411">
        <v>4</v>
      </c>
      <c r="L411">
        <v>0</v>
      </c>
      <c r="M411" t="s">
        <v>19</v>
      </c>
      <c r="N411" s="6">
        <v>110</v>
      </c>
      <c r="O411">
        <f>Table13[[#This Row],[Adults]]+Table13[[#This Row],[Children]]</f>
        <v>4</v>
      </c>
      <c r="P411">
        <f>_xlfn.DAYS(Table13[[#This Row],[Depart]],Table13[[#This Row],[Arrive]])</f>
        <v>1</v>
      </c>
    </row>
    <row r="412" spans="1:16" x14ac:dyDescent="0.25">
      <c r="A412" t="s">
        <v>344</v>
      </c>
      <c r="B412" t="s">
        <v>345</v>
      </c>
      <c r="C412" t="s">
        <v>2225</v>
      </c>
      <c r="D412" s="1">
        <v>44055</v>
      </c>
      <c r="E412" s="1">
        <v>44058</v>
      </c>
      <c r="F412" s="1">
        <v>44048</v>
      </c>
      <c r="G412" s="2">
        <v>0.33333333333333331</v>
      </c>
      <c r="H412" s="3">
        <v>1</v>
      </c>
      <c r="I412" t="s">
        <v>22</v>
      </c>
      <c r="J412" s="12" t="s">
        <v>23</v>
      </c>
      <c r="K412">
        <v>6</v>
      </c>
      <c r="L412">
        <v>0</v>
      </c>
      <c r="M412" t="s">
        <v>19</v>
      </c>
      <c r="N412" s="6">
        <v>330</v>
      </c>
      <c r="O412">
        <f>Table13[[#This Row],[Adults]]+Table13[[#This Row],[Children]]</f>
        <v>6</v>
      </c>
      <c r="P412">
        <f>_xlfn.DAYS(Table13[[#This Row],[Depart]],Table13[[#This Row],[Arrive]])</f>
        <v>3</v>
      </c>
    </row>
    <row r="413" spans="1:16" x14ac:dyDescent="0.25">
      <c r="A413" t="s">
        <v>591</v>
      </c>
      <c r="B413" t="s">
        <v>592</v>
      </c>
      <c r="C413" t="s">
        <v>2226</v>
      </c>
      <c r="D413" s="1">
        <v>44055</v>
      </c>
      <c r="E413" s="1">
        <v>44058</v>
      </c>
      <c r="F413" s="1">
        <v>44048</v>
      </c>
      <c r="G413" s="2">
        <v>0.33333333333333331</v>
      </c>
      <c r="H413" s="3">
        <v>1</v>
      </c>
      <c r="I413" t="s">
        <v>22</v>
      </c>
      <c r="J413" s="12" t="s">
        <v>18</v>
      </c>
      <c r="K413">
        <v>8</v>
      </c>
      <c r="L413">
        <v>0</v>
      </c>
      <c r="M413" t="s">
        <v>19</v>
      </c>
      <c r="N413" s="6">
        <v>450</v>
      </c>
      <c r="O413">
        <f>Table13[[#This Row],[Adults]]+Table13[[#This Row],[Children]]</f>
        <v>8</v>
      </c>
      <c r="P413">
        <f>_xlfn.DAYS(Table13[[#This Row],[Depart]],Table13[[#This Row],[Arrive]])</f>
        <v>3</v>
      </c>
    </row>
    <row r="414" spans="1:16" x14ac:dyDescent="0.25">
      <c r="A414" t="s">
        <v>593</v>
      </c>
      <c r="B414" t="s">
        <v>594</v>
      </c>
      <c r="C414" t="s">
        <v>2228</v>
      </c>
      <c r="D414" s="1">
        <v>44055</v>
      </c>
      <c r="E414" s="1">
        <v>44056</v>
      </c>
      <c r="F414" s="1">
        <v>44049</v>
      </c>
      <c r="G414" s="2">
        <v>0.58333333333333337</v>
      </c>
      <c r="H414" s="2">
        <v>0.45833333333333331</v>
      </c>
      <c r="I414" t="s">
        <v>22</v>
      </c>
      <c r="J414" s="12" t="s">
        <v>18</v>
      </c>
      <c r="K414">
        <v>6</v>
      </c>
      <c r="L414">
        <v>0</v>
      </c>
      <c r="M414" t="s">
        <v>19</v>
      </c>
      <c r="N414" s="6">
        <v>131</v>
      </c>
      <c r="O414">
        <f>Table13[[#This Row],[Adults]]+Table13[[#This Row],[Children]]</f>
        <v>6</v>
      </c>
      <c r="P414">
        <f>_xlfn.DAYS(Table13[[#This Row],[Depart]],Table13[[#This Row],[Arrive]])</f>
        <v>1</v>
      </c>
    </row>
    <row r="415" spans="1:16" x14ac:dyDescent="0.25">
      <c r="A415" t="s">
        <v>595</v>
      </c>
      <c r="B415" t="s">
        <v>596</v>
      </c>
      <c r="C415" t="s">
        <v>2228</v>
      </c>
      <c r="D415" s="1">
        <v>44055</v>
      </c>
      <c r="E415" s="1">
        <v>44057</v>
      </c>
      <c r="F415" s="1">
        <v>44053</v>
      </c>
      <c r="G415" s="2">
        <v>0.58333333333333337</v>
      </c>
      <c r="H415" s="2">
        <v>0.45833333333333331</v>
      </c>
      <c r="I415" t="s">
        <v>22</v>
      </c>
      <c r="J415" s="12" t="s">
        <v>23</v>
      </c>
      <c r="K415">
        <v>5</v>
      </c>
      <c r="L415">
        <v>0</v>
      </c>
      <c r="M415" t="s">
        <v>19</v>
      </c>
      <c r="N415" s="6">
        <v>220</v>
      </c>
      <c r="O415">
        <f>Table13[[#This Row],[Adults]]+Table13[[#This Row],[Children]]</f>
        <v>5</v>
      </c>
      <c r="P415">
        <f>_xlfn.DAYS(Table13[[#This Row],[Depart]],Table13[[#This Row],[Arrive]])</f>
        <v>2</v>
      </c>
    </row>
    <row r="416" spans="1:16" x14ac:dyDescent="0.25">
      <c r="A416" t="s">
        <v>601</v>
      </c>
      <c r="B416" t="s">
        <v>602</v>
      </c>
      <c r="C416" t="s">
        <v>2226</v>
      </c>
      <c r="D416" s="1">
        <v>44055</v>
      </c>
      <c r="E416" s="1">
        <v>44056</v>
      </c>
      <c r="F416" s="1">
        <v>44053</v>
      </c>
      <c r="G416" s="2">
        <v>0.33333333333333331</v>
      </c>
      <c r="H416" s="3">
        <v>1</v>
      </c>
      <c r="I416" t="s">
        <v>22</v>
      </c>
      <c r="J416" s="12" t="s">
        <v>23</v>
      </c>
      <c r="K416">
        <v>4</v>
      </c>
      <c r="L416">
        <v>0</v>
      </c>
      <c r="M416" t="s">
        <v>19</v>
      </c>
      <c r="N416" s="6">
        <v>110</v>
      </c>
      <c r="O416">
        <f>Table13[[#This Row],[Adults]]+Table13[[#This Row],[Children]]</f>
        <v>4</v>
      </c>
      <c r="P416">
        <f>_xlfn.DAYS(Table13[[#This Row],[Depart]],Table13[[#This Row],[Arrive]])</f>
        <v>1</v>
      </c>
    </row>
    <row r="417" spans="1:16" x14ac:dyDescent="0.25">
      <c r="A417" t="s">
        <v>597</v>
      </c>
      <c r="B417" t="s">
        <v>598</v>
      </c>
      <c r="C417" t="s">
        <v>2223</v>
      </c>
      <c r="D417" s="1">
        <v>44055</v>
      </c>
      <c r="E417" s="1">
        <v>44056</v>
      </c>
      <c r="F417" s="1">
        <v>44052</v>
      </c>
      <c r="G417" s="2">
        <v>0.58333333333333337</v>
      </c>
      <c r="H417" s="2">
        <v>0.45833333333333331</v>
      </c>
      <c r="I417" t="s">
        <v>22</v>
      </c>
      <c r="J417" s="12" t="s">
        <v>23</v>
      </c>
      <c r="K417">
        <v>5</v>
      </c>
      <c r="L417">
        <v>0</v>
      </c>
      <c r="M417" t="s">
        <v>19</v>
      </c>
      <c r="N417" s="6">
        <v>110</v>
      </c>
      <c r="O417">
        <f>Table13[[#This Row],[Adults]]+Table13[[#This Row],[Children]]</f>
        <v>5</v>
      </c>
      <c r="P417">
        <f>_xlfn.DAYS(Table13[[#This Row],[Depart]],Table13[[#This Row],[Arrive]])</f>
        <v>1</v>
      </c>
    </row>
    <row r="418" spans="1:16" x14ac:dyDescent="0.25">
      <c r="A418" t="s">
        <v>895</v>
      </c>
      <c r="B418" t="s">
        <v>896</v>
      </c>
      <c r="C418" t="s">
        <v>2226</v>
      </c>
      <c r="D418" s="1">
        <v>44055</v>
      </c>
      <c r="E418" s="1">
        <v>44086</v>
      </c>
      <c r="F418" s="1">
        <v>44126</v>
      </c>
      <c r="G418" s="2">
        <v>0.5</v>
      </c>
      <c r="H418" s="2">
        <v>0.58333333333333337</v>
      </c>
      <c r="I418" t="s">
        <v>22</v>
      </c>
      <c r="J418" s="12" t="s">
        <v>18</v>
      </c>
      <c r="K418">
        <v>1</v>
      </c>
      <c r="L418">
        <v>0</v>
      </c>
      <c r="M418" t="s">
        <v>19</v>
      </c>
      <c r="N418" s="6">
        <v>75000</v>
      </c>
      <c r="O418">
        <f>Table13[[#This Row],[Adults]]+Table13[[#This Row],[Children]]</f>
        <v>1</v>
      </c>
      <c r="P418">
        <f>_xlfn.DAYS(Table13[[#This Row],[Depart]],Table13[[#This Row],[Arrive]])</f>
        <v>31</v>
      </c>
    </row>
    <row r="419" spans="1:16" x14ac:dyDescent="0.25">
      <c r="A419" t="s">
        <v>895</v>
      </c>
      <c r="B419" t="s">
        <v>896</v>
      </c>
      <c r="C419" t="s">
        <v>2226</v>
      </c>
      <c r="D419" s="1">
        <v>44055</v>
      </c>
      <c r="E419" s="1">
        <v>44086</v>
      </c>
      <c r="F419" s="1">
        <v>44126</v>
      </c>
      <c r="G419" s="2">
        <v>0.5</v>
      </c>
      <c r="H419" s="2">
        <v>0.58333333333333337</v>
      </c>
      <c r="I419" t="s">
        <v>22</v>
      </c>
      <c r="J419" s="12" t="s">
        <v>18</v>
      </c>
      <c r="K419">
        <v>1</v>
      </c>
      <c r="L419">
        <v>0</v>
      </c>
      <c r="M419" t="s">
        <v>19</v>
      </c>
      <c r="N419" s="6">
        <v>75000</v>
      </c>
      <c r="O419">
        <f>Table13[[#This Row],[Adults]]+Table13[[#This Row],[Children]]</f>
        <v>1</v>
      </c>
      <c r="P419">
        <f>_xlfn.DAYS(Table13[[#This Row],[Depart]],Table13[[#This Row],[Arrive]])</f>
        <v>31</v>
      </c>
    </row>
    <row r="420" spans="1:16" x14ac:dyDescent="0.25">
      <c r="A420" t="s">
        <v>895</v>
      </c>
      <c r="B420" t="s">
        <v>896</v>
      </c>
      <c r="C420" t="s">
        <v>2226</v>
      </c>
      <c r="D420" s="1">
        <v>44055</v>
      </c>
      <c r="E420" s="1">
        <v>44086</v>
      </c>
      <c r="F420" s="1">
        <v>44126</v>
      </c>
      <c r="G420" s="2">
        <v>0.5</v>
      </c>
      <c r="H420" s="2">
        <v>0.58333333333333337</v>
      </c>
      <c r="I420" t="s">
        <v>22</v>
      </c>
      <c r="J420" s="12" t="s">
        <v>18</v>
      </c>
      <c r="K420">
        <v>1</v>
      </c>
      <c r="L420">
        <v>0</v>
      </c>
      <c r="M420" t="s">
        <v>19</v>
      </c>
      <c r="N420" s="6">
        <v>75000</v>
      </c>
      <c r="O420">
        <f>Table13[[#This Row],[Adults]]+Table13[[#This Row],[Children]]</f>
        <v>1</v>
      </c>
      <c r="P420">
        <f>_xlfn.DAYS(Table13[[#This Row],[Depart]],Table13[[#This Row],[Arrive]])</f>
        <v>31</v>
      </c>
    </row>
    <row r="421" spans="1:16" x14ac:dyDescent="0.25">
      <c r="A421" t="s">
        <v>895</v>
      </c>
      <c r="B421" t="s">
        <v>896</v>
      </c>
      <c r="C421" t="s">
        <v>2226</v>
      </c>
      <c r="D421" s="1">
        <v>44055</v>
      </c>
      <c r="E421" s="1">
        <v>44086</v>
      </c>
      <c r="F421" s="1">
        <v>44126</v>
      </c>
      <c r="G421" s="2">
        <v>0.5</v>
      </c>
      <c r="H421" s="2">
        <v>0.58333333333333337</v>
      </c>
      <c r="I421" t="s">
        <v>22</v>
      </c>
      <c r="J421" s="12" t="s">
        <v>18</v>
      </c>
      <c r="K421">
        <v>1</v>
      </c>
      <c r="L421">
        <v>0</v>
      </c>
      <c r="M421" t="s">
        <v>19</v>
      </c>
      <c r="N421" s="6">
        <v>75000</v>
      </c>
      <c r="O421">
        <f>Table13[[#This Row],[Adults]]+Table13[[#This Row],[Children]]</f>
        <v>1</v>
      </c>
      <c r="P421">
        <f>_xlfn.DAYS(Table13[[#This Row],[Depart]],Table13[[#This Row],[Arrive]])</f>
        <v>31</v>
      </c>
    </row>
    <row r="422" spans="1:16" x14ac:dyDescent="0.25">
      <c r="A422" t="s">
        <v>895</v>
      </c>
      <c r="B422" t="s">
        <v>896</v>
      </c>
      <c r="C422" t="s">
        <v>2226</v>
      </c>
      <c r="D422" s="1">
        <v>44055</v>
      </c>
      <c r="E422" s="1">
        <v>44086</v>
      </c>
      <c r="F422" s="1">
        <v>44126</v>
      </c>
      <c r="G422" s="2">
        <v>0.5</v>
      </c>
      <c r="H422" s="2">
        <v>0.58333333333333337</v>
      </c>
      <c r="I422" t="s">
        <v>22</v>
      </c>
      <c r="J422" s="12" t="s">
        <v>18</v>
      </c>
      <c r="K422">
        <v>1</v>
      </c>
      <c r="L422">
        <v>0</v>
      </c>
      <c r="M422" t="s">
        <v>19</v>
      </c>
      <c r="N422" s="6">
        <v>75000</v>
      </c>
      <c r="O422">
        <f>Table13[[#This Row],[Adults]]+Table13[[#This Row],[Children]]</f>
        <v>1</v>
      </c>
      <c r="P422">
        <f>_xlfn.DAYS(Table13[[#This Row],[Depart]],Table13[[#This Row],[Arrive]])</f>
        <v>31</v>
      </c>
    </row>
    <row r="423" spans="1:16" x14ac:dyDescent="0.25">
      <c r="A423" t="s">
        <v>895</v>
      </c>
      <c r="B423" t="s">
        <v>896</v>
      </c>
      <c r="C423" t="s">
        <v>2226</v>
      </c>
      <c r="D423" s="1">
        <v>44055</v>
      </c>
      <c r="E423" s="1">
        <v>44086</v>
      </c>
      <c r="F423" s="1">
        <v>44126</v>
      </c>
      <c r="G423" s="2">
        <v>0.5</v>
      </c>
      <c r="H423" s="2">
        <v>0.58333333333333337</v>
      </c>
      <c r="I423" t="s">
        <v>22</v>
      </c>
      <c r="J423" s="12" t="s">
        <v>18</v>
      </c>
      <c r="K423">
        <v>1</v>
      </c>
      <c r="L423">
        <v>0</v>
      </c>
      <c r="M423" t="s">
        <v>19</v>
      </c>
      <c r="N423" s="6">
        <v>75000</v>
      </c>
      <c r="O423">
        <f>Table13[[#This Row],[Adults]]+Table13[[#This Row],[Children]]</f>
        <v>1</v>
      </c>
      <c r="P423">
        <f>_xlfn.DAYS(Table13[[#This Row],[Depart]],Table13[[#This Row],[Arrive]])</f>
        <v>31</v>
      </c>
    </row>
    <row r="424" spans="1:16" x14ac:dyDescent="0.25">
      <c r="A424" t="s">
        <v>895</v>
      </c>
      <c r="B424" t="s">
        <v>896</v>
      </c>
      <c r="C424" t="s">
        <v>2226</v>
      </c>
      <c r="D424" s="1">
        <v>44055</v>
      </c>
      <c r="E424" s="1">
        <v>44086</v>
      </c>
      <c r="F424" s="1">
        <v>44126</v>
      </c>
      <c r="G424" s="2">
        <v>0.5</v>
      </c>
      <c r="H424" s="2">
        <v>0.58333333333333337</v>
      </c>
      <c r="I424" t="s">
        <v>22</v>
      </c>
      <c r="J424" s="12" t="s">
        <v>18</v>
      </c>
      <c r="K424">
        <v>1</v>
      </c>
      <c r="L424">
        <v>0</v>
      </c>
      <c r="M424" t="s">
        <v>19</v>
      </c>
      <c r="N424" s="6">
        <v>75000</v>
      </c>
      <c r="O424">
        <f>Table13[[#This Row],[Adults]]+Table13[[#This Row],[Children]]</f>
        <v>1</v>
      </c>
      <c r="P424">
        <f>_xlfn.DAYS(Table13[[#This Row],[Depart]],Table13[[#This Row],[Arrive]])</f>
        <v>31</v>
      </c>
    </row>
    <row r="425" spans="1:16" x14ac:dyDescent="0.25">
      <c r="A425" t="s">
        <v>895</v>
      </c>
      <c r="B425" t="s">
        <v>896</v>
      </c>
      <c r="C425" t="s">
        <v>2226</v>
      </c>
      <c r="D425" s="1">
        <v>44055</v>
      </c>
      <c r="E425" s="1">
        <v>44086</v>
      </c>
      <c r="F425" s="1">
        <v>44126</v>
      </c>
      <c r="G425" s="2">
        <v>0.5</v>
      </c>
      <c r="H425" s="2">
        <v>0.58333333333333337</v>
      </c>
      <c r="I425" t="s">
        <v>22</v>
      </c>
      <c r="J425" s="12" t="s">
        <v>18</v>
      </c>
      <c r="K425">
        <v>1</v>
      </c>
      <c r="L425">
        <v>0</v>
      </c>
      <c r="M425" t="s">
        <v>19</v>
      </c>
      <c r="N425" s="6">
        <v>75000</v>
      </c>
      <c r="O425">
        <f>Table13[[#This Row],[Adults]]+Table13[[#This Row],[Children]]</f>
        <v>1</v>
      </c>
      <c r="P425">
        <f>_xlfn.DAYS(Table13[[#This Row],[Depart]],Table13[[#This Row],[Arrive]])</f>
        <v>31</v>
      </c>
    </row>
    <row r="426" spans="1:16" x14ac:dyDescent="0.25">
      <c r="A426" t="s">
        <v>895</v>
      </c>
      <c r="B426" t="s">
        <v>896</v>
      </c>
      <c r="C426" t="s">
        <v>2226</v>
      </c>
      <c r="D426" s="1">
        <v>44055</v>
      </c>
      <c r="E426" s="1">
        <v>44086</v>
      </c>
      <c r="F426" s="1">
        <v>44126</v>
      </c>
      <c r="G426" s="2">
        <v>0.5</v>
      </c>
      <c r="H426" s="2">
        <v>0.58333333333333337</v>
      </c>
      <c r="I426" t="s">
        <v>22</v>
      </c>
      <c r="J426" s="12" t="s">
        <v>18</v>
      </c>
      <c r="K426">
        <v>1</v>
      </c>
      <c r="L426">
        <v>0</v>
      </c>
      <c r="M426" t="s">
        <v>19</v>
      </c>
      <c r="N426" s="6">
        <v>75000</v>
      </c>
      <c r="O426">
        <f>Table13[[#This Row],[Adults]]+Table13[[#This Row],[Children]]</f>
        <v>1</v>
      </c>
      <c r="P426">
        <f>_xlfn.DAYS(Table13[[#This Row],[Depart]],Table13[[#This Row],[Arrive]])</f>
        <v>31</v>
      </c>
    </row>
    <row r="427" spans="1:16" x14ac:dyDescent="0.25">
      <c r="A427" t="s">
        <v>895</v>
      </c>
      <c r="B427" t="s">
        <v>896</v>
      </c>
      <c r="C427" t="s">
        <v>2226</v>
      </c>
      <c r="D427" s="1">
        <v>44055</v>
      </c>
      <c r="E427" s="1">
        <v>44086</v>
      </c>
      <c r="F427" s="1">
        <v>44126</v>
      </c>
      <c r="G427" s="2">
        <v>0.5</v>
      </c>
      <c r="H427" s="2">
        <v>0.58333333333333337</v>
      </c>
      <c r="I427" t="s">
        <v>22</v>
      </c>
      <c r="J427" s="12" t="s">
        <v>18</v>
      </c>
      <c r="K427">
        <v>1</v>
      </c>
      <c r="L427">
        <v>0</v>
      </c>
      <c r="M427" t="s">
        <v>19</v>
      </c>
      <c r="N427" s="6">
        <v>75000</v>
      </c>
      <c r="O427">
        <f>Table13[[#This Row],[Adults]]+Table13[[#This Row],[Children]]</f>
        <v>1</v>
      </c>
      <c r="P427">
        <f>_xlfn.DAYS(Table13[[#This Row],[Depart]],Table13[[#This Row],[Arrive]])</f>
        <v>31</v>
      </c>
    </row>
    <row r="428" spans="1:16" x14ac:dyDescent="0.25">
      <c r="A428" t="s">
        <v>895</v>
      </c>
      <c r="B428" t="s">
        <v>896</v>
      </c>
      <c r="C428" t="s">
        <v>2226</v>
      </c>
      <c r="D428" s="1">
        <v>44055</v>
      </c>
      <c r="E428" s="1">
        <v>44086</v>
      </c>
      <c r="F428" s="1">
        <v>44126</v>
      </c>
      <c r="G428" s="2">
        <v>0.5</v>
      </c>
      <c r="H428" s="2">
        <v>0.58333333333333337</v>
      </c>
      <c r="I428" t="s">
        <v>22</v>
      </c>
      <c r="J428" s="12" t="s">
        <v>18</v>
      </c>
      <c r="K428">
        <v>1</v>
      </c>
      <c r="L428">
        <v>0</v>
      </c>
      <c r="M428" t="s">
        <v>19</v>
      </c>
      <c r="N428" s="6">
        <v>75000</v>
      </c>
      <c r="O428">
        <f>Table13[[#This Row],[Adults]]+Table13[[#This Row],[Children]]</f>
        <v>1</v>
      </c>
      <c r="P428">
        <f>_xlfn.DAYS(Table13[[#This Row],[Depart]],Table13[[#This Row],[Arrive]])</f>
        <v>31</v>
      </c>
    </row>
    <row r="429" spans="1:16" x14ac:dyDescent="0.25">
      <c r="A429" t="s">
        <v>895</v>
      </c>
      <c r="B429" t="s">
        <v>896</v>
      </c>
      <c r="C429" t="s">
        <v>2226</v>
      </c>
      <c r="D429" s="1">
        <v>44055</v>
      </c>
      <c r="E429" s="1">
        <v>44086</v>
      </c>
      <c r="F429" s="1">
        <v>44126</v>
      </c>
      <c r="G429" s="2">
        <v>0.5</v>
      </c>
      <c r="H429" s="2">
        <v>0.58333333333333337</v>
      </c>
      <c r="I429" t="s">
        <v>22</v>
      </c>
      <c r="J429" s="12" t="s">
        <v>18</v>
      </c>
      <c r="K429">
        <v>1</v>
      </c>
      <c r="L429">
        <v>0</v>
      </c>
      <c r="M429" t="s">
        <v>19</v>
      </c>
      <c r="N429" s="6">
        <v>75000</v>
      </c>
      <c r="O429">
        <f>Table13[[#This Row],[Adults]]+Table13[[#This Row],[Children]]</f>
        <v>1</v>
      </c>
      <c r="P429">
        <f>_xlfn.DAYS(Table13[[#This Row],[Depart]],Table13[[#This Row],[Arrive]])</f>
        <v>31</v>
      </c>
    </row>
    <row r="430" spans="1:16" x14ac:dyDescent="0.25">
      <c r="A430" t="s">
        <v>871</v>
      </c>
      <c r="B430" t="s">
        <v>872</v>
      </c>
      <c r="C430" t="s">
        <v>2226</v>
      </c>
      <c r="D430" s="1">
        <v>44055</v>
      </c>
      <c r="E430" s="1">
        <v>44086</v>
      </c>
      <c r="F430" s="1">
        <v>44132</v>
      </c>
      <c r="G430" s="2">
        <v>0.5</v>
      </c>
      <c r="H430" s="2">
        <v>0.58333333333333337</v>
      </c>
      <c r="I430" t="s">
        <v>22</v>
      </c>
      <c r="J430" s="12" t="s">
        <v>18</v>
      </c>
      <c r="K430">
        <v>1</v>
      </c>
      <c r="L430">
        <v>0</v>
      </c>
      <c r="M430" t="s">
        <v>19</v>
      </c>
      <c r="N430" s="6">
        <v>75000</v>
      </c>
      <c r="O430">
        <f>Table13[[#This Row],[Adults]]+Table13[[#This Row],[Children]]</f>
        <v>1</v>
      </c>
      <c r="P430">
        <f>_xlfn.DAYS(Table13[[#This Row],[Depart]],Table13[[#This Row],[Arrive]])</f>
        <v>31</v>
      </c>
    </row>
    <row r="431" spans="1:16" x14ac:dyDescent="0.25">
      <c r="A431" t="s">
        <v>541</v>
      </c>
      <c r="B431" t="s">
        <v>542</v>
      </c>
      <c r="C431" t="s">
        <v>2223</v>
      </c>
      <c r="D431" s="1">
        <v>44056</v>
      </c>
      <c r="E431" s="1">
        <v>44058</v>
      </c>
      <c r="F431" s="1">
        <v>44043</v>
      </c>
      <c r="G431" s="2">
        <v>0.58333333333333337</v>
      </c>
      <c r="H431" s="2">
        <v>0.45833333333333331</v>
      </c>
      <c r="I431" t="s">
        <v>22</v>
      </c>
      <c r="J431" s="12" t="s">
        <v>23</v>
      </c>
      <c r="K431">
        <v>6</v>
      </c>
      <c r="L431">
        <v>2</v>
      </c>
      <c r="M431" t="s">
        <v>19</v>
      </c>
      <c r="N431" s="6">
        <v>300</v>
      </c>
      <c r="O431">
        <f>Table13[[#This Row],[Adults]]+Table13[[#This Row],[Children]]</f>
        <v>8</v>
      </c>
      <c r="P431">
        <f>_xlfn.DAYS(Table13[[#This Row],[Depart]],Table13[[#This Row],[Arrive]])</f>
        <v>2</v>
      </c>
    </row>
    <row r="432" spans="1:16" x14ac:dyDescent="0.25">
      <c r="A432" t="s">
        <v>597</v>
      </c>
      <c r="B432" t="s">
        <v>598</v>
      </c>
      <c r="C432" t="s">
        <v>2226</v>
      </c>
      <c r="D432" s="1">
        <v>44056</v>
      </c>
      <c r="E432" s="1">
        <v>44058</v>
      </c>
      <c r="F432" s="1">
        <v>44053</v>
      </c>
      <c r="G432" s="2">
        <v>0.33333333333333331</v>
      </c>
      <c r="H432" s="3">
        <v>1</v>
      </c>
      <c r="I432" t="s">
        <v>22</v>
      </c>
      <c r="J432" s="12" t="s">
        <v>18</v>
      </c>
      <c r="K432">
        <v>4</v>
      </c>
      <c r="L432">
        <v>0</v>
      </c>
      <c r="M432" t="s">
        <v>19</v>
      </c>
      <c r="N432" s="6">
        <v>220</v>
      </c>
      <c r="O432">
        <f>Table13[[#This Row],[Adults]]+Table13[[#This Row],[Children]]</f>
        <v>4</v>
      </c>
      <c r="P432">
        <f>_xlfn.DAYS(Table13[[#This Row],[Depart]],Table13[[#This Row],[Arrive]])</f>
        <v>2</v>
      </c>
    </row>
    <row r="433" spans="1:16" x14ac:dyDescent="0.25">
      <c r="A433" t="s">
        <v>296</v>
      </c>
      <c r="B433" t="s">
        <v>297</v>
      </c>
      <c r="C433" t="s">
        <v>2226</v>
      </c>
      <c r="D433" s="1">
        <v>44056</v>
      </c>
      <c r="E433" s="1">
        <v>44057</v>
      </c>
      <c r="F433" s="1">
        <v>44055</v>
      </c>
      <c r="G433" s="2">
        <v>0.33333333333333331</v>
      </c>
      <c r="H433" s="3">
        <v>1</v>
      </c>
      <c r="I433" t="s">
        <v>22</v>
      </c>
      <c r="J433" s="12" t="s">
        <v>23</v>
      </c>
      <c r="K433">
        <v>5</v>
      </c>
      <c r="L433">
        <v>0</v>
      </c>
      <c r="M433" t="s">
        <v>19</v>
      </c>
      <c r="N433" s="6">
        <v>110</v>
      </c>
      <c r="O433">
        <f>Table13[[#This Row],[Adults]]+Table13[[#This Row],[Children]]</f>
        <v>5</v>
      </c>
      <c r="P433">
        <f>_xlfn.DAYS(Table13[[#This Row],[Depart]],Table13[[#This Row],[Arrive]])</f>
        <v>1</v>
      </c>
    </row>
    <row r="434" spans="1:16" x14ac:dyDescent="0.25">
      <c r="A434" t="s">
        <v>244</v>
      </c>
      <c r="B434" t="s">
        <v>245</v>
      </c>
      <c r="C434" t="s">
        <v>2228</v>
      </c>
      <c r="D434" s="1">
        <v>44057</v>
      </c>
      <c r="E434" s="1">
        <v>44059</v>
      </c>
      <c r="F434" s="1">
        <v>44040</v>
      </c>
      <c r="G434" s="2">
        <v>0.58333333333333337</v>
      </c>
      <c r="H434" s="2">
        <v>0.45833333333333331</v>
      </c>
      <c r="I434" t="s">
        <v>22</v>
      </c>
      <c r="J434" s="12" t="s">
        <v>23</v>
      </c>
      <c r="K434">
        <v>5</v>
      </c>
      <c r="L434">
        <v>0</v>
      </c>
      <c r="M434" t="s">
        <v>19</v>
      </c>
      <c r="N434" s="6">
        <v>220</v>
      </c>
      <c r="O434">
        <f>Table13[[#This Row],[Adults]]+Table13[[#This Row],[Children]]</f>
        <v>5</v>
      </c>
      <c r="P434">
        <f>_xlfn.DAYS(Table13[[#This Row],[Depart]],Table13[[#This Row],[Arrive]])</f>
        <v>2</v>
      </c>
    </row>
    <row r="435" spans="1:16" x14ac:dyDescent="0.25">
      <c r="A435" t="s">
        <v>482</v>
      </c>
      <c r="B435" t="s">
        <v>483</v>
      </c>
      <c r="C435" t="s">
        <v>2226</v>
      </c>
      <c r="D435" s="1">
        <v>44057</v>
      </c>
      <c r="E435" s="1">
        <v>44058</v>
      </c>
      <c r="F435" s="1">
        <v>44026</v>
      </c>
      <c r="G435" s="2">
        <v>0.33333333333333331</v>
      </c>
      <c r="H435" s="3">
        <v>1</v>
      </c>
      <c r="I435" t="s">
        <v>22</v>
      </c>
      <c r="J435" s="12" t="s">
        <v>18</v>
      </c>
      <c r="K435">
        <v>7</v>
      </c>
      <c r="L435">
        <v>0</v>
      </c>
      <c r="M435" t="s">
        <v>19</v>
      </c>
      <c r="N435" s="6">
        <v>155</v>
      </c>
      <c r="O435">
        <f>Table13[[#This Row],[Adults]]+Table13[[#This Row],[Children]]</f>
        <v>7</v>
      </c>
      <c r="P435">
        <f>_xlfn.DAYS(Table13[[#This Row],[Depart]],Table13[[#This Row],[Arrive]])</f>
        <v>1</v>
      </c>
    </row>
    <row r="436" spans="1:16" x14ac:dyDescent="0.25">
      <c r="A436" t="s">
        <v>599</v>
      </c>
      <c r="B436" t="s">
        <v>600</v>
      </c>
      <c r="C436" t="s">
        <v>2226</v>
      </c>
      <c r="D436" s="1">
        <v>44057</v>
      </c>
      <c r="E436" s="1">
        <v>44058</v>
      </c>
      <c r="F436" s="1">
        <v>44053</v>
      </c>
      <c r="G436" s="2">
        <v>0.33333333333333331</v>
      </c>
      <c r="H436" s="3">
        <v>1</v>
      </c>
      <c r="I436" t="s">
        <v>22</v>
      </c>
      <c r="J436" s="12" t="s">
        <v>23</v>
      </c>
      <c r="K436">
        <v>5</v>
      </c>
      <c r="L436">
        <v>0</v>
      </c>
      <c r="M436" t="s">
        <v>19</v>
      </c>
      <c r="N436" s="6">
        <v>110</v>
      </c>
      <c r="O436">
        <f>Table13[[#This Row],[Adults]]+Table13[[#This Row],[Children]]</f>
        <v>5</v>
      </c>
      <c r="P436">
        <f>_xlfn.DAYS(Table13[[#This Row],[Depart]],Table13[[#This Row],[Arrive]])</f>
        <v>1</v>
      </c>
    </row>
    <row r="437" spans="1:16" x14ac:dyDescent="0.25">
      <c r="A437" t="s">
        <v>444</v>
      </c>
      <c r="B437" t="s">
        <v>445</v>
      </c>
      <c r="C437" t="s">
        <v>2226</v>
      </c>
      <c r="D437" s="1">
        <v>44058</v>
      </c>
      <c r="E437" s="1">
        <v>44060</v>
      </c>
      <c r="F437" s="1">
        <v>44019</v>
      </c>
      <c r="G437" s="2">
        <v>0.33333333333333331</v>
      </c>
      <c r="H437" s="3">
        <v>1</v>
      </c>
      <c r="I437" t="s">
        <v>22</v>
      </c>
      <c r="J437" s="12" t="s">
        <v>18</v>
      </c>
      <c r="K437">
        <v>3</v>
      </c>
      <c r="L437">
        <v>0</v>
      </c>
      <c r="M437" t="s">
        <v>19</v>
      </c>
      <c r="N437" s="6">
        <v>270</v>
      </c>
      <c r="O437">
        <f>Table13[[#This Row],[Adults]]+Table13[[#This Row],[Children]]</f>
        <v>3</v>
      </c>
      <c r="P437">
        <f>_xlfn.DAYS(Table13[[#This Row],[Depart]],Table13[[#This Row],[Arrive]])</f>
        <v>2</v>
      </c>
    </row>
    <row r="438" spans="1:16" x14ac:dyDescent="0.25">
      <c r="A438" t="s">
        <v>458</v>
      </c>
      <c r="B438" t="s">
        <v>459</v>
      </c>
      <c r="C438" t="s">
        <v>2226</v>
      </c>
      <c r="D438" s="1">
        <v>44058</v>
      </c>
      <c r="E438" s="1">
        <v>44060</v>
      </c>
      <c r="F438" s="1">
        <v>44021</v>
      </c>
      <c r="G438" s="2">
        <v>0.33333333333333331</v>
      </c>
      <c r="H438" s="3">
        <v>1</v>
      </c>
      <c r="I438" t="s">
        <v>22</v>
      </c>
      <c r="J438" s="12" t="s">
        <v>23</v>
      </c>
      <c r="K438">
        <v>4</v>
      </c>
      <c r="L438">
        <v>0</v>
      </c>
      <c r="M438" t="s">
        <v>19</v>
      </c>
      <c r="N438" s="6">
        <v>270</v>
      </c>
      <c r="O438">
        <f>Table13[[#This Row],[Adults]]+Table13[[#This Row],[Children]]</f>
        <v>4</v>
      </c>
      <c r="P438">
        <f>_xlfn.DAYS(Table13[[#This Row],[Depart]],Table13[[#This Row],[Arrive]])</f>
        <v>2</v>
      </c>
    </row>
    <row r="439" spans="1:16" x14ac:dyDescent="0.25">
      <c r="A439" t="s">
        <v>462</v>
      </c>
      <c r="B439" t="s">
        <v>463</v>
      </c>
      <c r="C439" t="s">
        <v>2223</v>
      </c>
      <c r="D439" s="1">
        <v>44058</v>
      </c>
      <c r="E439" s="1">
        <v>44059</v>
      </c>
      <c r="F439" s="1">
        <v>44021</v>
      </c>
      <c r="G439" s="2">
        <v>0.33333333333333331</v>
      </c>
      <c r="H439" s="3">
        <v>1</v>
      </c>
      <c r="I439" t="s">
        <v>22</v>
      </c>
      <c r="J439" s="12" t="s">
        <v>18</v>
      </c>
      <c r="K439">
        <v>6</v>
      </c>
      <c r="L439">
        <v>0</v>
      </c>
      <c r="M439" t="s">
        <v>19</v>
      </c>
      <c r="N439" s="6">
        <v>135</v>
      </c>
      <c r="O439">
        <f>Table13[[#This Row],[Adults]]+Table13[[#This Row],[Children]]</f>
        <v>6</v>
      </c>
      <c r="P439">
        <f>_xlfn.DAYS(Table13[[#This Row],[Depart]],Table13[[#This Row],[Arrive]])</f>
        <v>1</v>
      </c>
    </row>
    <row r="440" spans="1:16" x14ac:dyDescent="0.25">
      <c r="A440" t="s">
        <v>464</v>
      </c>
      <c r="B440" t="s">
        <v>465</v>
      </c>
      <c r="C440" t="s">
        <v>2223</v>
      </c>
      <c r="D440" s="1">
        <v>44058</v>
      </c>
      <c r="E440" s="1">
        <v>44059</v>
      </c>
      <c r="F440" s="1">
        <v>44022</v>
      </c>
      <c r="G440" s="2">
        <v>0.33333333333333331</v>
      </c>
      <c r="H440" s="3">
        <v>1</v>
      </c>
      <c r="I440" t="s">
        <v>22</v>
      </c>
      <c r="J440" s="12" t="s">
        <v>23</v>
      </c>
      <c r="K440">
        <v>6</v>
      </c>
      <c r="L440">
        <v>0</v>
      </c>
      <c r="M440" t="s">
        <v>19</v>
      </c>
      <c r="N440" s="6">
        <v>135</v>
      </c>
      <c r="O440">
        <f>Table13[[#This Row],[Adults]]+Table13[[#This Row],[Children]]</f>
        <v>6</v>
      </c>
      <c r="P440">
        <f>_xlfn.DAYS(Table13[[#This Row],[Depart]],Table13[[#This Row],[Arrive]])</f>
        <v>1</v>
      </c>
    </row>
    <row r="441" spans="1:16" x14ac:dyDescent="0.25">
      <c r="A441" t="s">
        <v>518</v>
      </c>
      <c r="B441" t="s">
        <v>519</v>
      </c>
      <c r="C441" t="s">
        <v>2224</v>
      </c>
      <c r="D441" s="1">
        <v>44058</v>
      </c>
      <c r="E441" s="1">
        <v>44063</v>
      </c>
      <c r="F441" s="1">
        <v>43905</v>
      </c>
      <c r="G441" s="2">
        <v>0.33333333333333331</v>
      </c>
      <c r="H441" s="3">
        <v>1</v>
      </c>
      <c r="I441" t="s">
        <v>520</v>
      </c>
      <c r="J441" s="12" t="s">
        <v>18</v>
      </c>
      <c r="K441">
        <v>2</v>
      </c>
      <c r="L441">
        <v>3</v>
      </c>
      <c r="M441" t="s">
        <v>19</v>
      </c>
      <c r="N441" s="6">
        <v>536</v>
      </c>
      <c r="O441">
        <f>Table13[[#This Row],[Adults]]+Table13[[#This Row],[Children]]</f>
        <v>5</v>
      </c>
      <c r="P441">
        <f>_xlfn.DAYS(Table13[[#This Row],[Depart]],Table13[[#This Row],[Arrive]])</f>
        <v>5</v>
      </c>
    </row>
    <row r="442" spans="1:16" x14ac:dyDescent="0.25">
      <c r="A442" t="s">
        <v>444</v>
      </c>
      <c r="B442" t="s">
        <v>445</v>
      </c>
      <c r="C442" t="s">
        <v>2225</v>
      </c>
      <c r="D442" s="1">
        <v>44058</v>
      </c>
      <c r="E442" s="1">
        <v>44060</v>
      </c>
      <c r="F442" s="1">
        <v>44020</v>
      </c>
      <c r="G442" s="2">
        <v>0.33333333333333331</v>
      </c>
      <c r="H442" s="3">
        <v>1</v>
      </c>
      <c r="I442" t="s">
        <v>22</v>
      </c>
      <c r="J442" s="12" t="s">
        <v>23</v>
      </c>
      <c r="K442">
        <v>5</v>
      </c>
      <c r="L442">
        <v>0</v>
      </c>
      <c r="M442" t="s">
        <v>19</v>
      </c>
      <c r="N442" s="6">
        <v>220</v>
      </c>
      <c r="O442">
        <f>Table13[[#This Row],[Adults]]+Table13[[#This Row],[Children]]</f>
        <v>5</v>
      </c>
      <c r="P442">
        <f>_xlfn.DAYS(Table13[[#This Row],[Depart]],Table13[[#This Row],[Arrive]])</f>
        <v>2</v>
      </c>
    </row>
    <row r="443" spans="1:16" x14ac:dyDescent="0.25">
      <c r="A443" t="s">
        <v>525</v>
      </c>
      <c r="B443" t="s">
        <v>526</v>
      </c>
      <c r="C443" t="s">
        <v>2224</v>
      </c>
      <c r="D443" s="1">
        <v>44059</v>
      </c>
      <c r="E443" s="1">
        <v>44063</v>
      </c>
      <c r="F443" s="1">
        <v>44040</v>
      </c>
      <c r="G443" s="2">
        <v>0.33333333333333331</v>
      </c>
      <c r="H443" s="3">
        <v>1</v>
      </c>
      <c r="I443" t="s">
        <v>26</v>
      </c>
      <c r="J443" s="12" t="s">
        <v>18</v>
      </c>
      <c r="K443">
        <v>1</v>
      </c>
      <c r="L443">
        <v>0</v>
      </c>
      <c r="M443" t="s">
        <v>19</v>
      </c>
      <c r="N443" s="6">
        <v>521</v>
      </c>
      <c r="O443">
        <f>Table13[[#This Row],[Adults]]+Table13[[#This Row],[Children]]</f>
        <v>1</v>
      </c>
      <c r="P443">
        <f>_xlfn.DAYS(Table13[[#This Row],[Depart]],Table13[[#This Row],[Arrive]])</f>
        <v>4</v>
      </c>
    </row>
    <row r="444" spans="1:16" x14ac:dyDescent="0.25">
      <c r="A444" t="s">
        <v>535</v>
      </c>
      <c r="B444" t="s">
        <v>536</v>
      </c>
      <c r="C444" t="s">
        <v>2224</v>
      </c>
      <c r="D444" s="1">
        <v>44059</v>
      </c>
      <c r="E444" s="1">
        <v>44064</v>
      </c>
      <c r="F444" s="1">
        <v>44041</v>
      </c>
      <c r="G444" s="2">
        <v>0.33333333333333331</v>
      </c>
      <c r="H444" s="3">
        <v>1</v>
      </c>
      <c r="I444" t="s">
        <v>22</v>
      </c>
      <c r="J444" s="12" t="s">
        <v>23</v>
      </c>
      <c r="K444">
        <v>6</v>
      </c>
      <c r="L444">
        <v>0</v>
      </c>
      <c r="M444" t="s">
        <v>19</v>
      </c>
      <c r="N444" s="6">
        <v>550</v>
      </c>
      <c r="O444">
        <f>Table13[[#This Row],[Adults]]+Table13[[#This Row],[Children]]</f>
        <v>6</v>
      </c>
      <c r="P444">
        <f>_xlfn.DAYS(Table13[[#This Row],[Depart]],Table13[[#This Row],[Arrive]])</f>
        <v>5</v>
      </c>
    </row>
    <row r="445" spans="1:16" x14ac:dyDescent="0.25">
      <c r="A445" t="s">
        <v>569</v>
      </c>
      <c r="B445" t="s">
        <v>570</v>
      </c>
      <c r="C445" t="s">
        <v>2223</v>
      </c>
      <c r="D445" s="1">
        <v>44059</v>
      </c>
      <c r="E445" s="1">
        <v>44060</v>
      </c>
      <c r="F445" s="1">
        <v>44050</v>
      </c>
      <c r="G445" s="2">
        <v>0.58333333333333337</v>
      </c>
      <c r="H445" s="2">
        <v>0.45833333333333331</v>
      </c>
      <c r="I445" t="s">
        <v>22</v>
      </c>
      <c r="J445" s="12" t="s">
        <v>23</v>
      </c>
      <c r="K445">
        <v>5</v>
      </c>
      <c r="L445">
        <v>0</v>
      </c>
      <c r="M445" t="s">
        <v>19</v>
      </c>
      <c r="N445" s="6">
        <v>110</v>
      </c>
      <c r="O445">
        <f>Table13[[#This Row],[Adults]]+Table13[[#This Row],[Children]]</f>
        <v>5</v>
      </c>
      <c r="P445">
        <f>_xlfn.DAYS(Table13[[#This Row],[Depart]],Table13[[#This Row],[Arrive]])</f>
        <v>1</v>
      </c>
    </row>
    <row r="446" spans="1:16" x14ac:dyDescent="0.25">
      <c r="A446" t="s">
        <v>591</v>
      </c>
      <c r="B446" t="s">
        <v>592</v>
      </c>
      <c r="C446" t="s">
        <v>2228</v>
      </c>
      <c r="D446" s="1">
        <v>44059</v>
      </c>
      <c r="E446" s="1">
        <v>44060</v>
      </c>
      <c r="F446" s="1">
        <v>44055</v>
      </c>
      <c r="G446" s="2">
        <v>0.58333333333333337</v>
      </c>
      <c r="H446" s="2">
        <v>0.45833333333333331</v>
      </c>
      <c r="I446" t="s">
        <v>22</v>
      </c>
      <c r="J446" s="12" t="s">
        <v>23</v>
      </c>
      <c r="K446">
        <v>5</v>
      </c>
      <c r="L446">
        <v>0</v>
      </c>
      <c r="M446" t="s">
        <v>19</v>
      </c>
      <c r="N446" s="6">
        <v>110</v>
      </c>
      <c r="O446">
        <f>Table13[[#This Row],[Adults]]+Table13[[#This Row],[Children]]</f>
        <v>5</v>
      </c>
      <c r="P446">
        <f>_xlfn.DAYS(Table13[[#This Row],[Depart]],Table13[[#This Row],[Arrive]])</f>
        <v>1</v>
      </c>
    </row>
    <row r="447" spans="1:16" x14ac:dyDescent="0.25">
      <c r="A447" t="s">
        <v>296</v>
      </c>
      <c r="B447" t="s">
        <v>297</v>
      </c>
      <c r="C447" t="s">
        <v>2226</v>
      </c>
      <c r="D447" s="1">
        <v>44060</v>
      </c>
      <c r="E447" s="1">
        <v>44065</v>
      </c>
      <c r="F447" s="1">
        <v>44050</v>
      </c>
      <c r="G447" s="2">
        <v>0.33333333333333331</v>
      </c>
      <c r="H447" s="3">
        <v>1</v>
      </c>
      <c r="I447" t="s">
        <v>22</v>
      </c>
      <c r="J447" s="12" t="s">
        <v>23</v>
      </c>
      <c r="K447">
        <v>4</v>
      </c>
      <c r="L447">
        <v>0</v>
      </c>
      <c r="M447" t="s">
        <v>19</v>
      </c>
      <c r="N447" s="6">
        <v>550</v>
      </c>
      <c r="O447">
        <f>Table13[[#This Row],[Adults]]+Table13[[#This Row],[Children]]</f>
        <v>4</v>
      </c>
      <c r="P447">
        <f>_xlfn.DAYS(Table13[[#This Row],[Depart]],Table13[[#This Row],[Arrive]])</f>
        <v>5</v>
      </c>
    </row>
    <row r="448" spans="1:16" x14ac:dyDescent="0.25">
      <c r="A448" t="s">
        <v>468</v>
      </c>
      <c r="B448" t="s">
        <v>469</v>
      </c>
      <c r="C448" t="s">
        <v>2223</v>
      </c>
      <c r="D448" s="1">
        <v>44060</v>
      </c>
      <c r="E448" s="1">
        <v>44065</v>
      </c>
      <c r="F448" s="1">
        <v>44056</v>
      </c>
      <c r="G448" s="2">
        <v>0.58333333333333337</v>
      </c>
      <c r="H448" s="2">
        <v>0.45833333333333331</v>
      </c>
      <c r="I448" t="s">
        <v>22</v>
      </c>
      <c r="J448" s="12" t="s">
        <v>23</v>
      </c>
      <c r="K448">
        <v>6</v>
      </c>
      <c r="L448">
        <v>0</v>
      </c>
      <c r="M448" t="s">
        <v>19</v>
      </c>
      <c r="N448" s="6">
        <v>110</v>
      </c>
      <c r="O448">
        <f>Table13[[#This Row],[Adults]]+Table13[[#This Row],[Children]]</f>
        <v>6</v>
      </c>
      <c r="P448">
        <f>_xlfn.DAYS(Table13[[#This Row],[Depart]],Table13[[#This Row],[Arrive]])</f>
        <v>5</v>
      </c>
    </row>
    <row r="449" spans="1:16" x14ac:dyDescent="0.25">
      <c r="A449" t="s">
        <v>591</v>
      </c>
      <c r="B449" t="s">
        <v>592</v>
      </c>
      <c r="C449" t="s">
        <v>2225</v>
      </c>
      <c r="D449" s="1">
        <v>44060</v>
      </c>
      <c r="E449" s="1">
        <v>44063</v>
      </c>
      <c r="F449" s="1">
        <v>44055</v>
      </c>
      <c r="G449" s="2">
        <v>0.33333333333333331</v>
      </c>
      <c r="H449" s="3">
        <v>1</v>
      </c>
      <c r="I449" t="s">
        <v>22</v>
      </c>
      <c r="J449" s="12" t="s">
        <v>23</v>
      </c>
      <c r="K449">
        <v>6</v>
      </c>
      <c r="L449">
        <v>0</v>
      </c>
      <c r="M449" t="s">
        <v>19</v>
      </c>
      <c r="N449" s="6">
        <v>330</v>
      </c>
      <c r="O449">
        <f>Table13[[#This Row],[Adults]]+Table13[[#This Row],[Children]]</f>
        <v>6</v>
      </c>
      <c r="P449">
        <f>_xlfn.DAYS(Table13[[#This Row],[Depart]],Table13[[#This Row],[Arrive]])</f>
        <v>3</v>
      </c>
    </row>
    <row r="450" spans="1:16" x14ac:dyDescent="0.25">
      <c r="A450" t="s">
        <v>210</v>
      </c>
      <c r="B450" t="s">
        <v>211</v>
      </c>
      <c r="C450" t="s">
        <v>2225</v>
      </c>
      <c r="D450" s="1">
        <v>44061</v>
      </c>
      <c r="E450" s="1">
        <v>44076</v>
      </c>
      <c r="F450" s="1">
        <v>43958</v>
      </c>
      <c r="G450" s="2">
        <v>0.33333333333333331</v>
      </c>
      <c r="H450" s="3">
        <v>1</v>
      </c>
      <c r="I450" t="s">
        <v>17</v>
      </c>
      <c r="J450" s="12" t="s">
        <v>18</v>
      </c>
      <c r="K450">
        <v>2</v>
      </c>
      <c r="L450">
        <v>0</v>
      </c>
      <c r="M450" t="s">
        <v>19</v>
      </c>
      <c r="N450" s="6">
        <v>1917</v>
      </c>
      <c r="O450">
        <f>Table13[[#This Row],[Adults]]+Table13[[#This Row],[Children]]</f>
        <v>2</v>
      </c>
      <c r="P450">
        <f>_xlfn.DAYS(Table13[[#This Row],[Depart]],Table13[[#This Row],[Arrive]])</f>
        <v>15</v>
      </c>
    </row>
    <row r="451" spans="1:16" x14ac:dyDescent="0.25">
      <c r="A451" t="s">
        <v>597</v>
      </c>
      <c r="B451" t="s">
        <v>598</v>
      </c>
      <c r="C451" t="s">
        <v>2228</v>
      </c>
      <c r="D451" s="1">
        <v>44061</v>
      </c>
      <c r="E451" s="1">
        <v>44063</v>
      </c>
      <c r="F451" s="1">
        <v>43998</v>
      </c>
      <c r="G451" s="2">
        <v>0.58333333333333337</v>
      </c>
      <c r="H451" s="2">
        <v>0.45833333333333331</v>
      </c>
      <c r="I451" t="s">
        <v>22</v>
      </c>
      <c r="J451" s="12" t="s">
        <v>23</v>
      </c>
      <c r="K451">
        <v>5</v>
      </c>
      <c r="L451">
        <v>0</v>
      </c>
      <c r="M451" t="s">
        <v>19</v>
      </c>
      <c r="N451" s="6">
        <v>220</v>
      </c>
      <c r="O451">
        <f>Table13[[#This Row],[Adults]]+Table13[[#This Row],[Children]]</f>
        <v>5</v>
      </c>
      <c r="P451">
        <f>_xlfn.DAYS(Table13[[#This Row],[Depart]],Table13[[#This Row],[Arrive]])</f>
        <v>2</v>
      </c>
    </row>
    <row r="452" spans="1:16" x14ac:dyDescent="0.25">
      <c r="A452" t="s">
        <v>248</v>
      </c>
      <c r="B452" t="s">
        <v>249</v>
      </c>
      <c r="C452" t="s">
        <v>2223</v>
      </c>
      <c r="D452" s="1">
        <v>44062</v>
      </c>
      <c r="E452" s="1">
        <v>44076</v>
      </c>
      <c r="F452" s="1">
        <v>43990</v>
      </c>
      <c r="G452" s="2">
        <v>0.33333333333333331</v>
      </c>
      <c r="H452" s="3">
        <v>1</v>
      </c>
      <c r="I452" t="s">
        <v>26</v>
      </c>
      <c r="J452" s="12" t="s">
        <v>18</v>
      </c>
      <c r="K452">
        <v>2</v>
      </c>
      <c r="L452">
        <v>0</v>
      </c>
      <c r="M452" t="s">
        <v>19</v>
      </c>
      <c r="N452" s="6">
        <v>1440</v>
      </c>
      <c r="O452">
        <f>Table13[[#This Row],[Adults]]+Table13[[#This Row],[Children]]</f>
        <v>2</v>
      </c>
      <c r="P452">
        <f>_xlfn.DAYS(Table13[[#This Row],[Depart]],Table13[[#This Row],[Arrive]])</f>
        <v>14</v>
      </c>
    </row>
    <row r="453" spans="1:16" x14ac:dyDescent="0.25">
      <c r="A453" t="s">
        <v>591</v>
      </c>
      <c r="B453" t="s">
        <v>592</v>
      </c>
      <c r="C453" t="s">
        <v>2225</v>
      </c>
      <c r="D453" s="1">
        <v>44062</v>
      </c>
      <c r="E453" s="1">
        <v>44063</v>
      </c>
      <c r="F453" s="1">
        <v>44055</v>
      </c>
      <c r="G453" s="2">
        <v>0.33333333333333331</v>
      </c>
      <c r="H453" s="3">
        <v>1</v>
      </c>
      <c r="I453" t="s">
        <v>22</v>
      </c>
      <c r="J453" s="12" t="s">
        <v>18</v>
      </c>
      <c r="K453">
        <v>5</v>
      </c>
      <c r="L453">
        <v>0</v>
      </c>
      <c r="M453" t="s">
        <v>19</v>
      </c>
      <c r="N453" s="6">
        <v>110</v>
      </c>
      <c r="O453">
        <f>Table13[[#This Row],[Adults]]+Table13[[#This Row],[Children]]</f>
        <v>5</v>
      </c>
      <c r="P453">
        <f>_xlfn.DAYS(Table13[[#This Row],[Depart]],Table13[[#This Row],[Arrive]])</f>
        <v>1</v>
      </c>
    </row>
    <row r="454" spans="1:16" x14ac:dyDescent="0.25">
      <c r="A454" t="s">
        <v>617</v>
      </c>
      <c r="B454" t="s">
        <v>618</v>
      </c>
      <c r="C454" t="s">
        <v>2228</v>
      </c>
      <c r="D454" s="1">
        <v>44063</v>
      </c>
      <c r="E454" s="1">
        <v>44064</v>
      </c>
      <c r="F454" s="1">
        <v>44055</v>
      </c>
      <c r="G454" s="2">
        <v>0.58333333333333337</v>
      </c>
      <c r="H454" s="2">
        <v>0.45833333333333331</v>
      </c>
      <c r="I454" t="s">
        <v>22</v>
      </c>
      <c r="J454" s="12" t="s">
        <v>23</v>
      </c>
      <c r="K454">
        <v>5</v>
      </c>
      <c r="L454">
        <v>0</v>
      </c>
      <c r="M454" t="s">
        <v>19</v>
      </c>
      <c r="N454" s="6">
        <v>110</v>
      </c>
      <c r="O454">
        <f>Table13[[#This Row],[Adults]]+Table13[[#This Row],[Children]]</f>
        <v>5</v>
      </c>
      <c r="P454">
        <f>_xlfn.DAYS(Table13[[#This Row],[Depart]],Table13[[#This Row],[Arrive]])</f>
        <v>1</v>
      </c>
    </row>
    <row r="455" spans="1:16" x14ac:dyDescent="0.25">
      <c r="A455" t="s">
        <v>619</v>
      </c>
      <c r="B455" t="s">
        <v>620</v>
      </c>
      <c r="C455" t="s">
        <v>2225</v>
      </c>
      <c r="D455" s="1">
        <v>44063</v>
      </c>
      <c r="E455" s="1">
        <v>44064</v>
      </c>
      <c r="F455" s="1">
        <v>44056</v>
      </c>
      <c r="G455" s="2">
        <v>0.33333333333333331</v>
      </c>
      <c r="H455" s="3">
        <v>1</v>
      </c>
      <c r="I455" t="s">
        <v>22</v>
      </c>
      <c r="J455" s="12" t="s">
        <v>23</v>
      </c>
      <c r="K455">
        <v>5</v>
      </c>
      <c r="L455">
        <v>0</v>
      </c>
      <c r="M455" t="s">
        <v>19</v>
      </c>
      <c r="N455" s="6">
        <v>110</v>
      </c>
      <c r="O455">
        <f>Table13[[#This Row],[Adults]]+Table13[[#This Row],[Children]]</f>
        <v>5</v>
      </c>
      <c r="P455">
        <f>_xlfn.DAYS(Table13[[#This Row],[Depart]],Table13[[#This Row],[Arrive]])</f>
        <v>1</v>
      </c>
    </row>
    <row r="456" spans="1:16" x14ac:dyDescent="0.25">
      <c r="A456" t="s">
        <v>539</v>
      </c>
      <c r="B456" t="s">
        <v>540</v>
      </c>
      <c r="C456" t="s">
        <v>2224</v>
      </c>
      <c r="D456" s="1">
        <v>44064</v>
      </c>
      <c r="E456" s="1">
        <v>44067</v>
      </c>
      <c r="F456" s="1">
        <v>44043</v>
      </c>
      <c r="G456" s="2">
        <v>0.33333333333333331</v>
      </c>
      <c r="H456" s="3">
        <v>1</v>
      </c>
      <c r="I456" t="s">
        <v>26</v>
      </c>
      <c r="J456" s="12" t="s">
        <v>18</v>
      </c>
      <c r="K456">
        <v>6</v>
      </c>
      <c r="L456">
        <v>0</v>
      </c>
      <c r="M456" t="s">
        <v>19</v>
      </c>
      <c r="N456" s="6">
        <v>318</v>
      </c>
      <c r="O456">
        <f>Table13[[#This Row],[Adults]]+Table13[[#This Row],[Children]]</f>
        <v>6</v>
      </c>
      <c r="P456">
        <f>_xlfn.DAYS(Table13[[#This Row],[Depart]],Table13[[#This Row],[Arrive]])</f>
        <v>3</v>
      </c>
    </row>
    <row r="457" spans="1:16" x14ac:dyDescent="0.25">
      <c r="A457" t="s">
        <v>587</v>
      </c>
      <c r="B457" t="s">
        <v>588</v>
      </c>
      <c r="C457" t="s">
        <v>2228</v>
      </c>
      <c r="D457" s="1">
        <v>44064</v>
      </c>
      <c r="E457" s="1">
        <v>44066</v>
      </c>
      <c r="F457" s="1">
        <v>44052</v>
      </c>
      <c r="G457" s="2">
        <v>0.58333333333333337</v>
      </c>
      <c r="H457" s="2">
        <v>0.45833333333333331</v>
      </c>
      <c r="I457" t="s">
        <v>22</v>
      </c>
      <c r="J457" s="12" t="s">
        <v>23</v>
      </c>
      <c r="K457">
        <v>4</v>
      </c>
      <c r="L457">
        <v>0</v>
      </c>
      <c r="M457" t="s">
        <v>19</v>
      </c>
      <c r="N457" s="6">
        <v>220</v>
      </c>
      <c r="O457">
        <f>Table13[[#This Row],[Adults]]+Table13[[#This Row],[Children]]</f>
        <v>4</v>
      </c>
      <c r="P457">
        <f>_xlfn.DAYS(Table13[[#This Row],[Depart]],Table13[[#This Row],[Arrive]])</f>
        <v>2</v>
      </c>
    </row>
    <row r="458" spans="1:16" x14ac:dyDescent="0.25">
      <c r="A458" t="s">
        <v>625</v>
      </c>
      <c r="B458" t="s">
        <v>626</v>
      </c>
      <c r="C458" t="s">
        <v>2225</v>
      </c>
      <c r="D458" s="1">
        <v>44064</v>
      </c>
      <c r="E458" s="1">
        <v>44067</v>
      </c>
      <c r="F458" s="1">
        <v>44056</v>
      </c>
      <c r="G458" s="2">
        <v>0.33333333333333331</v>
      </c>
      <c r="H458" s="3">
        <v>1</v>
      </c>
      <c r="I458" t="s">
        <v>22</v>
      </c>
      <c r="J458" s="12" t="s">
        <v>18</v>
      </c>
      <c r="K458">
        <v>6</v>
      </c>
      <c r="L458">
        <v>0</v>
      </c>
      <c r="M458" t="s">
        <v>19</v>
      </c>
      <c r="N458" s="6">
        <v>330</v>
      </c>
      <c r="O458">
        <f>Table13[[#This Row],[Adults]]+Table13[[#This Row],[Children]]</f>
        <v>6</v>
      </c>
      <c r="P458">
        <f>_xlfn.DAYS(Table13[[#This Row],[Depart]],Table13[[#This Row],[Arrive]])</f>
        <v>3</v>
      </c>
    </row>
    <row r="459" spans="1:16" x14ac:dyDescent="0.25">
      <c r="A459" t="s">
        <v>631</v>
      </c>
      <c r="B459" t="s">
        <v>632</v>
      </c>
      <c r="C459" t="s">
        <v>2225</v>
      </c>
      <c r="D459" s="1">
        <v>44064</v>
      </c>
      <c r="E459" s="1">
        <v>44065</v>
      </c>
      <c r="F459" s="1">
        <v>44061</v>
      </c>
      <c r="G459" s="2">
        <v>0.33333333333333331</v>
      </c>
      <c r="H459" s="3">
        <v>1</v>
      </c>
      <c r="I459" t="s">
        <v>22</v>
      </c>
      <c r="J459" s="12" t="s">
        <v>23</v>
      </c>
      <c r="K459">
        <v>2</v>
      </c>
      <c r="L459">
        <v>0</v>
      </c>
      <c r="M459" t="s">
        <v>19</v>
      </c>
      <c r="N459" s="6">
        <v>110</v>
      </c>
      <c r="O459">
        <f>Table13[[#This Row],[Adults]]+Table13[[#This Row],[Children]]</f>
        <v>2</v>
      </c>
      <c r="P459">
        <f>_xlfn.DAYS(Table13[[#This Row],[Depart]],Table13[[#This Row],[Arrive]])</f>
        <v>1</v>
      </c>
    </row>
    <row r="460" spans="1:16" x14ac:dyDescent="0.25">
      <c r="A460" t="s">
        <v>643</v>
      </c>
      <c r="B460" t="s">
        <v>644</v>
      </c>
      <c r="C460" t="s">
        <v>2224</v>
      </c>
      <c r="D460" s="1">
        <v>44064</v>
      </c>
      <c r="E460" s="1">
        <v>44068</v>
      </c>
      <c r="F460" s="1">
        <v>44044</v>
      </c>
      <c r="G460" s="2">
        <v>0.33333333333333331</v>
      </c>
      <c r="H460" s="3">
        <v>1</v>
      </c>
      <c r="I460" t="s">
        <v>22</v>
      </c>
      <c r="J460" s="12" t="s">
        <v>23</v>
      </c>
      <c r="K460">
        <v>4</v>
      </c>
      <c r="L460">
        <v>3</v>
      </c>
      <c r="M460" t="s">
        <v>19</v>
      </c>
      <c r="N460" s="6">
        <v>520</v>
      </c>
      <c r="O460">
        <f>Table13[[#This Row],[Adults]]+Table13[[#This Row],[Children]]</f>
        <v>7</v>
      </c>
      <c r="P460">
        <f>_xlfn.DAYS(Table13[[#This Row],[Depart]],Table13[[#This Row],[Arrive]])</f>
        <v>4</v>
      </c>
    </row>
    <row r="461" spans="1:16" x14ac:dyDescent="0.25">
      <c r="A461" t="s">
        <v>713</v>
      </c>
      <c r="B461" t="s">
        <v>714</v>
      </c>
      <c r="C461" t="s">
        <v>2227</v>
      </c>
      <c r="D461" s="1">
        <v>44064</v>
      </c>
      <c r="E461" s="1">
        <v>44094</v>
      </c>
      <c r="F461" s="1">
        <v>44066</v>
      </c>
      <c r="G461" s="2">
        <v>0.58333333333333337</v>
      </c>
      <c r="H461" s="2">
        <v>0.45833333333333331</v>
      </c>
      <c r="I461" t="s">
        <v>22</v>
      </c>
      <c r="J461" s="12" t="s">
        <v>23</v>
      </c>
      <c r="K461">
        <v>1</v>
      </c>
      <c r="L461">
        <v>0</v>
      </c>
      <c r="M461" t="s">
        <v>19</v>
      </c>
      <c r="N461" s="6">
        <v>4031.25</v>
      </c>
      <c r="O461">
        <f>Table13[[#This Row],[Adults]]+Table13[[#This Row],[Children]]</f>
        <v>1</v>
      </c>
      <c r="P461">
        <f>_xlfn.DAYS(Table13[[#This Row],[Depart]],Table13[[#This Row],[Arrive]])</f>
        <v>30</v>
      </c>
    </row>
    <row r="462" spans="1:16" x14ac:dyDescent="0.25">
      <c r="A462" t="s">
        <v>460</v>
      </c>
      <c r="B462" t="s">
        <v>461</v>
      </c>
      <c r="C462" t="s">
        <v>2226</v>
      </c>
      <c r="D462" s="1">
        <v>44065</v>
      </c>
      <c r="E462" s="1">
        <v>44066</v>
      </c>
      <c r="F462" s="1">
        <v>44021</v>
      </c>
      <c r="G462" s="2">
        <v>0.33333333333333331</v>
      </c>
      <c r="H462" s="3">
        <v>1</v>
      </c>
      <c r="I462" t="s">
        <v>22</v>
      </c>
      <c r="J462" s="12" t="s">
        <v>18</v>
      </c>
      <c r="K462">
        <v>5</v>
      </c>
      <c r="L462">
        <v>0</v>
      </c>
      <c r="M462" t="s">
        <v>19</v>
      </c>
      <c r="N462" s="6">
        <v>135</v>
      </c>
      <c r="O462">
        <f>Table13[[#This Row],[Adults]]+Table13[[#This Row],[Children]]</f>
        <v>5</v>
      </c>
      <c r="P462">
        <f>_xlfn.DAYS(Table13[[#This Row],[Depart]],Table13[[#This Row],[Arrive]])</f>
        <v>1</v>
      </c>
    </row>
    <row r="463" spans="1:16" x14ac:dyDescent="0.25">
      <c r="A463" t="s">
        <v>531</v>
      </c>
      <c r="B463" t="s">
        <v>532</v>
      </c>
      <c r="C463" t="s">
        <v>2226</v>
      </c>
      <c r="D463" s="1">
        <v>44065</v>
      </c>
      <c r="E463" s="1">
        <v>44066</v>
      </c>
      <c r="F463" s="1">
        <v>44041</v>
      </c>
      <c r="G463" s="2">
        <v>0.33333333333333331</v>
      </c>
      <c r="H463" s="3">
        <v>1</v>
      </c>
      <c r="I463" t="s">
        <v>22</v>
      </c>
      <c r="J463" s="12" t="s">
        <v>23</v>
      </c>
      <c r="K463">
        <v>2</v>
      </c>
      <c r="L463">
        <v>0</v>
      </c>
      <c r="M463" t="s">
        <v>19</v>
      </c>
      <c r="N463" s="6">
        <v>110</v>
      </c>
      <c r="O463">
        <f>Table13[[#This Row],[Adults]]+Table13[[#This Row],[Children]]</f>
        <v>2</v>
      </c>
      <c r="P463">
        <f>_xlfn.DAYS(Table13[[#This Row],[Depart]],Table13[[#This Row],[Arrive]])</f>
        <v>1</v>
      </c>
    </row>
    <row r="464" spans="1:16" x14ac:dyDescent="0.25">
      <c r="A464" t="s">
        <v>565</v>
      </c>
      <c r="B464" t="s">
        <v>566</v>
      </c>
      <c r="C464" t="s">
        <v>2228</v>
      </c>
      <c r="D464" s="1">
        <v>44065</v>
      </c>
      <c r="E464" s="1">
        <v>44068</v>
      </c>
      <c r="F464" s="1">
        <v>44044</v>
      </c>
      <c r="G464" s="2">
        <v>0.58333333333333337</v>
      </c>
      <c r="H464" s="2">
        <v>0.45833333333333331</v>
      </c>
      <c r="I464" t="s">
        <v>22</v>
      </c>
      <c r="J464" s="12" t="s">
        <v>18</v>
      </c>
      <c r="K464">
        <v>5</v>
      </c>
      <c r="L464">
        <v>0</v>
      </c>
      <c r="M464" t="s">
        <v>19</v>
      </c>
      <c r="N464" s="6">
        <v>330</v>
      </c>
      <c r="O464">
        <f>Table13[[#This Row],[Adults]]+Table13[[#This Row],[Children]]</f>
        <v>5</v>
      </c>
      <c r="P464">
        <f>_xlfn.DAYS(Table13[[#This Row],[Depart]],Table13[[#This Row],[Arrive]])</f>
        <v>3</v>
      </c>
    </row>
    <row r="465" spans="1:16" x14ac:dyDescent="0.25">
      <c r="A465" t="s">
        <v>585</v>
      </c>
      <c r="B465" t="s">
        <v>586</v>
      </c>
      <c r="C465" t="s">
        <v>2228</v>
      </c>
      <c r="D465" s="1">
        <v>44065</v>
      </c>
      <c r="E465" s="1">
        <v>44066</v>
      </c>
      <c r="F465" s="1">
        <v>44051</v>
      </c>
      <c r="G465" s="2">
        <v>0.58333333333333337</v>
      </c>
      <c r="H465" s="2">
        <v>0.45833333333333331</v>
      </c>
      <c r="I465" t="s">
        <v>22</v>
      </c>
      <c r="J465" s="12" t="s">
        <v>18</v>
      </c>
      <c r="K465">
        <v>1</v>
      </c>
      <c r="L465">
        <v>0</v>
      </c>
      <c r="M465" t="s">
        <v>19</v>
      </c>
      <c r="N465" s="6">
        <v>110</v>
      </c>
      <c r="O465">
        <f>Table13[[#This Row],[Adults]]+Table13[[#This Row],[Children]]</f>
        <v>1</v>
      </c>
      <c r="P465">
        <f>_xlfn.DAYS(Table13[[#This Row],[Depart]],Table13[[#This Row],[Arrive]])</f>
        <v>1</v>
      </c>
    </row>
    <row r="466" spans="1:16" x14ac:dyDescent="0.25">
      <c r="A466" t="s">
        <v>460</v>
      </c>
      <c r="B466" t="s">
        <v>461</v>
      </c>
      <c r="C466" t="s">
        <v>2223</v>
      </c>
      <c r="D466" s="1">
        <v>44065</v>
      </c>
      <c r="E466" s="1">
        <v>44066</v>
      </c>
      <c r="F466" s="1">
        <v>44041</v>
      </c>
      <c r="G466" s="2">
        <v>0.58333333333333337</v>
      </c>
      <c r="H466" s="2">
        <v>0.45833333333333331</v>
      </c>
      <c r="I466" t="s">
        <v>22</v>
      </c>
      <c r="J466" s="12" t="s">
        <v>23</v>
      </c>
      <c r="K466">
        <v>2</v>
      </c>
      <c r="L466">
        <v>0</v>
      </c>
      <c r="M466" t="s">
        <v>19</v>
      </c>
      <c r="N466" s="6">
        <v>110</v>
      </c>
      <c r="O466">
        <f>Table13[[#This Row],[Adults]]+Table13[[#This Row],[Children]]</f>
        <v>2</v>
      </c>
      <c r="P466">
        <f>_xlfn.DAYS(Table13[[#This Row],[Depart]],Table13[[#This Row],[Arrive]])</f>
        <v>1</v>
      </c>
    </row>
    <row r="467" spans="1:16" x14ac:dyDescent="0.25">
      <c r="A467" t="s">
        <v>627</v>
      </c>
      <c r="B467" t="s">
        <v>628</v>
      </c>
      <c r="C467" t="s">
        <v>2225</v>
      </c>
      <c r="D467" s="1">
        <v>44065</v>
      </c>
      <c r="E467" s="1">
        <v>44068</v>
      </c>
      <c r="F467" s="1">
        <v>44060</v>
      </c>
      <c r="G467" s="2">
        <v>0.33333333333333331</v>
      </c>
      <c r="H467" s="3">
        <v>1</v>
      </c>
      <c r="I467" t="s">
        <v>22</v>
      </c>
      <c r="J467" s="12" t="s">
        <v>23</v>
      </c>
      <c r="K467">
        <v>6</v>
      </c>
      <c r="L467">
        <v>0</v>
      </c>
      <c r="M467" t="s">
        <v>19</v>
      </c>
      <c r="N467" s="6">
        <v>330</v>
      </c>
      <c r="O467">
        <f>Table13[[#This Row],[Adults]]+Table13[[#This Row],[Children]]</f>
        <v>6</v>
      </c>
      <c r="P467">
        <f>_xlfn.DAYS(Table13[[#This Row],[Depart]],Table13[[#This Row],[Arrive]])</f>
        <v>3</v>
      </c>
    </row>
    <row r="468" spans="1:16" x14ac:dyDescent="0.25">
      <c r="A468" t="s">
        <v>559</v>
      </c>
      <c r="B468" t="s">
        <v>560</v>
      </c>
      <c r="C468" t="s">
        <v>2223</v>
      </c>
      <c r="D468" s="1">
        <v>44066</v>
      </c>
      <c r="E468" s="1">
        <v>44067</v>
      </c>
      <c r="F468" s="1">
        <v>44055</v>
      </c>
      <c r="G468" s="2">
        <v>0.58333333333333337</v>
      </c>
      <c r="H468" s="2">
        <v>0.45833333333333331</v>
      </c>
      <c r="I468" t="s">
        <v>22</v>
      </c>
      <c r="J468" s="12" t="s">
        <v>23</v>
      </c>
      <c r="K468">
        <v>5</v>
      </c>
      <c r="L468">
        <v>0</v>
      </c>
      <c r="M468" t="s">
        <v>19</v>
      </c>
      <c r="N468" s="6">
        <v>110</v>
      </c>
      <c r="O468">
        <f>Table13[[#This Row],[Adults]]+Table13[[#This Row],[Children]]</f>
        <v>5</v>
      </c>
      <c r="P468">
        <f>_xlfn.DAYS(Table13[[#This Row],[Depart]],Table13[[#This Row],[Arrive]])</f>
        <v>1</v>
      </c>
    </row>
    <row r="469" spans="1:16" x14ac:dyDescent="0.25">
      <c r="A469" t="s">
        <v>615</v>
      </c>
      <c r="B469" t="s">
        <v>616</v>
      </c>
      <c r="C469" t="s">
        <v>2228</v>
      </c>
      <c r="D469" s="1">
        <v>44066</v>
      </c>
      <c r="E469" s="1">
        <v>44067</v>
      </c>
      <c r="F469" s="1">
        <v>44057</v>
      </c>
      <c r="G469" s="2">
        <v>0.58333333333333337</v>
      </c>
      <c r="H469" s="2">
        <v>0.45833333333333331</v>
      </c>
      <c r="I469" t="s">
        <v>22</v>
      </c>
      <c r="J469" s="12" t="s">
        <v>23</v>
      </c>
      <c r="K469">
        <v>2</v>
      </c>
      <c r="L469">
        <v>0</v>
      </c>
      <c r="M469" t="s">
        <v>19</v>
      </c>
      <c r="N469" s="6">
        <v>110</v>
      </c>
      <c r="O469">
        <f>Table13[[#This Row],[Adults]]+Table13[[#This Row],[Children]]</f>
        <v>2</v>
      </c>
      <c r="P469">
        <f>_xlfn.DAYS(Table13[[#This Row],[Depart]],Table13[[#This Row],[Arrive]])</f>
        <v>1</v>
      </c>
    </row>
    <row r="470" spans="1:16" x14ac:dyDescent="0.25">
      <c r="A470" t="s">
        <v>649</v>
      </c>
      <c r="B470" t="s">
        <v>650</v>
      </c>
      <c r="C470" t="s">
        <v>2226</v>
      </c>
      <c r="D470" s="1">
        <v>44066</v>
      </c>
      <c r="E470" s="1">
        <v>44067</v>
      </c>
      <c r="F470" s="1">
        <v>44030</v>
      </c>
      <c r="G470" s="2">
        <v>0.33333333333333331</v>
      </c>
      <c r="H470" s="3">
        <v>1</v>
      </c>
      <c r="I470" t="s">
        <v>22</v>
      </c>
      <c r="J470" s="12" t="s">
        <v>23</v>
      </c>
      <c r="K470">
        <v>3</v>
      </c>
      <c r="L470">
        <v>0</v>
      </c>
      <c r="M470" t="s">
        <v>19</v>
      </c>
      <c r="N470" s="6">
        <v>110</v>
      </c>
      <c r="O470">
        <f>Table13[[#This Row],[Adults]]+Table13[[#This Row],[Children]]</f>
        <v>3</v>
      </c>
      <c r="P470">
        <f>_xlfn.DAYS(Table13[[#This Row],[Depart]],Table13[[#This Row],[Arrive]])</f>
        <v>1</v>
      </c>
    </row>
    <row r="471" spans="1:16" x14ac:dyDescent="0.25">
      <c r="A471" t="s">
        <v>506</v>
      </c>
      <c r="B471" t="s">
        <v>507</v>
      </c>
      <c r="C471" t="s">
        <v>2226</v>
      </c>
      <c r="D471" s="1">
        <v>44067</v>
      </c>
      <c r="E471" s="1">
        <v>44070</v>
      </c>
      <c r="F471" s="1">
        <v>44036</v>
      </c>
      <c r="G471" s="2">
        <v>0.33333333333333331</v>
      </c>
      <c r="H471" s="3">
        <v>1</v>
      </c>
      <c r="I471" t="s">
        <v>26</v>
      </c>
      <c r="J471" s="12" t="s">
        <v>18</v>
      </c>
      <c r="K471">
        <v>1</v>
      </c>
      <c r="L471">
        <v>0</v>
      </c>
      <c r="M471" t="s">
        <v>19</v>
      </c>
      <c r="N471" s="6">
        <v>313</v>
      </c>
      <c r="O471">
        <f>Table13[[#This Row],[Adults]]+Table13[[#This Row],[Children]]</f>
        <v>1</v>
      </c>
      <c r="P471">
        <f>_xlfn.DAYS(Table13[[#This Row],[Depart]],Table13[[#This Row],[Arrive]])</f>
        <v>3</v>
      </c>
    </row>
    <row r="472" spans="1:16" x14ac:dyDescent="0.25">
      <c r="A472" t="s">
        <v>523</v>
      </c>
      <c r="B472" t="s">
        <v>524</v>
      </c>
      <c r="C472" t="s">
        <v>2226</v>
      </c>
      <c r="D472" s="1">
        <v>44067</v>
      </c>
      <c r="E472" s="1">
        <v>44069</v>
      </c>
      <c r="F472" s="1">
        <v>44040</v>
      </c>
      <c r="G472" s="2">
        <v>0.33333333333333331</v>
      </c>
      <c r="H472" s="3">
        <v>1</v>
      </c>
      <c r="I472" t="s">
        <v>22</v>
      </c>
      <c r="J472" s="12" t="s">
        <v>23</v>
      </c>
      <c r="K472">
        <v>5</v>
      </c>
      <c r="L472">
        <v>0</v>
      </c>
      <c r="M472" t="s">
        <v>19</v>
      </c>
      <c r="N472" s="6">
        <v>220</v>
      </c>
      <c r="O472">
        <f>Table13[[#This Row],[Adults]]+Table13[[#This Row],[Children]]</f>
        <v>5</v>
      </c>
      <c r="P472">
        <f>_xlfn.DAYS(Table13[[#This Row],[Depart]],Table13[[#This Row],[Arrive]])</f>
        <v>2</v>
      </c>
    </row>
    <row r="473" spans="1:16" x14ac:dyDescent="0.25">
      <c r="A473" t="s">
        <v>601</v>
      </c>
      <c r="B473" t="s">
        <v>602</v>
      </c>
      <c r="C473" t="s">
        <v>2228</v>
      </c>
      <c r="D473" s="1">
        <v>44067</v>
      </c>
      <c r="E473" s="1">
        <v>44068</v>
      </c>
      <c r="F473" s="1">
        <v>44060</v>
      </c>
      <c r="G473" s="2">
        <v>0.58333333333333337</v>
      </c>
      <c r="H473" s="2">
        <v>0.45833333333333331</v>
      </c>
      <c r="I473" t="s">
        <v>22</v>
      </c>
      <c r="J473" s="12" t="s">
        <v>23</v>
      </c>
      <c r="K473">
        <v>6</v>
      </c>
      <c r="L473">
        <v>0</v>
      </c>
      <c r="M473" t="s">
        <v>19</v>
      </c>
      <c r="N473" s="6">
        <v>110</v>
      </c>
      <c r="O473">
        <f>Table13[[#This Row],[Adults]]+Table13[[#This Row],[Children]]</f>
        <v>6</v>
      </c>
      <c r="P473">
        <f>_xlfn.DAYS(Table13[[#This Row],[Depart]],Table13[[#This Row],[Arrive]])</f>
        <v>1</v>
      </c>
    </row>
    <row r="474" spans="1:16" x14ac:dyDescent="0.25">
      <c r="A474" t="s">
        <v>629</v>
      </c>
      <c r="B474" t="s">
        <v>630</v>
      </c>
      <c r="C474" t="s">
        <v>2224</v>
      </c>
      <c r="D474" s="1">
        <v>44067</v>
      </c>
      <c r="E474" s="1">
        <v>44070</v>
      </c>
      <c r="F474" s="1">
        <v>44061</v>
      </c>
      <c r="G474" s="2">
        <v>0.33333333333333331</v>
      </c>
      <c r="H474" s="3">
        <v>1</v>
      </c>
      <c r="I474" t="s">
        <v>26</v>
      </c>
      <c r="J474" s="12" t="s">
        <v>18</v>
      </c>
      <c r="K474">
        <v>1</v>
      </c>
      <c r="L474">
        <v>0</v>
      </c>
      <c r="M474" t="s">
        <v>19</v>
      </c>
      <c r="N474" s="6">
        <v>319</v>
      </c>
      <c r="O474">
        <f>Table13[[#This Row],[Adults]]+Table13[[#This Row],[Children]]</f>
        <v>1</v>
      </c>
      <c r="P474">
        <f>_xlfn.DAYS(Table13[[#This Row],[Depart]],Table13[[#This Row],[Arrive]])</f>
        <v>3</v>
      </c>
    </row>
    <row r="475" spans="1:16" x14ac:dyDescent="0.25">
      <c r="A475" t="s">
        <v>561</v>
      </c>
      <c r="B475" t="s">
        <v>562</v>
      </c>
      <c r="C475" t="s">
        <v>2223</v>
      </c>
      <c r="D475" s="1">
        <v>44067</v>
      </c>
      <c r="E475" s="1">
        <v>44068</v>
      </c>
      <c r="F475" s="1">
        <v>44064</v>
      </c>
      <c r="G475" s="2">
        <v>0.58333333333333337</v>
      </c>
      <c r="H475" s="2">
        <v>0.45833333333333331</v>
      </c>
      <c r="I475" t="s">
        <v>22</v>
      </c>
      <c r="J475" s="12" t="s">
        <v>18</v>
      </c>
      <c r="K475">
        <v>6</v>
      </c>
      <c r="L475">
        <v>0</v>
      </c>
      <c r="M475" t="s">
        <v>19</v>
      </c>
      <c r="N475" s="6">
        <v>110</v>
      </c>
      <c r="O475">
        <f>Table13[[#This Row],[Adults]]+Table13[[#This Row],[Children]]</f>
        <v>6</v>
      </c>
      <c r="P475">
        <f>_xlfn.DAYS(Table13[[#This Row],[Depart]],Table13[[#This Row],[Arrive]])</f>
        <v>1</v>
      </c>
    </row>
    <row r="476" spans="1:16" x14ac:dyDescent="0.25">
      <c r="A476" t="s">
        <v>583</v>
      </c>
      <c r="B476" t="s">
        <v>584</v>
      </c>
      <c r="C476" t="s">
        <v>2228</v>
      </c>
      <c r="D476" s="1">
        <v>44068</v>
      </c>
      <c r="E476" s="1">
        <v>44069</v>
      </c>
      <c r="F476" s="1">
        <v>44051</v>
      </c>
      <c r="G476" s="2">
        <v>0.58333333333333337</v>
      </c>
      <c r="H476" s="2">
        <v>0.45833333333333331</v>
      </c>
      <c r="I476" t="s">
        <v>22</v>
      </c>
      <c r="J476" s="12" t="s">
        <v>18</v>
      </c>
      <c r="K476">
        <v>5</v>
      </c>
      <c r="L476">
        <v>0</v>
      </c>
      <c r="M476" t="s">
        <v>19</v>
      </c>
      <c r="N476" s="6">
        <v>110</v>
      </c>
      <c r="O476">
        <f>Table13[[#This Row],[Adults]]+Table13[[#This Row],[Children]]</f>
        <v>5</v>
      </c>
      <c r="P476">
        <f>_xlfn.DAYS(Table13[[#This Row],[Depart]],Table13[[#This Row],[Arrive]])</f>
        <v>1</v>
      </c>
    </row>
    <row r="477" spans="1:16" x14ac:dyDescent="0.25">
      <c r="A477" t="s">
        <v>623</v>
      </c>
      <c r="B477" t="s">
        <v>624</v>
      </c>
      <c r="C477" t="s">
        <v>2223</v>
      </c>
      <c r="D477" s="1">
        <v>44068</v>
      </c>
      <c r="E477" s="1">
        <v>44069</v>
      </c>
      <c r="F477" s="1">
        <v>44052</v>
      </c>
      <c r="G477" s="2">
        <v>0.58333333333333337</v>
      </c>
      <c r="H477" s="2">
        <v>0.45833333333333331</v>
      </c>
      <c r="I477" t="s">
        <v>22</v>
      </c>
      <c r="J477" s="12" t="s">
        <v>18</v>
      </c>
      <c r="K477">
        <v>4</v>
      </c>
      <c r="L477">
        <v>0</v>
      </c>
      <c r="M477" t="s">
        <v>19</v>
      </c>
      <c r="N477" s="6">
        <v>110</v>
      </c>
      <c r="O477">
        <f>Table13[[#This Row],[Adults]]+Table13[[#This Row],[Children]]</f>
        <v>4</v>
      </c>
      <c r="P477">
        <f>_xlfn.DAYS(Table13[[#This Row],[Depart]],Table13[[#This Row],[Arrive]])</f>
        <v>1</v>
      </c>
    </row>
    <row r="478" spans="1:16" x14ac:dyDescent="0.25">
      <c r="A478" t="s">
        <v>601</v>
      </c>
      <c r="B478" t="s">
        <v>602</v>
      </c>
      <c r="C478" t="s">
        <v>2228</v>
      </c>
      <c r="D478" s="1">
        <v>44068</v>
      </c>
      <c r="E478" s="1">
        <v>44069</v>
      </c>
      <c r="F478" s="1">
        <v>44060</v>
      </c>
      <c r="G478" s="2">
        <v>0.58333333333333337</v>
      </c>
      <c r="H478" s="2">
        <v>0.45833333333333331</v>
      </c>
      <c r="I478" t="s">
        <v>22</v>
      </c>
      <c r="J478" s="12" t="s">
        <v>23</v>
      </c>
      <c r="K478">
        <v>6</v>
      </c>
      <c r="L478">
        <v>0</v>
      </c>
      <c r="M478" t="s">
        <v>19</v>
      </c>
      <c r="N478" s="6">
        <v>110</v>
      </c>
      <c r="O478">
        <f>Table13[[#This Row],[Adults]]+Table13[[#This Row],[Children]]</f>
        <v>6</v>
      </c>
      <c r="P478">
        <f>_xlfn.DAYS(Table13[[#This Row],[Depart]],Table13[[#This Row],[Arrive]])</f>
        <v>1</v>
      </c>
    </row>
    <row r="479" spans="1:16" x14ac:dyDescent="0.25">
      <c r="A479" t="s">
        <v>635</v>
      </c>
      <c r="B479" t="s">
        <v>636</v>
      </c>
      <c r="C479" t="s">
        <v>2223</v>
      </c>
      <c r="D479" s="1">
        <v>44068</v>
      </c>
      <c r="E479" s="1">
        <v>44069</v>
      </c>
      <c r="F479" s="1">
        <v>44063</v>
      </c>
      <c r="G479" s="2">
        <v>0.58333333333333337</v>
      </c>
      <c r="H479" s="2">
        <v>0.45833333333333331</v>
      </c>
      <c r="I479" t="s">
        <v>22</v>
      </c>
      <c r="J479" s="12" t="s">
        <v>23</v>
      </c>
      <c r="K479">
        <v>5</v>
      </c>
      <c r="L479">
        <v>0</v>
      </c>
      <c r="M479" t="s">
        <v>19</v>
      </c>
      <c r="N479" s="6">
        <v>110</v>
      </c>
      <c r="O479">
        <f>Table13[[#This Row],[Adults]]+Table13[[#This Row],[Children]]</f>
        <v>5</v>
      </c>
      <c r="P479">
        <f>_xlfn.DAYS(Table13[[#This Row],[Depart]],Table13[[#This Row],[Arrive]])</f>
        <v>1</v>
      </c>
    </row>
    <row r="480" spans="1:16" x14ac:dyDescent="0.25">
      <c r="A480" t="s">
        <v>641</v>
      </c>
      <c r="B480" t="s">
        <v>642</v>
      </c>
      <c r="C480" t="s">
        <v>2224</v>
      </c>
      <c r="D480" s="1">
        <v>44068</v>
      </c>
      <c r="E480" s="1">
        <v>44071</v>
      </c>
      <c r="F480" s="1">
        <v>44061</v>
      </c>
      <c r="G480" s="2">
        <v>0.33333333333333331</v>
      </c>
      <c r="H480" s="3">
        <v>1</v>
      </c>
      <c r="I480" t="s">
        <v>22</v>
      </c>
      <c r="J480" s="12" t="s">
        <v>23</v>
      </c>
      <c r="K480">
        <v>3</v>
      </c>
      <c r="L480">
        <v>0</v>
      </c>
      <c r="M480" t="s">
        <v>19</v>
      </c>
      <c r="N480" s="6">
        <v>330</v>
      </c>
      <c r="O480">
        <f>Table13[[#This Row],[Adults]]+Table13[[#This Row],[Children]]</f>
        <v>3</v>
      </c>
      <c r="P480">
        <f>_xlfn.DAYS(Table13[[#This Row],[Depart]],Table13[[#This Row],[Arrive]])</f>
        <v>3</v>
      </c>
    </row>
    <row r="481" spans="1:16" x14ac:dyDescent="0.25">
      <c r="A481" t="s">
        <v>655</v>
      </c>
      <c r="B481" t="s">
        <v>656</v>
      </c>
      <c r="C481" t="s">
        <v>2225</v>
      </c>
      <c r="D481" s="1">
        <v>44068</v>
      </c>
      <c r="E481" s="1">
        <v>44069</v>
      </c>
      <c r="F481" s="1">
        <v>44065</v>
      </c>
      <c r="G481" s="2">
        <v>0.33333333333333331</v>
      </c>
      <c r="H481" s="3">
        <v>1</v>
      </c>
      <c r="I481" t="s">
        <v>22</v>
      </c>
      <c r="J481" s="12" t="s">
        <v>23</v>
      </c>
      <c r="K481">
        <v>5</v>
      </c>
      <c r="L481">
        <v>0</v>
      </c>
      <c r="M481" t="s">
        <v>19</v>
      </c>
      <c r="N481" s="6">
        <v>110</v>
      </c>
      <c r="O481">
        <f>Table13[[#This Row],[Adults]]+Table13[[#This Row],[Children]]</f>
        <v>5</v>
      </c>
      <c r="P481">
        <f>_xlfn.DAYS(Table13[[#This Row],[Depart]],Table13[[#This Row],[Arrive]])</f>
        <v>1</v>
      </c>
    </row>
    <row r="482" spans="1:16" x14ac:dyDescent="0.25">
      <c r="A482" t="s">
        <v>601</v>
      </c>
      <c r="B482" t="s">
        <v>602</v>
      </c>
      <c r="C482" t="s">
        <v>2226</v>
      </c>
      <c r="D482" s="1">
        <v>44069</v>
      </c>
      <c r="E482" s="1">
        <v>44070</v>
      </c>
      <c r="F482" s="1">
        <v>44060</v>
      </c>
      <c r="G482" s="2">
        <v>0.33333333333333331</v>
      </c>
      <c r="H482" s="3">
        <v>1</v>
      </c>
      <c r="I482" t="s">
        <v>22</v>
      </c>
      <c r="J482" s="12" t="s">
        <v>23</v>
      </c>
      <c r="K482">
        <v>6</v>
      </c>
      <c r="L482">
        <v>0</v>
      </c>
      <c r="M482" t="s">
        <v>19</v>
      </c>
      <c r="N482" s="6">
        <v>110</v>
      </c>
      <c r="O482">
        <f>Table13[[#This Row],[Adults]]+Table13[[#This Row],[Children]]</f>
        <v>6</v>
      </c>
      <c r="P482">
        <f>_xlfn.DAYS(Table13[[#This Row],[Depart]],Table13[[#This Row],[Arrive]])</f>
        <v>1</v>
      </c>
    </row>
    <row r="483" spans="1:16" x14ac:dyDescent="0.25">
      <c r="A483" t="s">
        <v>583</v>
      </c>
      <c r="B483" t="s">
        <v>584</v>
      </c>
      <c r="C483" t="s">
        <v>2225</v>
      </c>
      <c r="D483" s="1">
        <v>44069</v>
      </c>
      <c r="E483" s="1">
        <v>44070</v>
      </c>
      <c r="F483" s="1">
        <v>44065</v>
      </c>
      <c r="G483" s="2">
        <v>0.33333333333333331</v>
      </c>
      <c r="H483" s="3">
        <v>1</v>
      </c>
      <c r="I483" t="s">
        <v>22</v>
      </c>
      <c r="J483" s="12" t="s">
        <v>18</v>
      </c>
      <c r="K483">
        <v>5</v>
      </c>
      <c r="L483">
        <v>0</v>
      </c>
      <c r="M483" t="s">
        <v>19</v>
      </c>
      <c r="N483" s="6">
        <v>110</v>
      </c>
      <c r="O483">
        <f>Table13[[#This Row],[Adults]]+Table13[[#This Row],[Children]]</f>
        <v>5</v>
      </c>
      <c r="P483">
        <f>_xlfn.DAYS(Table13[[#This Row],[Depart]],Table13[[#This Row],[Arrive]])</f>
        <v>1</v>
      </c>
    </row>
    <row r="484" spans="1:16" x14ac:dyDescent="0.25">
      <c r="A484" t="s">
        <v>671</v>
      </c>
      <c r="B484" t="s">
        <v>672</v>
      </c>
      <c r="C484" t="s">
        <v>2223</v>
      </c>
      <c r="D484" s="1">
        <v>44069</v>
      </c>
      <c r="E484" s="1">
        <v>44071</v>
      </c>
      <c r="F484" s="1">
        <v>44058</v>
      </c>
      <c r="G484" s="2">
        <v>0.58333333333333337</v>
      </c>
      <c r="H484" s="2">
        <v>0.45833333333333331</v>
      </c>
      <c r="I484" t="s">
        <v>22</v>
      </c>
      <c r="J484" s="12" t="s">
        <v>23</v>
      </c>
      <c r="K484">
        <v>4</v>
      </c>
      <c r="L484">
        <v>0</v>
      </c>
      <c r="M484" t="s">
        <v>19</v>
      </c>
      <c r="N484" s="6">
        <v>220</v>
      </c>
      <c r="O484">
        <f>Table13[[#This Row],[Adults]]+Table13[[#This Row],[Children]]</f>
        <v>4</v>
      </c>
      <c r="P484">
        <f>_xlfn.DAYS(Table13[[#This Row],[Depart]],Table13[[#This Row],[Arrive]])</f>
        <v>2</v>
      </c>
    </row>
    <row r="485" spans="1:16" x14ac:dyDescent="0.25">
      <c r="A485" t="s">
        <v>581</v>
      </c>
      <c r="B485" t="s">
        <v>582</v>
      </c>
      <c r="C485" t="s">
        <v>2225</v>
      </c>
      <c r="D485" s="1">
        <v>44070</v>
      </c>
      <c r="E485" s="1">
        <v>44072</v>
      </c>
      <c r="F485" s="1">
        <v>44051</v>
      </c>
      <c r="G485" s="2">
        <v>0.33333333333333331</v>
      </c>
      <c r="H485" s="3">
        <v>1</v>
      </c>
      <c r="I485" t="s">
        <v>26</v>
      </c>
      <c r="J485" s="12" t="s">
        <v>18</v>
      </c>
      <c r="K485">
        <v>1</v>
      </c>
      <c r="L485">
        <v>0</v>
      </c>
      <c r="M485" t="s">
        <v>19</v>
      </c>
      <c r="N485" s="6">
        <v>232</v>
      </c>
      <c r="O485">
        <f>Table13[[#This Row],[Adults]]+Table13[[#This Row],[Children]]</f>
        <v>1</v>
      </c>
      <c r="P485">
        <f>_xlfn.DAYS(Table13[[#This Row],[Depart]],Table13[[#This Row],[Arrive]])</f>
        <v>2</v>
      </c>
    </row>
    <row r="486" spans="1:16" x14ac:dyDescent="0.25">
      <c r="A486" t="s">
        <v>376</v>
      </c>
      <c r="B486" t="s">
        <v>377</v>
      </c>
      <c r="C486" t="s">
        <v>2226</v>
      </c>
      <c r="D486" s="1">
        <v>44070</v>
      </c>
      <c r="E486" s="1">
        <v>44071</v>
      </c>
      <c r="F486" s="1">
        <v>44055</v>
      </c>
      <c r="G486" s="2">
        <v>0.33333333333333331</v>
      </c>
      <c r="H486" s="3">
        <v>1</v>
      </c>
      <c r="I486" t="s">
        <v>22</v>
      </c>
      <c r="J486" s="12" t="s">
        <v>23</v>
      </c>
      <c r="K486">
        <v>5</v>
      </c>
      <c r="L486">
        <v>0</v>
      </c>
      <c r="M486" t="s">
        <v>19</v>
      </c>
      <c r="N486" s="6">
        <v>110</v>
      </c>
      <c r="O486">
        <f>Table13[[#This Row],[Adults]]+Table13[[#This Row],[Children]]</f>
        <v>5</v>
      </c>
      <c r="P486">
        <f>_xlfn.DAYS(Table13[[#This Row],[Depart]],Table13[[#This Row],[Arrive]])</f>
        <v>1</v>
      </c>
    </row>
    <row r="487" spans="1:16" x14ac:dyDescent="0.25">
      <c r="A487" t="s">
        <v>605</v>
      </c>
      <c r="B487" t="s">
        <v>606</v>
      </c>
      <c r="C487" t="s">
        <v>2223</v>
      </c>
      <c r="D487" s="1">
        <v>44070</v>
      </c>
      <c r="E487" s="1">
        <v>44072</v>
      </c>
      <c r="F487" s="1">
        <v>44055</v>
      </c>
      <c r="G487" s="2">
        <v>0.58333333333333337</v>
      </c>
      <c r="H487" s="2">
        <v>0.45833333333333331</v>
      </c>
      <c r="I487" t="s">
        <v>26</v>
      </c>
      <c r="J487" s="12" t="s">
        <v>18</v>
      </c>
      <c r="K487">
        <v>1</v>
      </c>
      <c r="L487">
        <v>0</v>
      </c>
      <c r="M487" t="s">
        <v>19</v>
      </c>
      <c r="N487" s="6">
        <v>212</v>
      </c>
      <c r="O487">
        <f>Table13[[#This Row],[Adults]]+Table13[[#This Row],[Children]]</f>
        <v>1</v>
      </c>
      <c r="P487">
        <f>_xlfn.DAYS(Table13[[#This Row],[Depart]],Table13[[#This Row],[Arrive]])</f>
        <v>2</v>
      </c>
    </row>
    <row r="488" spans="1:16" x14ac:dyDescent="0.25">
      <c r="A488" t="s">
        <v>637</v>
      </c>
      <c r="B488" t="s">
        <v>638</v>
      </c>
      <c r="C488" t="s">
        <v>2228</v>
      </c>
      <c r="D488" s="1">
        <v>44070</v>
      </c>
      <c r="E488" s="1">
        <v>44071</v>
      </c>
      <c r="F488" s="1">
        <v>44064</v>
      </c>
      <c r="G488" s="2">
        <v>0.58333333333333337</v>
      </c>
      <c r="H488" s="2">
        <v>0.45833333333333331</v>
      </c>
      <c r="I488" t="s">
        <v>22</v>
      </c>
      <c r="J488" s="12" t="s">
        <v>23</v>
      </c>
      <c r="K488">
        <v>5</v>
      </c>
      <c r="L488">
        <v>0</v>
      </c>
      <c r="M488" t="s">
        <v>19</v>
      </c>
      <c r="N488" s="6">
        <v>110</v>
      </c>
      <c r="O488">
        <f>Table13[[#This Row],[Adults]]+Table13[[#This Row],[Children]]</f>
        <v>5</v>
      </c>
      <c r="P488">
        <f>_xlfn.DAYS(Table13[[#This Row],[Depart]],Table13[[#This Row],[Arrive]])</f>
        <v>1</v>
      </c>
    </row>
    <row r="489" spans="1:16" x14ac:dyDescent="0.25">
      <c r="A489" t="s">
        <v>512</v>
      </c>
      <c r="B489" t="s">
        <v>513</v>
      </c>
      <c r="C489" t="s">
        <v>2225</v>
      </c>
      <c r="D489" s="1">
        <v>44070</v>
      </c>
      <c r="E489" s="1">
        <v>44071</v>
      </c>
      <c r="F489" s="1">
        <v>44069</v>
      </c>
      <c r="G489" s="2">
        <v>0.33333333333333331</v>
      </c>
      <c r="H489" s="3">
        <v>1</v>
      </c>
      <c r="I489" t="s">
        <v>22</v>
      </c>
      <c r="J489" s="12" t="s">
        <v>18</v>
      </c>
      <c r="K489">
        <v>3</v>
      </c>
      <c r="L489">
        <v>0</v>
      </c>
      <c r="M489" t="s">
        <v>19</v>
      </c>
      <c r="N489" s="6">
        <v>118.25</v>
      </c>
      <c r="O489">
        <f>Table13[[#This Row],[Adults]]+Table13[[#This Row],[Children]]</f>
        <v>3</v>
      </c>
      <c r="P489">
        <f>_xlfn.DAYS(Table13[[#This Row],[Depart]],Table13[[#This Row],[Arrive]])</f>
        <v>1</v>
      </c>
    </row>
    <row r="490" spans="1:16" x14ac:dyDescent="0.25">
      <c r="A490" t="s">
        <v>508</v>
      </c>
      <c r="B490" t="s">
        <v>509</v>
      </c>
      <c r="C490" t="s">
        <v>2226</v>
      </c>
      <c r="D490" s="1">
        <v>44071</v>
      </c>
      <c r="E490" s="1">
        <v>44073</v>
      </c>
      <c r="F490" s="1">
        <v>44038</v>
      </c>
      <c r="G490" s="2">
        <v>0.33333333333333331</v>
      </c>
      <c r="H490" s="3">
        <v>1</v>
      </c>
      <c r="I490" t="s">
        <v>22</v>
      </c>
      <c r="J490" s="12" t="s">
        <v>23</v>
      </c>
      <c r="K490">
        <v>8</v>
      </c>
      <c r="L490">
        <v>0</v>
      </c>
      <c r="M490" t="s">
        <v>19</v>
      </c>
      <c r="N490" s="6">
        <v>300</v>
      </c>
      <c r="O490">
        <f>Table13[[#This Row],[Adults]]+Table13[[#This Row],[Children]]</f>
        <v>8</v>
      </c>
      <c r="P490">
        <f>_xlfn.DAYS(Table13[[#This Row],[Depart]],Table13[[#This Row],[Arrive]])</f>
        <v>2</v>
      </c>
    </row>
    <row r="491" spans="1:16" x14ac:dyDescent="0.25">
      <c r="A491" t="s">
        <v>508</v>
      </c>
      <c r="B491" t="s">
        <v>509</v>
      </c>
      <c r="C491" t="s">
        <v>2228</v>
      </c>
      <c r="D491" s="1">
        <v>44071</v>
      </c>
      <c r="E491" s="1">
        <v>44073</v>
      </c>
      <c r="F491" s="1">
        <v>44038</v>
      </c>
      <c r="G491" s="2">
        <v>0.58333333333333337</v>
      </c>
      <c r="H491" s="2">
        <v>0.45833333333333331</v>
      </c>
      <c r="I491" t="s">
        <v>22</v>
      </c>
      <c r="J491" s="12" t="s">
        <v>23</v>
      </c>
      <c r="K491">
        <v>5</v>
      </c>
      <c r="L491">
        <v>0</v>
      </c>
      <c r="M491" t="s">
        <v>19</v>
      </c>
      <c r="N491" s="6">
        <v>220</v>
      </c>
      <c r="O491">
        <f>Table13[[#This Row],[Adults]]+Table13[[#This Row],[Children]]</f>
        <v>5</v>
      </c>
      <c r="P491">
        <f>_xlfn.DAYS(Table13[[#This Row],[Depart]],Table13[[#This Row],[Arrive]])</f>
        <v>2</v>
      </c>
    </row>
    <row r="492" spans="1:16" x14ac:dyDescent="0.25">
      <c r="A492" t="s">
        <v>130</v>
      </c>
      <c r="B492" t="s">
        <v>131</v>
      </c>
      <c r="C492" t="s">
        <v>2224</v>
      </c>
      <c r="D492" s="1">
        <v>44071</v>
      </c>
      <c r="E492" s="1">
        <v>44074</v>
      </c>
      <c r="F492" s="1">
        <v>44045</v>
      </c>
      <c r="G492" s="2">
        <v>0.33333333333333331</v>
      </c>
      <c r="H492" s="3">
        <v>1</v>
      </c>
      <c r="I492" t="s">
        <v>22</v>
      </c>
      <c r="J492" s="12" t="s">
        <v>18</v>
      </c>
      <c r="K492">
        <v>4</v>
      </c>
      <c r="L492">
        <v>0</v>
      </c>
      <c r="M492" t="s">
        <v>19</v>
      </c>
      <c r="N492" s="6">
        <v>330</v>
      </c>
      <c r="O492">
        <f>Table13[[#This Row],[Adults]]+Table13[[#This Row],[Children]]</f>
        <v>4</v>
      </c>
      <c r="P492">
        <f>_xlfn.DAYS(Table13[[#This Row],[Depart]],Table13[[#This Row],[Arrive]])</f>
        <v>3</v>
      </c>
    </row>
    <row r="493" spans="1:16" x14ac:dyDescent="0.25">
      <c r="A493" t="s">
        <v>621</v>
      </c>
      <c r="B493" t="s">
        <v>622</v>
      </c>
      <c r="C493" t="s">
        <v>2225</v>
      </c>
      <c r="D493" s="1">
        <v>44071</v>
      </c>
      <c r="E493" s="1">
        <v>44073</v>
      </c>
      <c r="F493" s="1">
        <v>44056</v>
      </c>
      <c r="G493" s="2">
        <v>0.33333333333333331</v>
      </c>
      <c r="H493" s="3">
        <v>1</v>
      </c>
      <c r="I493" t="s">
        <v>22</v>
      </c>
      <c r="J493" s="12" t="s">
        <v>23</v>
      </c>
      <c r="K493">
        <v>5</v>
      </c>
      <c r="L493">
        <v>0</v>
      </c>
      <c r="M493" t="s">
        <v>19</v>
      </c>
      <c r="N493" s="6">
        <v>220</v>
      </c>
      <c r="O493">
        <f>Table13[[#This Row],[Adults]]+Table13[[#This Row],[Children]]</f>
        <v>5</v>
      </c>
      <c r="P493">
        <f>_xlfn.DAYS(Table13[[#This Row],[Depart]],Table13[[#This Row],[Arrive]])</f>
        <v>2</v>
      </c>
    </row>
    <row r="494" spans="1:16" x14ac:dyDescent="0.25">
      <c r="A494" t="s">
        <v>677</v>
      </c>
      <c r="B494" t="s">
        <v>678</v>
      </c>
      <c r="C494" t="s">
        <v>2224</v>
      </c>
      <c r="D494" s="1">
        <v>44071</v>
      </c>
      <c r="E494" s="1">
        <v>44073</v>
      </c>
      <c r="F494" s="1">
        <v>44046</v>
      </c>
      <c r="G494" s="2">
        <v>0.33333333333333331</v>
      </c>
      <c r="H494" s="3">
        <v>1</v>
      </c>
      <c r="I494" t="s">
        <v>22</v>
      </c>
      <c r="J494" s="12" t="s">
        <v>18</v>
      </c>
      <c r="K494">
        <v>4</v>
      </c>
      <c r="L494">
        <v>0</v>
      </c>
      <c r="M494" t="s">
        <v>19</v>
      </c>
      <c r="N494" s="6">
        <v>220</v>
      </c>
      <c r="O494">
        <f>Table13[[#This Row],[Adults]]+Table13[[#This Row],[Children]]</f>
        <v>4</v>
      </c>
      <c r="P494">
        <f>_xlfn.DAYS(Table13[[#This Row],[Depart]],Table13[[#This Row],[Arrive]])</f>
        <v>2</v>
      </c>
    </row>
    <row r="495" spans="1:16" x14ac:dyDescent="0.25">
      <c r="A495" t="s">
        <v>641</v>
      </c>
      <c r="B495" t="s">
        <v>642</v>
      </c>
      <c r="C495" t="s">
        <v>2223</v>
      </c>
      <c r="D495" s="1">
        <v>44071</v>
      </c>
      <c r="E495" s="1">
        <v>44075</v>
      </c>
      <c r="F495" s="1">
        <v>44061</v>
      </c>
      <c r="G495" s="2">
        <v>0.58333333333333337</v>
      </c>
      <c r="H495" s="2">
        <v>0.45833333333333331</v>
      </c>
      <c r="I495" t="s">
        <v>22</v>
      </c>
      <c r="J495" s="12" t="s">
        <v>23</v>
      </c>
      <c r="K495">
        <v>3</v>
      </c>
      <c r="L495">
        <v>0</v>
      </c>
      <c r="M495" t="s">
        <v>19</v>
      </c>
      <c r="N495" s="6">
        <v>473</v>
      </c>
      <c r="O495">
        <f>Table13[[#This Row],[Adults]]+Table13[[#This Row],[Children]]</f>
        <v>3</v>
      </c>
      <c r="P495">
        <f>_xlfn.DAYS(Table13[[#This Row],[Depart]],Table13[[#This Row],[Arrive]])</f>
        <v>4</v>
      </c>
    </row>
    <row r="496" spans="1:16" x14ac:dyDescent="0.25">
      <c r="A496" t="s">
        <v>400</v>
      </c>
      <c r="B496" t="s">
        <v>401</v>
      </c>
      <c r="C496" t="s">
        <v>2224</v>
      </c>
      <c r="D496" s="1">
        <v>44071</v>
      </c>
      <c r="E496" s="1">
        <v>44072</v>
      </c>
      <c r="F496" s="1">
        <v>44071</v>
      </c>
      <c r="G496" s="2">
        <v>0.33333333333333331</v>
      </c>
      <c r="H496" s="3">
        <v>1</v>
      </c>
      <c r="I496" t="s">
        <v>22</v>
      </c>
      <c r="J496" s="12" t="s">
        <v>23</v>
      </c>
      <c r="K496">
        <v>4</v>
      </c>
      <c r="L496">
        <v>0</v>
      </c>
      <c r="M496" t="s">
        <v>19</v>
      </c>
      <c r="N496" s="6">
        <v>118.25</v>
      </c>
      <c r="O496">
        <f>Table13[[#This Row],[Adults]]+Table13[[#This Row],[Children]]</f>
        <v>4</v>
      </c>
      <c r="P496">
        <f>_xlfn.DAYS(Table13[[#This Row],[Depart]],Table13[[#This Row],[Arrive]])</f>
        <v>1</v>
      </c>
    </row>
    <row r="497" spans="1:16" x14ac:dyDescent="0.25">
      <c r="A497" t="s">
        <v>679</v>
      </c>
      <c r="B497" t="s">
        <v>680</v>
      </c>
      <c r="C497" t="s">
        <v>2223</v>
      </c>
      <c r="D497" s="1">
        <v>44072</v>
      </c>
      <c r="E497" s="1">
        <v>44073</v>
      </c>
      <c r="F497" s="1">
        <v>44019</v>
      </c>
      <c r="G497" s="2">
        <v>0.33333333333333331</v>
      </c>
      <c r="H497" s="3">
        <v>1</v>
      </c>
      <c r="I497" t="s">
        <v>22</v>
      </c>
      <c r="J497" s="12" t="s">
        <v>18</v>
      </c>
      <c r="K497">
        <v>4</v>
      </c>
      <c r="L497">
        <v>0</v>
      </c>
      <c r="M497" t="s">
        <v>19</v>
      </c>
      <c r="N497" s="6">
        <v>135</v>
      </c>
      <c r="O497">
        <f>Table13[[#This Row],[Adults]]+Table13[[#This Row],[Children]]</f>
        <v>4</v>
      </c>
      <c r="P497">
        <f>_xlfn.DAYS(Table13[[#This Row],[Depart]],Table13[[#This Row],[Arrive]])</f>
        <v>1</v>
      </c>
    </row>
    <row r="498" spans="1:16" x14ac:dyDescent="0.25">
      <c r="A498" t="s">
        <v>679</v>
      </c>
      <c r="B498" t="s">
        <v>680</v>
      </c>
      <c r="C498" t="s">
        <v>2224</v>
      </c>
      <c r="D498" s="1">
        <v>44072</v>
      </c>
      <c r="E498" s="1">
        <v>44073</v>
      </c>
      <c r="F498" s="1">
        <v>44071</v>
      </c>
      <c r="G498" s="2">
        <v>0.33333333333333331</v>
      </c>
      <c r="H498" s="3">
        <v>1</v>
      </c>
      <c r="I498" t="s">
        <v>22</v>
      </c>
      <c r="J498" s="12" t="s">
        <v>23</v>
      </c>
      <c r="K498">
        <v>4</v>
      </c>
      <c r="L498">
        <v>0</v>
      </c>
      <c r="M498" t="s">
        <v>19</v>
      </c>
      <c r="N498" s="6">
        <v>118.25</v>
      </c>
      <c r="O498">
        <f>Table13[[#This Row],[Adults]]+Table13[[#This Row],[Children]]</f>
        <v>4</v>
      </c>
      <c r="P498">
        <f>_xlfn.DAYS(Table13[[#This Row],[Depart]],Table13[[#This Row],[Arrive]])</f>
        <v>1</v>
      </c>
    </row>
    <row r="499" spans="1:16" x14ac:dyDescent="0.25">
      <c r="A499" t="s">
        <v>563</v>
      </c>
      <c r="B499" t="s">
        <v>564</v>
      </c>
      <c r="C499" t="s">
        <v>2226</v>
      </c>
      <c r="D499" s="1">
        <v>44073</v>
      </c>
      <c r="E499" s="1">
        <v>44076</v>
      </c>
      <c r="F499" s="1">
        <v>44049</v>
      </c>
      <c r="G499" s="2">
        <v>0.33333333333333331</v>
      </c>
      <c r="H499" s="3">
        <v>1</v>
      </c>
      <c r="I499" t="s">
        <v>22</v>
      </c>
      <c r="J499" s="12" t="s">
        <v>23</v>
      </c>
      <c r="K499">
        <v>6</v>
      </c>
      <c r="L499">
        <v>0</v>
      </c>
      <c r="M499" t="s">
        <v>19</v>
      </c>
      <c r="N499" s="6">
        <v>330</v>
      </c>
      <c r="O499">
        <f>Table13[[#This Row],[Adults]]+Table13[[#This Row],[Children]]</f>
        <v>6</v>
      </c>
      <c r="P499">
        <f>_xlfn.DAYS(Table13[[#This Row],[Depart]],Table13[[#This Row],[Arrive]])</f>
        <v>3</v>
      </c>
    </row>
    <row r="500" spans="1:16" x14ac:dyDescent="0.25">
      <c r="A500" t="s">
        <v>563</v>
      </c>
      <c r="B500" t="s">
        <v>564</v>
      </c>
      <c r="C500" t="s">
        <v>2228</v>
      </c>
      <c r="D500" s="1">
        <v>44073</v>
      </c>
      <c r="E500" s="1">
        <v>44076</v>
      </c>
      <c r="F500" s="1">
        <v>44049</v>
      </c>
      <c r="G500" s="2">
        <v>0.58333333333333337</v>
      </c>
      <c r="H500" s="2">
        <v>0.45833333333333331</v>
      </c>
      <c r="I500" t="s">
        <v>22</v>
      </c>
      <c r="J500" s="12" t="s">
        <v>23</v>
      </c>
      <c r="K500">
        <v>4</v>
      </c>
      <c r="L500">
        <v>0</v>
      </c>
      <c r="M500" t="s">
        <v>19</v>
      </c>
      <c r="N500" s="6">
        <v>330</v>
      </c>
      <c r="O500">
        <f>Table13[[#This Row],[Adults]]+Table13[[#This Row],[Children]]</f>
        <v>4</v>
      </c>
      <c r="P500">
        <f>_xlfn.DAYS(Table13[[#This Row],[Depart]],Table13[[#This Row],[Arrive]])</f>
        <v>3</v>
      </c>
    </row>
    <row r="501" spans="1:16" x14ac:dyDescent="0.25">
      <c r="A501" t="s">
        <v>563</v>
      </c>
      <c r="B501" t="s">
        <v>564</v>
      </c>
      <c r="C501" t="s">
        <v>2225</v>
      </c>
      <c r="D501" s="1">
        <v>44073</v>
      </c>
      <c r="E501" s="1">
        <v>44076</v>
      </c>
      <c r="F501" s="1">
        <v>44051</v>
      </c>
      <c r="G501" s="2">
        <v>0.33333333333333331</v>
      </c>
      <c r="H501" s="3">
        <v>1</v>
      </c>
      <c r="I501" t="s">
        <v>22</v>
      </c>
      <c r="J501" s="12" t="s">
        <v>23</v>
      </c>
      <c r="K501">
        <v>6</v>
      </c>
      <c r="L501">
        <v>0</v>
      </c>
      <c r="M501" t="s">
        <v>19</v>
      </c>
      <c r="N501" s="6">
        <v>330</v>
      </c>
      <c r="O501">
        <f>Table13[[#This Row],[Adults]]+Table13[[#This Row],[Children]]</f>
        <v>6</v>
      </c>
      <c r="P501">
        <f>_xlfn.DAYS(Table13[[#This Row],[Depart]],Table13[[#This Row],[Arrive]])</f>
        <v>3</v>
      </c>
    </row>
    <row r="502" spans="1:16" x14ac:dyDescent="0.25">
      <c r="A502" t="s">
        <v>667</v>
      </c>
      <c r="B502" t="s">
        <v>668</v>
      </c>
      <c r="C502" t="s">
        <v>2224</v>
      </c>
      <c r="D502" s="1">
        <v>44073</v>
      </c>
      <c r="E502" s="1">
        <v>44075</v>
      </c>
      <c r="F502" s="1">
        <v>44068</v>
      </c>
      <c r="G502" s="2">
        <v>0.33333333333333331</v>
      </c>
      <c r="H502" s="3">
        <v>1</v>
      </c>
      <c r="I502" t="s">
        <v>22</v>
      </c>
      <c r="J502" s="12" t="s">
        <v>23</v>
      </c>
      <c r="K502">
        <v>1</v>
      </c>
      <c r="L502">
        <v>0</v>
      </c>
      <c r="M502" t="s">
        <v>19</v>
      </c>
      <c r="N502" s="6">
        <v>236.5</v>
      </c>
      <c r="O502">
        <f>Table13[[#This Row],[Adults]]+Table13[[#This Row],[Children]]</f>
        <v>1</v>
      </c>
      <c r="P502">
        <f>_xlfn.DAYS(Table13[[#This Row],[Depart]],Table13[[#This Row],[Arrive]])</f>
        <v>2</v>
      </c>
    </row>
    <row r="503" spans="1:16" x14ac:dyDescent="0.25">
      <c r="A503" t="s">
        <v>512</v>
      </c>
      <c r="B503" t="s">
        <v>513</v>
      </c>
      <c r="C503" t="s">
        <v>2223</v>
      </c>
      <c r="D503" s="1">
        <v>44073</v>
      </c>
      <c r="E503" s="1">
        <v>44075</v>
      </c>
      <c r="F503" s="1">
        <v>44067</v>
      </c>
      <c r="G503" s="2">
        <v>0.58333333333333337</v>
      </c>
      <c r="H503" s="2">
        <v>0.45833333333333331</v>
      </c>
      <c r="I503" t="s">
        <v>22</v>
      </c>
      <c r="J503" s="12" t="s">
        <v>18</v>
      </c>
      <c r="K503">
        <v>4</v>
      </c>
      <c r="L503">
        <v>0</v>
      </c>
      <c r="M503" t="s">
        <v>19</v>
      </c>
      <c r="N503" s="6">
        <v>236.5</v>
      </c>
      <c r="O503">
        <f>Table13[[#This Row],[Adults]]+Table13[[#This Row],[Children]]</f>
        <v>4</v>
      </c>
      <c r="P503">
        <f>_xlfn.DAYS(Table13[[#This Row],[Depart]],Table13[[#This Row],[Arrive]])</f>
        <v>2</v>
      </c>
    </row>
    <row r="504" spans="1:16" x14ac:dyDescent="0.25">
      <c r="A504" t="s">
        <v>512</v>
      </c>
      <c r="B504" t="s">
        <v>513</v>
      </c>
      <c r="C504" t="s">
        <v>2223</v>
      </c>
      <c r="D504" s="1">
        <v>44074</v>
      </c>
      <c r="E504" s="1">
        <v>44075</v>
      </c>
      <c r="F504" s="1">
        <v>44067</v>
      </c>
      <c r="G504" s="2">
        <v>0.58333333333333337</v>
      </c>
      <c r="H504" s="2">
        <v>0.45833333333333331</v>
      </c>
      <c r="I504" t="s">
        <v>22</v>
      </c>
      <c r="J504" s="12" t="s">
        <v>18</v>
      </c>
      <c r="K504">
        <v>4</v>
      </c>
      <c r="L504">
        <v>0</v>
      </c>
      <c r="M504" t="s">
        <v>19</v>
      </c>
      <c r="N504" s="6">
        <v>118.25</v>
      </c>
      <c r="O504">
        <f>Table13[[#This Row],[Adults]]+Table13[[#This Row],[Children]]</f>
        <v>4</v>
      </c>
      <c r="P504">
        <f>_xlfn.DAYS(Table13[[#This Row],[Depart]],Table13[[#This Row],[Arrive]])</f>
        <v>1</v>
      </c>
    </row>
    <row r="505" spans="1:16" x14ac:dyDescent="0.25">
      <c r="A505" t="s">
        <v>388</v>
      </c>
      <c r="B505" t="s">
        <v>389</v>
      </c>
      <c r="C505" t="s">
        <v>2228</v>
      </c>
      <c r="D505" s="1">
        <v>44075</v>
      </c>
      <c r="E505" s="1">
        <v>44082</v>
      </c>
      <c r="F505" s="1">
        <v>44005</v>
      </c>
      <c r="G505" s="2">
        <v>0.58333333333333337</v>
      </c>
      <c r="H505" s="2">
        <v>0.45833333333333331</v>
      </c>
      <c r="I505" t="s">
        <v>26</v>
      </c>
      <c r="J505" s="12" t="s">
        <v>18</v>
      </c>
      <c r="K505">
        <v>4</v>
      </c>
      <c r="L505">
        <v>0</v>
      </c>
      <c r="M505" t="s">
        <v>19</v>
      </c>
      <c r="N505" s="6">
        <v>720</v>
      </c>
      <c r="O505">
        <f>Table13[[#This Row],[Adults]]+Table13[[#This Row],[Children]]</f>
        <v>4</v>
      </c>
      <c r="P505">
        <f>_xlfn.DAYS(Table13[[#This Row],[Depart]],Table13[[#This Row],[Arrive]])</f>
        <v>7</v>
      </c>
    </row>
    <row r="506" spans="1:16" x14ac:dyDescent="0.25">
      <c r="A506" t="s">
        <v>555</v>
      </c>
      <c r="B506" t="s">
        <v>556</v>
      </c>
      <c r="C506" t="s">
        <v>2224</v>
      </c>
      <c r="D506" s="1">
        <v>44075</v>
      </c>
      <c r="E506" s="1">
        <v>44078</v>
      </c>
      <c r="F506" s="1">
        <v>44046</v>
      </c>
      <c r="G506" s="2">
        <v>0.33333333333333331</v>
      </c>
      <c r="H506" s="3">
        <v>1</v>
      </c>
      <c r="I506" t="s">
        <v>26</v>
      </c>
      <c r="J506" s="12" t="s">
        <v>18</v>
      </c>
      <c r="K506">
        <v>1</v>
      </c>
      <c r="L506">
        <v>0</v>
      </c>
      <c r="M506" t="s">
        <v>19</v>
      </c>
      <c r="N506" s="6">
        <v>312</v>
      </c>
      <c r="O506">
        <f>Table13[[#This Row],[Adults]]+Table13[[#This Row],[Children]]</f>
        <v>1</v>
      </c>
      <c r="P506">
        <f>_xlfn.DAYS(Table13[[#This Row],[Depart]],Table13[[#This Row],[Arrive]])</f>
        <v>3</v>
      </c>
    </row>
    <row r="507" spans="1:16" x14ac:dyDescent="0.25">
      <c r="A507" t="s">
        <v>613</v>
      </c>
      <c r="B507" t="s">
        <v>614</v>
      </c>
      <c r="C507" t="s">
        <v>2223</v>
      </c>
      <c r="D507" s="1">
        <v>44075</v>
      </c>
      <c r="E507" s="1">
        <v>44076</v>
      </c>
      <c r="F507" s="1">
        <v>44056</v>
      </c>
      <c r="G507" s="2">
        <v>0.58333333333333337</v>
      </c>
      <c r="H507" s="2">
        <v>0.45833333333333331</v>
      </c>
      <c r="I507" t="s">
        <v>22</v>
      </c>
      <c r="J507" s="12" t="s">
        <v>23</v>
      </c>
      <c r="K507">
        <v>6</v>
      </c>
      <c r="L507">
        <v>0</v>
      </c>
      <c r="M507" t="s">
        <v>19</v>
      </c>
      <c r="N507" s="6">
        <v>110</v>
      </c>
      <c r="O507">
        <f>Table13[[#This Row],[Adults]]+Table13[[#This Row],[Children]]</f>
        <v>6</v>
      </c>
      <c r="P507">
        <f>_xlfn.DAYS(Table13[[#This Row],[Depart]],Table13[[#This Row],[Arrive]])</f>
        <v>1</v>
      </c>
    </row>
    <row r="508" spans="1:16" x14ac:dyDescent="0.25">
      <c r="A508" t="s">
        <v>613</v>
      </c>
      <c r="B508" t="s">
        <v>614</v>
      </c>
      <c r="C508" t="s">
        <v>2224</v>
      </c>
      <c r="D508" s="1">
        <v>44075</v>
      </c>
      <c r="E508" s="1">
        <v>44076</v>
      </c>
      <c r="F508" s="1">
        <v>44056</v>
      </c>
      <c r="G508" s="2">
        <v>0.33333333333333331</v>
      </c>
      <c r="H508" s="3">
        <v>1</v>
      </c>
      <c r="I508" t="s">
        <v>22</v>
      </c>
      <c r="J508" s="12" t="s">
        <v>23</v>
      </c>
      <c r="K508">
        <v>6</v>
      </c>
      <c r="L508">
        <v>0</v>
      </c>
      <c r="M508" t="s">
        <v>19</v>
      </c>
      <c r="N508" s="6">
        <v>110</v>
      </c>
      <c r="O508">
        <f>Table13[[#This Row],[Adults]]+Table13[[#This Row],[Children]]</f>
        <v>6</v>
      </c>
      <c r="P508">
        <f>_xlfn.DAYS(Table13[[#This Row],[Depart]],Table13[[#This Row],[Arrive]])</f>
        <v>1</v>
      </c>
    </row>
    <row r="509" spans="1:16" x14ac:dyDescent="0.25">
      <c r="A509" t="s">
        <v>657</v>
      </c>
      <c r="B509" t="s">
        <v>658</v>
      </c>
      <c r="C509" t="s">
        <v>2227</v>
      </c>
      <c r="D509" s="1">
        <v>44075</v>
      </c>
      <c r="E509" s="1">
        <v>44105</v>
      </c>
      <c r="F509" s="1">
        <v>44049</v>
      </c>
      <c r="G509" s="2">
        <v>0.58333333333333337</v>
      </c>
      <c r="H509" s="2">
        <v>0.45833333333333331</v>
      </c>
      <c r="I509" t="s">
        <v>22</v>
      </c>
      <c r="J509" s="12" t="s">
        <v>18</v>
      </c>
      <c r="K509">
        <v>5</v>
      </c>
      <c r="L509">
        <v>0</v>
      </c>
      <c r="M509" t="s">
        <v>19</v>
      </c>
      <c r="N509" s="6">
        <v>4500</v>
      </c>
      <c r="O509">
        <f>Table13[[#This Row],[Adults]]+Table13[[#This Row],[Children]]</f>
        <v>5</v>
      </c>
      <c r="P509">
        <f>_xlfn.DAYS(Table13[[#This Row],[Depart]],Table13[[#This Row],[Arrive]])</f>
        <v>30</v>
      </c>
    </row>
    <row r="510" spans="1:16" x14ac:dyDescent="0.25">
      <c r="A510" t="s">
        <v>502</v>
      </c>
      <c r="B510" t="s">
        <v>503</v>
      </c>
      <c r="C510" t="s">
        <v>2223</v>
      </c>
      <c r="D510" s="1">
        <v>44076</v>
      </c>
      <c r="E510" s="1">
        <v>44084</v>
      </c>
      <c r="F510" s="1">
        <v>44035</v>
      </c>
      <c r="G510" s="2">
        <v>0.58333333333333337</v>
      </c>
      <c r="H510" s="2">
        <v>0.45833333333333331</v>
      </c>
      <c r="I510" t="s">
        <v>26</v>
      </c>
      <c r="J510" s="12" t="s">
        <v>18</v>
      </c>
      <c r="K510">
        <v>2</v>
      </c>
      <c r="L510">
        <v>0</v>
      </c>
      <c r="M510" t="s">
        <v>19</v>
      </c>
      <c r="N510" s="6">
        <v>806</v>
      </c>
      <c r="O510">
        <f>Table13[[#This Row],[Adults]]+Table13[[#This Row],[Children]]</f>
        <v>2</v>
      </c>
      <c r="P510">
        <f>_xlfn.DAYS(Table13[[#This Row],[Depart]],Table13[[#This Row],[Arrive]])</f>
        <v>8</v>
      </c>
    </row>
    <row r="511" spans="1:16" x14ac:dyDescent="0.25">
      <c r="A511" t="s">
        <v>607</v>
      </c>
      <c r="B511" t="s">
        <v>608</v>
      </c>
      <c r="C511" t="s">
        <v>2224</v>
      </c>
      <c r="D511" s="1">
        <v>44076</v>
      </c>
      <c r="E511" s="1">
        <v>44078</v>
      </c>
      <c r="F511" s="1">
        <v>44056</v>
      </c>
      <c r="G511" s="2">
        <v>0.33333333333333331</v>
      </c>
      <c r="H511" s="3">
        <v>1</v>
      </c>
      <c r="I511" t="s">
        <v>22</v>
      </c>
      <c r="J511" s="12" t="s">
        <v>23</v>
      </c>
      <c r="K511">
        <v>4</v>
      </c>
      <c r="L511">
        <v>0</v>
      </c>
      <c r="M511" t="s">
        <v>19</v>
      </c>
      <c r="N511" s="6">
        <v>220</v>
      </c>
      <c r="O511">
        <f>Table13[[#This Row],[Adults]]+Table13[[#This Row],[Children]]</f>
        <v>4</v>
      </c>
      <c r="P511">
        <f>_xlfn.DAYS(Table13[[#This Row],[Depart]],Table13[[#This Row],[Arrive]])</f>
        <v>2</v>
      </c>
    </row>
    <row r="512" spans="1:16" x14ac:dyDescent="0.25">
      <c r="A512" t="s">
        <v>595</v>
      </c>
      <c r="B512" t="s">
        <v>596</v>
      </c>
      <c r="C512" t="s">
        <v>2225</v>
      </c>
      <c r="D512" s="1">
        <v>44076</v>
      </c>
      <c r="E512" s="1">
        <v>44077</v>
      </c>
      <c r="F512" s="1">
        <v>44074</v>
      </c>
      <c r="G512" s="2">
        <v>0.33333333333333331</v>
      </c>
      <c r="H512" s="3">
        <v>1</v>
      </c>
      <c r="I512" t="s">
        <v>22</v>
      </c>
      <c r="J512" s="12" t="s">
        <v>18</v>
      </c>
      <c r="K512">
        <v>6</v>
      </c>
      <c r="L512">
        <v>0</v>
      </c>
      <c r="M512" t="s">
        <v>19</v>
      </c>
      <c r="N512" s="6">
        <v>118.25</v>
      </c>
      <c r="O512">
        <f>Table13[[#This Row],[Adults]]+Table13[[#This Row],[Children]]</f>
        <v>6</v>
      </c>
      <c r="P512">
        <f>_xlfn.DAYS(Table13[[#This Row],[Depart]],Table13[[#This Row],[Arrive]])</f>
        <v>1</v>
      </c>
    </row>
    <row r="513" spans="1:16" x14ac:dyDescent="0.25">
      <c r="A513" t="s">
        <v>689</v>
      </c>
      <c r="B513" t="s">
        <v>690</v>
      </c>
      <c r="C513" t="s">
        <v>2223</v>
      </c>
      <c r="D513" s="1">
        <v>44076</v>
      </c>
      <c r="E513" s="1">
        <v>44077</v>
      </c>
      <c r="F513" s="1">
        <v>44072</v>
      </c>
      <c r="G513" s="2">
        <v>0.58333333333333337</v>
      </c>
      <c r="H513" s="2">
        <v>0.45833333333333331</v>
      </c>
      <c r="I513" t="s">
        <v>22</v>
      </c>
      <c r="J513" s="12" t="s">
        <v>18</v>
      </c>
      <c r="K513">
        <v>4</v>
      </c>
      <c r="L513">
        <v>0</v>
      </c>
      <c r="M513" t="s">
        <v>19</v>
      </c>
      <c r="N513" s="6">
        <v>118.25</v>
      </c>
      <c r="O513">
        <f>Table13[[#This Row],[Adults]]+Table13[[#This Row],[Children]]</f>
        <v>4</v>
      </c>
      <c r="P513">
        <f>_xlfn.DAYS(Table13[[#This Row],[Depart]],Table13[[#This Row],[Arrive]])</f>
        <v>1</v>
      </c>
    </row>
    <row r="514" spans="1:16" x14ac:dyDescent="0.25">
      <c r="A514" t="s">
        <v>595</v>
      </c>
      <c r="B514" t="s">
        <v>596</v>
      </c>
      <c r="C514" t="s">
        <v>2228</v>
      </c>
      <c r="D514" s="1">
        <v>44076</v>
      </c>
      <c r="E514" s="1">
        <v>44077</v>
      </c>
      <c r="F514" s="1">
        <v>44074</v>
      </c>
      <c r="G514" s="2">
        <v>0.58333333333333337</v>
      </c>
      <c r="H514" s="2">
        <v>0.45833333333333331</v>
      </c>
      <c r="I514" t="s">
        <v>22</v>
      </c>
      <c r="J514" s="12" t="s">
        <v>18</v>
      </c>
      <c r="K514">
        <v>5</v>
      </c>
      <c r="L514">
        <v>0</v>
      </c>
      <c r="M514" t="s">
        <v>19</v>
      </c>
      <c r="N514" s="6">
        <v>118.25</v>
      </c>
      <c r="O514">
        <f>Table13[[#This Row],[Adults]]+Table13[[#This Row],[Children]]</f>
        <v>5</v>
      </c>
      <c r="P514">
        <f>_xlfn.DAYS(Table13[[#This Row],[Depart]],Table13[[#This Row],[Arrive]])</f>
        <v>1</v>
      </c>
    </row>
    <row r="515" spans="1:16" x14ac:dyDescent="0.25">
      <c r="A515" t="s">
        <v>697</v>
      </c>
      <c r="B515" t="s">
        <v>698</v>
      </c>
      <c r="C515" t="s">
        <v>2228</v>
      </c>
      <c r="D515" s="1">
        <v>44076</v>
      </c>
      <c r="E515" s="1">
        <v>44080</v>
      </c>
      <c r="F515" s="1">
        <v>44074</v>
      </c>
      <c r="G515" s="2">
        <v>0.58333333333333337</v>
      </c>
      <c r="H515" s="2">
        <v>0.45833333333333331</v>
      </c>
      <c r="I515" t="s">
        <v>22</v>
      </c>
      <c r="J515" s="12" t="s">
        <v>18</v>
      </c>
      <c r="K515">
        <v>4</v>
      </c>
      <c r="L515">
        <v>0</v>
      </c>
      <c r="M515" t="s">
        <v>19</v>
      </c>
      <c r="N515" s="6">
        <v>473</v>
      </c>
      <c r="O515">
        <f>Table13[[#This Row],[Adults]]+Table13[[#This Row],[Children]]</f>
        <v>4</v>
      </c>
      <c r="P515">
        <f>_xlfn.DAYS(Table13[[#This Row],[Depart]],Table13[[#This Row],[Arrive]])</f>
        <v>4</v>
      </c>
    </row>
    <row r="516" spans="1:16" x14ac:dyDescent="0.25">
      <c r="A516" t="s">
        <v>705</v>
      </c>
      <c r="B516" t="s">
        <v>706</v>
      </c>
      <c r="C516" t="s">
        <v>2223</v>
      </c>
      <c r="D516" s="1">
        <v>44076</v>
      </c>
      <c r="E516" s="1">
        <v>44078</v>
      </c>
      <c r="F516" s="1">
        <v>44074</v>
      </c>
      <c r="G516" s="2">
        <v>0.58333333333333337</v>
      </c>
      <c r="H516" s="2">
        <v>0.45833333333333331</v>
      </c>
      <c r="I516" t="s">
        <v>22</v>
      </c>
      <c r="J516" s="12" t="s">
        <v>18</v>
      </c>
      <c r="K516">
        <v>3</v>
      </c>
      <c r="L516">
        <v>0</v>
      </c>
      <c r="M516" t="s">
        <v>19</v>
      </c>
      <c r="N516" s="6">
        <v>236.5</v>
      </c>
      <c r="O516">
        <f>Table13[[#This Row],[Adults]]+Table13[[#This Row],[Children]]</f>
        <v>3</v>
      </c>
      <c r="P516">
        <f>_xlfn.DAYS(Table13[[#This Row],[Depart]],Table13[[#This Row],[Arrive]])</f>
        <v>2</v>
      </c>
    </row>
    <row r="517" spans="1:16" x14ac:dyDescent="0.25">
      <c r="A517" t="s">
        <v>697</v>
      </c>
      <c r="B517" t="s">
        <v>698</v>
      </c>
      <c r="C517" t="s">
        <v>2223</v>
      </c>
      <c r="D517" s="1">
        <v>44076</v>
      </c>
      <c r="E517" s="1">
        <v>44078</v>
      </c>
      <c r="F517" s="1">
        <v>44076</v>
      </c>
      <c r="G517" s="2">
        <v>0.58333333333333337</v>
      </c>
      <c r="H517" s="2">
        <v>0.45833333333333331</v>
      </c>
      <c r="I517" t="s">
        <v>22</v>
      </c>
      <c r="J517" s="12" t="s">
        <v>18</v>
      </c>
      <c r="K517">
        <v>3</v>
      </c>
      <c r="L517">
        <v>0</v>
      </c>
      <c r="M517" t="s">
        <v>19</v>
      </c>
      <c r="N517" s="6">
        <v>118.25</v>
      </c>
      <c r="O517">
        <f>Table13[[#This Row],[Adults]]+Table13[[#This Row],[Children]]</f>
        <v>3</v>
      </c>
      <c r="P517">
        <f>_xlfn.DAYS(Table13[[#This Row],[Depart]],Table13[[#This Row],[Arrive]])</f>
        <v>2</v>
      </c>
    </row>
    <row r="518" spans="1:16" x14ac:dyDescent="0.25">
      <c r="A518" t="s">
        <v>697</v>
      </c>
      <c r="B518" t="s">
        <v>698</v>
      </c>
      <c r="C518" t="s">
        <v>2223</v>
      </c>
      <c r="D518" s="1">
        <v>44076</v>
      </c>
      <c r="E518" s="1">
        <v>44078</v>
      </c>
      <c r="F518" s="1">
        <v>44076</v>
      </c>
      <c r="G518" s="2">
        <v>0.58333333333333337</v>
      </c>
      <c r="H518" s="2">
        <v>0.45833333333333331</v>
      </c>
      <c r="I518" t="s">
        <v>22</v>
      </c>
      <c r="J518" s="12" t="s">
        <v>23</v>
      </c>
      <c r="K518">
        <v>3</v>
      </c>
      <c r="L518">
        <v>0</v>
      </c>
      <c r="M518" t="s">
        <v>19</v>
      </c>
      <c r="N518" s="6">
        <v>236.5</v>
      </c>
      <c r="O518">
        <f>Table13[[#This Row],[Adults]]+Table13[[#This Row],[Children]]</f>
        <v>3</v>
      </c>
      <c r="P518">
        <f>_xlfn.DAYS(Table13[[#This Row],[Depart]],Table13[[#This Row],[Arrive]])</f>
        <v>2</v>
      </c>
    </row>
    <row r="519" spans="1:16" x14ac:dyDescent="0.25">
      <c r="A519" t="s">
        <v>711</v>
      </c>
      <c r="B519" t="s">
        <v>712</v>
      </c>
      <c r="C519" t="s">
        <v>2225</v>
      </c>
      <c r="D519" s="1">
        <v>44076</v>
      </c>
      <c r="E519" s="1">
        <v>44077</v>
      </c>
      <c r="F519" s="1">
        <v>44076</v>
      </c>
      <c r="G519" s="2">
        <v>0.33333333333333331</v>
      </c>
      <c r="H519" s="3">
        <v>1</v>
      </c>
      <c r="I519" t="s">
        <v>22</v>
      </c>
      <c r="J519" s="12" t="s">
        <v>23</v>
      </c>
      <c r="K519">
        <v>4</v>
      </c>
      <c r="L519">
        <v>0</v>
      </c>
      <c r="M519" t="s">
        <v>19</v>
      </c>
      <c r="N519" s="6">
        <v>118.25</v>
      </c>
      <c r="O519">
        <f>Table13[[#This Row],[Adults]]+Table13[[#This Row],[Children]]</f>
        <v>4</v>
      </c>
      <c r="P519">
        <f>_xlfn.DAYS(Table13[[#This Row],[Depart]],Table13[[#This Row],[Arrive]])</f>
        <v>1</v>
      </c>
    </row>
    <row r="520" spans="1:16" x14ac:dyDescent="0.25">
      <c r="A520" t="s">
        <v>296</v>
      </c>
      <c r="B520" t="s">
        <v>297</v>
      </c>
      <c r="C520" t="s">
        <v>2226</v>
      </c>
      <c r="D520" s="1">
        <v>44076</v>
      </c>
      <c r="E520" s="1">
        <v>44080</v>
      </c>
      <c r="F520" s="1">
        <v>44063</v>
      </c>
      <c r="G520" s="2">
        <v>0.33333333333333331</v>
      </c>
      <c r="H520" s="3">
        <v>1</v>
      </c>
      <c r="I520" t="s">
        <v>22</v>
      </c>
      <c r="J520" s="12" t="s">
        <v>23</v>
      </c>
      <c r="K520">
        <v>5</v>
      </c>
      <c r="L520">
        <v>0</v>
      </c>
      <c r="M520" t="s">
        <v>19</v>
      </c>
      <c r="N520" s="6">
        <v>473</v>
      </c>
      <c r="O520">
        <f>Table13[[#This Row],[Adults]]+Table13[[#This Row],[Children]]</f>
        <v>5</v>
      </c>
      <c r="P520">
        <f>_xlfn.DAYS(Table13[[#This Row],[Depart]],Table13[[#This Row],[Arrive]])</f>
        <v>4</v>
      </c>
    </row>
    <row r="521" spans="1:16" x14ac:dyDescent="0.25">
      <c r="A521" t="s">
        <v>729</v>
      </c>
      <c r="B521" t="s">
        <v>730</v>
      </c>
      <c r="C521" t="s">
        <v>2228</v>
      </c>
      <c r="D521" s="1">
        <v>44076</v>
      </c>
      <c r="E521" s="1">
        <v>44077</v>
      </c>
      <c r="F521" s="1">
        <v>44081</v>
      </c>
      <c r="G521" s="2">
        <v>0.58333333333333337</v>
      </c>
      <c r="H521" s="2">
        <v>0.45833333333333331</v>
      </c>
      <c r="I521" t="s">
        <v>22</v>
      </c>
      <c r="J521" s="12" t="s">
        <v>18</v>
      </c>
      <c r="K521">
        <v>3</v>
      </c>
      <c r="L521">
        <v>0</v>
      </c>
      <c r="M521" t="s">
        <v>19</v>
      </c>
      <c r="N521" s="6">
        <v>118.25</v>
      </c>
      <c r="O521">
        <f>Table13[[#This Row],[Adults]]+Table13[[#This Row],[Children]]</f>
        <v>3</v>
      </c>
      <c r="P521">
        <f>_xlfn.DAYS(Table13[[#This Row],[Depart]],Table13[[#This Row],[Arrive]])</f>
        <v>1</v>
      </c>
    </row>
    <row r="522" spans="1:16" x14ac:dyDescent="0.25">
      <c r="A522" t="s">
        <v>561</v>
      </c>
      <c r="B522" t="s">
        <v>562</v>
      </c>
      <c r="C522" t="s">
        <v>2228</v>
      </c>
      <c r="D522" s="1">
        <v>44076</v>
      </c>
      <c r="E522" s="1">
        <v>44085</v>
      </c>
      <c r="F522" s="1">
        <v>44070</v>
      </c>
      <c r="G522" s="2">
        <v>0.58333333333333337</v>
      </c>
      <c r="H522" s="2">
        <v>0.45833333333333331</v>
      </c>
      <c r="I522" t="s">
        <v>22</v>
      </c>
      <c r="J522" s="12" t="s">
        <v>23</v>
      </c>
      <c r="K522">
        <v>4</v>
      </c>
      <c r="L522">
        <v>0</v>
      </c>
      <c r="M522" t="s">
        <v>19</v>
      </c>
      <c r="N522" s="6">
        <v>1064.25</v>
      </c>
      <c r="O522">
        <f>Table13[[#This Row],[Adults]]+Table13[[#This Row],[Children]]</f>
        <v>4</v>
      </c>
      <c r="P522">
        <f>_xlfn.DAYS(Table13[[#This Row],[Depart]],Table13[[#This Row],[Arrive]])</f>
        <v>9</v>
      </c>
    </row>
    <row r="523" spans="1:16" x14ac:dyDescent="0.25">
      <c r="A523" t="s">
        <v>689</v>
      </c>
      <c r="B523" t="s">
        <v>690</v>
      </c>
      <c r="C523" t="s">
        <v>2223</v>
      </c>
      <c r="D523" s="1">
        <v>44077</v>
      </c>
      <c r="E523" s="1">
        <v>44078</v>
      </c>
      <c r="F523" s="1">
        <v>44072</v>
      </c>
      <c r="G523" s="2">
        <v>0.58333333333333337</v>
      </c>
      <c r="H523" s="2">
        <v>0.45833333333333331</v>
      </c>
      <c r="I523" t="s">
        <v>22</v>
      </c>
      <c r="J523" s="12" t="s">
        <v>18</v>
      </c>
      <c r="K523">
        <v>4</v>
      </c>
      <c r="L523">
        <v>0</v>
      </c>
      <c r="M523" t="s">
        <v>19</v>
      </c>
      <c r="N523" s="6">
        <v>118.25</v>
      </c>
      <c r="O523">
        <f>Table13[[#This Row],[Adults]]+Table13[[#This Row],[Children]]</f>
        <v>4</v>
      </c>
      <c r="P523">
        <f>_xlfn.DAYS(Table13[[#This Row],[Depart]],Table13[[#This Row],[Arrive]])</f>
        <v>1</v>
      </c>
    </row>
    <row r="524" spans="1:16" x14ac:dyDescent="0.25">
      <c r="A524" t="s">
        <v>709</v>
      </c>
      <c r="B524" t="s">
        <v>710</v>
      </c>
      <c r="C524" t="s">
        <v>2223</v>
      </c>
      <c r="D524" s="1">
        <v>44077</v>
      </c>
      <c r="E524" s="1">
        <v>44078</v>
      </c>
      <c r="F524" s="1">
        <v>44076</v>
      </c>
      <c r="G524" s="2">
        <v>0.58333333333333337</v>
      </c>
      <c r="H524" s="2">
        <v>0.45833333333333331</v>
      </c>
      <c r="I524" t="s">
        <v>22</v>
      </c>
      <c r="J524" s="12" t="s">
        <v>18</v>
      </c>
      <c r="K524">
        <v>3</v>
      </c>
      <c r="L524">
        <v>0</v>
      </c>
      <c r="M524" t="s">
        <v>19</v>
      </c>
      <c r="N524" s="6">
        <v>118.25</v>
      </c>
      <c r="O524">
        <f>Table13[[#This Row],[Adults]]+Table13[[#This Row],[Children]]</f>
        <v>3</v>
      </c>
      <c r="P524">
        <f>_xlfn.DAYS(Table13[[#This Row],[Depart]],Table13[[#This Row],[Arrive]])</f>
        <v>1</v>
      </c>
    </row>
    <row r="525" spans="1:16" x14ac:dyDescent="0.25">
      <c r="A525" t="s">
        <v>715</v>
      </c>
      <c r="B525" t="s">
        <v>716</v>
      </c>
      <c r="C525" t="s">
        <v>2225</v>
      </c>
      <c r="D525" s="1">
        <v>44077</v>
      </c>
      <c r="E525" s="1">
        <v>44078</v>
      </c>
      <c r="F525" s="1">
        <v>44077</v>
      </c>
      <c r="G525" s="2">
        <v>0.33333333333333331</v>
      </c>
      <c r="H525" s="3">
        <v>1</v>
      </c>
      <c r="I525" t="s">
        <v>22</v>
      </c>
      <c r="J525" s="12" t="s">
        <v>23</v>
      </c>
      <c r="K525">
        <v>4</v>
      </c>
      <c r="L525">
        <v>0</v>
      </c>
      <c r="M525" t="s">
        <v>19</v>
      </c>
      <c r="N525" s="6">
        <v>118.25</v>
      </c>
      <c r="O525">
        <f>Table13[[#This Row],[Adults]]+Table13[[#This Row],[Children]]</f>
        <v>4</v>
      </c>
      <c r="P525">
        <f>_xlfn.DAYS(Table13[[#This Row],[Depart]],Table13[[#This Row],[Arrive]])</f>
        <v>1</v>
      </c>
    </row>
    <row r="526" spans="1:16" x14ac:dyDescent="0.25">
      <c r="A526" t="s">
        <v>362</v>
      </c>
      <c r="B526" t="s">
        <v>363</v>
      </c>
      <c r="C526" t="s">
        <v>2224</v>
      </c>
      <c r="D526" s="1">
        <v>44078</v>
      </c>
      <c r="E526" s="1">
        <v>44080</v>
      </c>
      <c r="F526" s="1">
        <v>44000</v>
      </c>
      <c r="G526" s="2">
        <v>0.33333333333333331</v>
      </c>
      <c r="H526" s="3">
        <v>1</v>
      </c>
      <c r="I526" t="s">
        <v>26</v>
      </c>
      <c r="J526" s="12" t="s">
        <v>18</v>
      </c>
      <c r="K526">
        <v>4</v>
      </c>
      <c r="L526">
        <v>0</v>
      </c>
      <c r="M526" t="s">
        <v>19</v>
      </c>
      <c r="N526" s="6">
        <v>213</v>
      </c>
      <c r="O526">
        <f>Table13[[#This Row],[Adults]]+Table13[[#This Row],[Children]]</f>
        <v>4</v>
      </c>
      <c r="P526">
        <f>_xlfn.DAYS(Table13[[#This Row],[Depart]],Table13[[#This Row],[Arrive]])</f>
        <v>2</v>
      </c>
    </row>
    <row r="527" spans="1:16" x14ac:dyDescent="0.25">
      <c r="A527" t="s">
        <v>510</v>
      </c>
      <c r="B527" t="s">
        <v>511</v>
      </c>
      <c r="C527" t="s">
        <v>2223</v>
      </c>
      <c r="D527" s="1">
        <v>44078</v>
      </c>
      <c r="E527" s="1">
        <v>44080</v>
      </c>
      <c r="F527" s="1">
        <v>44038</v>
      </c>
      <c r="G527" s="2">
        <v>0.58333333333333337</v>
      </c>
      <c r="H527" s="2">
        <v>0.45833333333333331</v>
      </c>
      <c r="I527" t="s">
        <v>22</v>
      </c>
      <c r="J527" s="12" t="s">
        <v>23</v>
      </c>
      <c r="K527">
        <v>3</v>
      </c>
      <c r="L527">
        <v>0</v>
      </c>
      <c r="M527" t="s">
        <v>19</v>
      </c>
      <c r="N527" s="6">
        <v>220</v>
      </c>
      <c r="O527">
        <f>Table13[[#This Row],[Adults]]+Table13[[#This Row],[Children]]</f>
        <v>3</v>
      </c>
      <c r="P527">
        <f>_xlfn.DAYS(Table13[[#This Row],[Depart]],Table13[[#This Row],[Arrive]])</f>
        <v>2</v>
      </c>
    </row>
    <row r="528" spans="1:16" x14ac:dyDescent="0.25">
      <c r="A528" t="s">
        <v>681</v>
      </c>
      <c r="B528" t="s">
        <v>682</v>
      </c>
      <c r="C528" t="s">
        <v>2225</v>
      </c>
      <c r="D528" s="1">
        <v>44078</v>
      </c>
      <c r="E528" s="1">
        <v>44079</v>
      </c>
      <c r="F528" s="1">
        <v>44066</v>
      </c>
      <c r="G528" s="2">
        <v>0.33333333333333331</v>
      </c>
      <c r="H528" s="3">
        <v>1</v>
      </c>
      <c r="I528" t="s">
        <v>22</v>
      </c>
      <c r="J528" s="12" t="s">
        <v>18</v>
      </c>
      <c r="K528">
        <v>5</v>
      </c>
      <c r="L528">
        <v>0</v>
      </c>
      <c r="M528" t="s">
        <v>19</v>
      </c>
      <c r="N528" s="6">
        <v>110</v>
      </c>
      <c r="O528">
        <f>Table13[[#This Row],[Adults]]+Table13[[#This Row],[Children]]</f>
        <v>5</v>
      </c>
      <c r="P528">
        <f>_xlfn.DAYS(Table13[[#This Row],[Depart]],Table13[[#This Row],[Arrive]])</f>
        <v>1</v>
      </c>
    </row>
    <row r="529" spans="1:16" x14ac:dyDescent="0.25">
      <c r="A529" t="s">
        <v>655</v>
      </c>
      <c r="B529" t="s">
        <v>656</v>
      </c>
      <c r="C529" t="s">
        <v>2228</v>
      </c>
      <c r="D529" s="1">
        <v>44078</v>
      </c>
      <c r="E529" s="1">
        <v>44079</v>
      </c>
      <c r="F529" s="1">
        <v>44066</v>
      </c>
      <c r="G529" s="2">
        <v>0.58333333333333337</v>
      </c>
      <c r="H529" s="2">
        <v>0.45833333333333331</v>
      </c>
      <c r="I529" t="s">
        <v>22</v>
      </c>
      <c r="J529" s="12" t="s">
        <v>18</v>
      </c>
      <c r="K529">
        <v>5</v>
      </c>
      <c r="L529">
        <v>0</v>
      </c>
      <c r="M529" t="s">
        <v>19</v>
      </c>
      <c r="N529" s="6">
        <v>110</v>
      </c>
      <c r="O529">
        <f>Table13[[#This Row],[Adults]]+Table13[[#This Row],[Children]]</f>
        <v>5</v>
      </c>
      <c r="P529">
        <f>_xlfn.DAYS(Table13[[#This Row],[Depart]],Table13[[#This Row],[Arrive]])</f>
        <v>1</v>
      </c>
    </row>
    <row r="530" spans="1:16" x14ac:dyDescent="0.25">
      <c r="A530" t="s">
        <v>693</v>
      </c>
      <c r="B530" t="s">
        <v>694</v>
      </c>
      <c r="C530" t="s">
        <v>2225</v>
      </c>
      <c r="D530" s="1">
        <v>44078</v>
      </c>
      <c r="E530" s="1">
        <v>44080</v>
      </c>
      <c r="F530" s="1">
        <v>44074</v>
      </c>
      <c r="G530" s="2">
        <v>0.33333333333333331</v>
      </c>
      <c r="H530" s="3">
        <v>1</v>
      </c>
      <c r="I530" t="s">
        <v>26</v>
      </c>
      <c r="J530" s="12" t="s">
        <v>18</v>
      </c>
      <c r="K530">
        <v>4</v>
      </c>
      <c r="L530">
        <v>0</v>
      </c>
      <c r="M530" t="s">
        <v>19</v>
      </c>
      <c r="N530" s="6">
        <v>232</v>
      </c>
      <c r="O530">
        <f>Table13[[#This Row],[Adults]]+Table13[[#This Row],[Children]]</f>
        <v>4</v>
      </c>
      <c r="P530">
        <f>_xlfn.DAYS(Table13[[#This Row],[Depart]],Table13[[#This Row],[Arrive]])</f>
        <v>2</v>
      </c>
    </row>
    <row r="531" spans="1:16" x14ac:dyDescent="0.25">
      <c r="A531" t="s">
        <v>681</v>
      </c>
      <c r="B531" t="s">
        <v>682</v>
      </c>
      <c r="C531" t="s">
        <v>2224</v>
      </c>
      <c r="D531" s="1">
        <v>44078</v>
      </c>
      <c r="E531" s="1">
        <v>44079</v>
      </c>
      <c r="F531" s="1">
        <v>44057</v>
      </c>
      <c r="G531" s="2">
        <v>0.33333333333333331</v>
      </c>
      <c r="H531" s="3">
        <v>1</v>
      </c>
      <c r="I531" t="s">
        <v>22</v>
      </c>
      <c r="J531" s="12" t="s">
        <v>23</v>
      </c>
      <c r="K531">
        <v>4</v>
      </c>
      <c r="L531">
        <v>0</v>
      </c>
      <c r="M531" t="s">
        <v>19</v>
      </c>
      <c r="N531" s="6">
        <v>118.25</v>
      </c>
      <c r="O531">
        <f>Table13[[#This Row],[Adults]]+Table13[[#This Row],[Children]]</f>
        <v>4</v>
      </c>
      <c r="P531">
        <f>_xlfn.DAYS(Table13[[#This Row],[Depart]],Table13[[#This Row],[Arrive]])</f>
        <v>1</v>
      </c>
    </row>
    <row r="532" spans="1:16" x14ac:dyDescent="0.25">
      <c r="A532" t="s">
        <v>707</v>
      </c>
      <c r="B532" t="s">
        <v>708</v>
      </c>
      <c r="C532" t="s">
        <v>2225</v>
      </c>
      <c r="D532" s="1">
        <v>44078</v>
      </c>
      <c r="E532" s="1">
        <v>44082</v>
      </c>
      <c r="F532" s="1">
        <v>44074</v>
      </c>
      <c r="G532" s="2">
        <v>0.33333333333333331</v>
      </c>
      <c r="H532" s="3">
        <v>1</v>
      </c>
      <c r="I532" t="s">
        <v>22</v>
      </c>
      <c r="J532" s="12" t="s">
        <v>18</v>
      </c>
      <c r="K532">
        <v>4</v>
      </c>
      <c r="L532">
        <v>0</v>
      </c>
      <c r="M532" t="s">
        <v>19</v>
      </c>
      <c r="N532" s="6">
        <v>473</v>
      </c>
      <c r="O532">
        <f>Table13[[#This Row],[Adults]]+Table13[[#This Row],[Children]]</f>
        <v>4</v>
      </c>
      <c r="P532">
        <f>_xlfn.DAYS(Table13[[#This Row],[Depart]],Table13[[#This Row],[Arrive]])</f>
        <v>4</v>
      </c>
    </row>
    <row r="533" spans="1:16" x14ac:dyDescent="0.25">
      <c r="A533" t="s">
        <v>707</v>
      </c>
      <c r="B533" t="s">
        <v>708</v>
      </c>
      <c r="C533" t="s">
        <v>2225</v>
      </c>
      <c r="D533" s="1">
        <v>44078</v>
      </c>
      <c r="E533" s="1">
        <v>44082</v>
      </c>
      <c r="F533" s="1">
        <v>44076</v>
      </c>
      <c r="G533" s="2">
        <v>0.33333333333333331</v>
      </c>
      <c r="H533" s="3">
        <v>1</v>
      </c>
      <c r="I533" t="s">
        <v>22</v>
      </c>
      <c r="J533" s="12" t="s">
        <v>23</v>
      </c>
      <c r="K533">
        <v>4</v>
      </c>
      <c r="L533">
        <v>0</v>
      </c>
      <c r="M533" t="s">
        <v>19</v>
      </c>
      <c r="N533" s="6">
        <v>473</v>
      </c>
      <c r="O533">
        <f>Table13[[#This Row],[Adults]]+Table13[[#This Row],[Children]]</f>
        <v>4</v>
      </c>
      <c r="P533">
        <f>_xlfn.DAYS(Table13[[#This Row],[Depart]],Table13[[#This Row],[Arrive]])</f>
        <v>4</v>
      </c>
    </row>
    <row r="534" spans="1:16" x14ac:dyDescent="0.25">
      <c r="A534" t="s">
        <v>639</v>
      </c>
      <c r="B534" t="s">
        <v>640</v>
      </c>
      <c r="C534" t="s">
        <v>2226</v>
      </c>
      <c r="D534" s="1">
        <v>44079</v>
      </c>
      <c r="E534" s="1">
        <v>44082</v>
      </c>
      <c r="F534" s="1">
        <v>44064</v>
      </c>
      <c r="G534" s="2">
        <v>0.33333333333333331</v>
      </c>
      <c r="H534" s="3">
        <v>1</v>
      </c>
      <c r="I534" t="s">
        <v>26</v>
      </c>
      <c r="J534" s="12" t="s">
        <v>18</v>
      </c>
      <c r="K534">
        <v>1</v>
      </c>
      <c r="L534">
        <v>0</v>
      </c>
      <c r="M534" t="s">
        <v>19</v>
      </c>
      <c r="N534" s="6">
        <v>319</v>
      </c>
      <c r="O534">
        <f>Table13[[#This Row],[Adults]]+Table13[[#This Row],[Children]]</f>
        <v>1</v>
      </c>
      <c r="P534">
        <f>_xlfn.DAYS(Table13[[#This Row],[Depart]],Table13[[#This Row],[Arrive]])</f>
        <v>3</v>
      </c>
    </row>
    <row r="535" spans="1:16" x14ac:dyDescent="0.25">
      <c r="A535" t="s">
        <v>645</v>
      </c>
      <c r="B535" t="s">
        <v>646</v>
      </c>
      <c r="C535" t="s">
        <v>2226</v>
      </c>
      <c r="D535" s="1">
        <v>44079</v>
      </c>
      <c r="E535" s="1">
        <v>44082</v>
      </c>
      <c r="F535" s="1">
        <v>44064</v>
      </c>
      <c r="G535" s="2">
        <v>0.33333333333333331</v>
      </c>
      <c r="H535" s="3">
        <v>1</v>
      </c>
      <c r="I535" t="s">
        <v>26</v>
      </c>
      <c r="J535" s="12" t="s">
        <v>18</v>
      </c>
      <c r="K535">
        <v>1</v>
      </c>
      <c r="L535">
        <v>0</v>
      </c>
      <c r="M535" t="s">
        <v>19</v>
      </c>
      <c r="N535" s="6">
        <v>319</v>
      </c>
      <c r="O535">
        <f>Table13[[#This Row],[Adults]]+Table13[[#This Row],[Children]]</f>
        <v>1</v>
      </c>
      <c r="P535">
        <f>_xlfn.DAYS(Table13[[#This Row],[Depart]],Table13[[#This Row],[Arrive]])</f>
        <v>3</v>
      </c>
    </row>
    <row r="536" spans="1:16" x14ac:dyDescent="0.25">
      <c r="A536" t="s">
        <v>653</v>
      </c>
      <c r="B536" t="s">
        <v>654</v>
      </c>
      <c r="C536" t="s">
        <v>2226</v>
      </c>
      <c r="D536" s="1">
        <v>44079</v>
      </c>
      <c r="E536" s="1">
        <v>44082</v>
      </c>
      <c r="F536" s="1">
        <v>44064</v>
      </c>
      <c r="G536" s="2">
        <v>0.33333333333333331</v>
      </c>
      <c r="H536" s="3">
        <v>1</v>
      </c>
      <c r="I536" t="s">
        <v>26</v>
      </c>
      <c r="J536" s="12" t="s">
        <v>18</v>
      </c>
      <c r="K536">
        <v>6</v>
      </c>
      <c r="L536">
        <v>0</v>
      </c>
      <c r="M536" t="s">
        <v>19</v>
      </c>
      <c r="N536" s="6">
        <v>319</v>
      </c>
      <c r="O536">
        <f>Table13[[#This Row],[Adults]]+Table13[[#This Row],[Children]]</f>
        <v>6</v>
      </c>
      <c r="P536">
        <f>_xlfn.DAYS(Table13[[#This Row],[Depart]],Table13[[#This Row],[Arrive]])</f>
        <v>3</v>
      </c>
    </row>
    <row r="537" spans="1:16" x14ac:dyDescent="0.25">
      <c r="A537" t="s">
        <v>687</v>
      </c>
      <c r="B537" t="s">
        <v>688</v>
      </c>
      <c r="C537" t="s">
        <v>2225</v>
      </c>
      <c r="D537" s="1">
        <v>44079</v>
      </c>
      <c r="E537" s="1">
        <v>44081</v>
      </c>
      <c r="F537" s="1">
        <v>44073</v>
      </c>
      <c r="G537" s="2">
        <v>0.33333333333333331</v>
      </c>
      <c r="H537" s="3">
        <v>1</v>
      </c>
      <c r="I537" t="s">
        <v>26</v>
      </c>
      <c r="J537" s="12" t="s">
        <v>18</v>
      </c>
      <c r="K537">
        <v>4</v>
      </c>
      <c r="L537">
        <v>0</v>
      </c>
      <c r="M537" t="s">
        <v>19</v>
      </c>
      <c r="N537" s="6">
        <v>232</v>
      </c>
      <c r="O537">
        <f>Table13[[#This Row],[Adults]]+Table13[[#This Row],[Children]]</f>
        <v>4</v>
      </c>
      <c r="P537">
        <f>_xlfn.DAYS(Table13[[#This Row],[Depart]],Table13[[#This Row],[Arrive]])</f>
        <v>2</v>
      </c>
    </row>
    <row r="538" spans="1:16" x14ac:dyDescent="0.25">
      <c r="A538" t="s">
        <v>717</v>
      </c>
      <c r="B538" t="s">
        <v>718</v>
      </c>
      <c r="C538" t="s">
        <v>2224</v>
      </c>
      <c r="D538" s="1">
        <v>44079</v>
      </c>
      <c r="E538" s="1">
        <v>44080</v>
      </c>
      <c r="F538" s="1">
        <v>44075</v>
      </c>
      <c r="G538" s="2">
        <v>0.33333333333333331</v>
      </c>
      <c r="H538" s="3">
        <v>1</v>
      </c>
      <c r="I538" t="s">
        <v>520</v>
      </c>
      <c r="J538" s="12" t="s">
        <v>18</v>
      </c>
      <c r="K538">
        <v>6</v>
      </c>
      <c r="L538">
        <v>0</v>
      </c>
      <c r="M538" t="s">
        <v>19</v>
      </c>
      <c r="N538" s="6">
        <v>65000</v>
      </c>
      <c r="O538">
        <f>Table13[[#This Row],[Adults]]+Table13[[#This Row],[Children]]</f>
        <v>6</v>
      </c>
      <c r="P538">
        <f>_xlfn.DAYS(Table13[[#This Row],[Depart]],Table13[[#This Row],[Arrive]])</f>
        <v>1</v>
      </c>
    </row>
    <row r="539" spans="1:16" x14ac:dyDescent="0.25">
      <c r="A539" t="s">
        <v>416</v>
      </c>
      <c r="B539" t="s">
        <v>417</v>
      </c>
      <c r="C539" t="s">
        <v>2224</v>
      </c>
      <c r="D539" s="1">
        <v>44079</v>
      </c>
      <c r="E539" s="1">
        <v>44080</v>
      </c>
      <c r="F539" s="1">
        <v>44077</v>
      </c>
      <c r="G539" s="2">
        <v>0.33333333333333331</v>
      </c>
      <c r="H539" s="3">
        <v>1</v>
      </c>
      <c r="I539" t="s">
        <v>22</v>
      </c>
      <c r="J539" s="12" t="s">
        <v>18</v>
      </c>
      <c r="K539">
        <v>6</v>
      </c>
      <c r="L539">
        <v>0</v>
      </c>
      <c r="M539" t="s">
        <v>19</v>
      </c>
      <c r="N539" s="6">
        <v>118.25</v>
      </c>
      <c r="O539">
        <f>Table13[[#This Row],[Adults]]+Table13[[#This Row],[Children]]</f>
        <v>6</v>
      </c>
      <c r="P539">
        <f>_xlfn.DAYS(Table13[[#This Row],[Depart]],Table13[[#This Row],[Arrive]])</f>
        <v>1</v>
      </c>
    </row>
    <row r="540" spans="1:16" x14ac:dyDescent="0.25">
      <c r="A540" t="s">
        <v>549</v>
      </c>
      <c r="B540" t="s">
        <v>550</v>
      </c>
      <c r="C540" t="s">
        <v>2226</v>
      </c>
      <c r="D540" s="1">
        <v>44079</v>
      </c>
      <c r="E540" s="1">
        <v>44080</v>
      </c>
      <c r="F540" s="1">
        <v>44075</v>
      </c>
      <c r="G540" s="2">
        <v>0.33333333333333331</v>
      </c>
      <c r="H540" s="3">
        <v>1</v>
      </c>
      <c r="I540" t="s">
        <v>22</v>
      </c>
      <c r="J540" s="12" t="s">
        <v>18</v>
      </c>
      <c r="K540">
        <v>5</v>
      </c>
      <c r="L540">
        <v>0</v>
      </c>
      <c r="M540" t="s">
        <v>19</v>
      </c>
      <c r="N540" s="6">
        <v>118.25</v>
      </c>
      <c r="O540">
        <f>Table13[[#This Row],[Adults]]+Table13[[#This Row],[Children]]</f>
        <v>5</v>
      </c>
      <c r="P540">
        <f>_xlfn.DAYS(Table13[[#This Row],[Depart]],Table13[[#This Row],[Arrive]])</f>
        <v>1</v>
      </c>
    </row>
    <row r="541" spans="1:16" x14ac:dyDescent="0.25">
      <c r="A541" t="s">
        <v>717</v>
      </c>
      <c r="B541" t="s">
        <v>718</v>
      </c>
      <c r="C541" t="s">
        <v>2224</v>
      </c>
      <c r="D541" s="1">
        <v>44079</v>
      </c>
      <c r="E541" s="1">
        <v>44080</v>
      </c>
      <c r="F541" s="1">
        <v>44077</v>
      </c>
      <c r="G541" s="2">
        <v>0.33333333333333331</v>
      </c>
      <c r="H541" s="3">
        <v>1</v>
      </c>
      <c r="I541" t="s">
        <v>22</v>
      </c>
      <c r="J541" s="12" t="s">
        <v>23</v>
      </c>
      <c r="K541">
        <v>6</v>
      </c>
      <c r="L541">
        <v>0</v>
      </c>
      <c r="M541" t="s">
        <v>19</v>
      </c>
      <c r="N541" s="6">
        <v>118.25</v>
      </c>
      <c r="O541">
        <f>Table13[[#This Row],[Adults]]+Table13[[#This Row],[Children]]</f>
        <v>6</v>
      </c>
      <c r="P541">
        <f>_xlfn.DAYS(Table13[[#This Row],[Depart]],Table13[[#This Row],[Arrive]])</f>
        <v>1</v>
      </c>
    </row>
    <row r="542" spans="1:16" x14ac:dyDescent="0.25">
      <c r="A542" t="s">
        <v>655</v>
      </c>
      <c r="B542" t="s">
        <v>656</v>
      </c>
      <c r="C542" t="s">
        <v>2223</v>
      </c>
      <c r="D542" s="1">
        <v>44080</v>
      </c>
      <c r="E542" s="1">
        <v>44081</v>
      </c>
      <c r="F542" s="1">
        <v>44078</v>
      </c>
      <c r="G542" s="2">
        <v>0.58333333333333337</v>
      </c>
      <c r="H542" s="2">
        <v>0.45833333333333331</v>
      </c>
      <c r="I542" t="s">
        <v>22</v>
      </c>
      <c r="J542" s="12" t="s">
        <v>18</v>
      </c>
      <c r="K542">
        <v>6</v>
      </c>
      <c r="L542">
        <v>0</v>
      </c>
      <c r="M542" t="s">
        <v>19</v>
      </c>
      <c r="N542" s="6">
        <v>118.25</v>
      </c>
      <c r="O542">
        <f>Table13[[#This Row],[Adults]]+Table13[[#This Row],[Children]]</f>
        <v>6</v>
      </c>
      <c r="P542">
        <f>_xlfn.DAYS(Table13[[#This Row],[Depart]],Table13[[#This Row],[Arrive]])</f>
        <v>1</v>
      </c>
    </row>
    <row r="543" spans="1:16" x14ac:dyDescent="0.25">
      <c r="A543" t="s">
        <v>705</v>
      </c>
      <c r="B543" t="s">
        <v>706</v>
      </c>
      <c r="C543" t="s">
        <v>2224</v>
      </c>
      <c r="D543" s="1">
        <v>44080</v>
      </c>
      <c r="E543" s="1">
        <v>44082</v>
      </c>
      <c r="F543" s="1">
        <v>44077</v>
      </c>
      <c r="G543" s="2">
        <v>0.33333333333333331</v>
      </c>
      <c r="H543" s="3">
        <v>1</v>
      </c>
      <c r="I543" t="s">
        <v>22</v>
      </c>
      <c r="J543" s="12" t="s">
        <v>23</v>
      </c>
      <c r="K543">
        <v>5</v>
      </c>
      <c r="L543">
        <v>0</v>
      </c>
      <c r="M543" t="s">
        <v>19</v>
      </c>
      <c r="N543" s="6">
        <v>236.5</v>
      </c>
      <c r="O543">
        <f>Table13[[#This Row],[Adults]]+Table13[[#This Row],[Children]]</f>
        <v>5</v>
      </c>
      <c r="P543">
        <f>_xlfn.DAYS(Table13[[#This Row],[Depart]],Table13[[#This Row],[Arrive]])</f>
        <v>2</v>
      </c>
    </row>
    <row r="544" spans="1:16" x14ac:dyDescent="0.25">
      <c r="A544" t="s">
        <v>727</v>
      </c>
      <c r="B544" t="s">
        <v>728</v>
      </c>
      <c r="C544" t="s">
        <v>2223</v>
      </c>
      <c r="D544" s="1">
        <v>44080</v>
      </c>
      <c r="E544" s="1">
        <v>44081</v>
      </c>
      <c r="F544" s="1">
        <v>44080</v>
      </c>
      <c r="G544" s="2">
        <v>0.58333333333333337</v>
      </c>
      <c r="H544" s="2">
        <v>0.45833333333333331</v>
      </c>
      <c r="I544" t="s">
        <v>22</v>
      </c>
      <c r="J544" s="12" t="s">
        <v>23</v>
      </c>
      <c r="K544">
        <v>5</v>
      </c>
      <c r="L544">
        <v>0</v>
      </c>
      <c r="M544" t="s">
        <v>19</v>
      </c>
      <c r="N544" s="6">
        <v>118.25</v>
      </c>
      <c r="O544">
        <f>Table13[[#This Row],[Adults]]+Table13[[#This Row],[Children]]</f>
        <v>5</v>
      </c>
      <c r="P544">
        <f>_xlfn.DAYS(Table13[[#This Row],[Depart]],Table13[[#This Row],[Arrive]])</f>
        <v>1</v>
      </c>
    </row>
    <row r="545" spans="1:16" x14ac:dyDescent="0.25">
      <c r="A545" t="s">
        <v>803</v>
      </c>
      <c r="B545" t="s">
        <v>804</v>
      </c>
      <c r="C545" t="s">
        <v>2225</v>
      </c>
      <c r="D545" s="1">
        <v>44080</v>
      </c>
      <c r="E545" s="1">
        <v>44081</v>
      </c>
      <c r="F545" s="1">
        <v>44095</v>
      </c>
      <c r="G545" s="2">
        <v>0.33333333333333331</v>
      </c>
      <c r="H545" s="3">
        <v>1</v>
      </c>
      <c r="I545" t="s">
        <v>22</v>
      </c>
      <c r="J545" s="12" t="s">
        <v>18</v>
      </c>
      <c r="K545">
        <v>1</v>
      </c>
      <c r="L545">
        <v>0</v>
      </c>
      <c r="M545" t="s">
        <v>19</v>
      </c>
      <c r="N545" s="6">
        <v>129</v>
      </c>
      <c r="O545">
        <f>Table13[[#This Row],[Adults]]+Table13[[#This Row],[Children]]</f>
        <v>1</v>
      </c>
      <c r="P545">
        <f>_xlfn.DAYS(Table13[[#This Row],[Depart]],Table13[[#This Row],[Arrive]])</f>
        <v>1</v>
      </c>
    </row>
    <row r="546" spans="1:16" x14ac:dyDescent="0.25">
      <c r="A546" t="s">
        <v>685</v>
      </c>
      <c r="B546" t="s">
        <v>686</v>
      </c>
      <c r="C546" t="s">
        <v>2226</v>
      </c>
      <c r="D546" s="1">
        <v>44081</v>
      </c>
      <c r="E546" s="1">
        <v>44082</v>
      </c>
      <c r="F546" s="1">
        <v>44073</v>
      </c>
      <c r="G546" s="2">
        <v>0.33333333333333331</v>
      </c>
      <c r="H546" s="3">
        <v>1</v>
      </c>
      <c r="I546" t="s">
        <v>22</v>
      </c>
      <c r="J546" s="12" t="s">
        <v>23</v>
      </c>
      <c r="K546">
        <v>6</v>
      </c>
      <c r="L546">
        <v>0</v>
      </c>
      <c r="M546" t="s">
        <v>19</v>
      </c>
      <c r="N546" s="6">
        <v>118.25</v>
      </c>
      <c r="O546">
        <f>Table13[[#This Row],[Adults]]+Table13[[#This Row],[Children]]</f>
        <v>6</v>
      </c>
      <c r="P546">
        <f>_xlfn.DAYS(Table13[[#This Row],[Depart]],Table13[[#This Row],[Arrive]])</f>
        <v>1</v>
      </c>
    </row>
    <row r="547" spans="1:16" x14ac:dyDescent="0.25">
      <c r="A547" t="s">
        <v>725</v>
      </c>
      <c r="B547" t="s">
        <v>726</v>
      </c>
      <c r="C547" t="s">
        <v>2223</v>
      </c>
      <c r="D547" s="1">
        <v>44081</v>
      </c>
      <c r="E547" s="1">
        <v>44082</v>
      </c>
      <c r="F547" s="1">
        <v>44075</v>
      </c>
      <c r="G547" s="2">
        <v>0.58333333333333337</v>
      </c>
      <c r="H547" s="2">
        <v>0.45833333333333331</v>
      </c>
      <c r="I547" t="s">
        <v>22</v>
      </c>
      <c r="J547" s="12" t="s">
        <v>23</v>
      </c>
      <c r="K547">
        <v>7</v>
      </c>
      <c r="L547">
        <v>0</v>
      </c>
      <c r="M547" t="s">
        <v>19</v>
      </c>
      <c r="N547" s="6">
        <v>134.38</v>
      </c>
      <c r="O547">
        <f>Table13[[#This Row],[Adults]]+Table13[[#This Row],[Children]]</f>
        <v>7</v>
      </c>
      <c r="P547">
        <f>_xlfn.DAYS(Table13[[#This Row],[Depart]],Table13[[#This Row],[Arrive]])</f>
        <v>1</v>
      </c>
    </row>
    <row r="548" spans="1:16" x14ac:dyDescent="0.25">
      <c r="A548" t="s">
        <v>705</v>
      </c>
      <c r="B548" t="s">
        <v>706</v>
      </c>
      <c r="C548" t="s">
        <v>2225</v>
      </c>
      <c r="D548" s="1">
        <v>44081</v>
      </c>
      <c r="E548" s="1">
        <v>44082</v>
      </c>
      <c r="F548" s="1">
        <v>44077</v>
      </c>
      <c r="G548" s="2">
        <v>0.33333333333333331</v>
      </c>
      <c r="H548" s="3">
        <v>1</v>
      </c>
      <c r="I548" t="s">
        <v>22</v>
      </c>
      <c r="J548" s="12" t="s">
        <v>18</v>
      </c>
      <c r="K548">
        <v>5</v>
      </c>
      <c r="L548">
        <v>0</v>
      </c>
      <c r="M548" t="s">
        <v>19</v>
      </c>
      <c r="N548" s="6">
        <v>118.25</v>
      </c>
      <c r="O548">
        <f>Table13[[#This Row],[Adults]]+Table13[[#This Row],[Children]]</f>
        <v>5</v>
      </c>
      <c r="P548">
        <f>_xlfn.DAYS(Table13[[#This Row],[Depart]],Table13[[#This Row],[Arrive]])</f>
        <v>1</v>
      </c>
    </row>
    <row r="549" spans="1:16" x14ac:dyDescent="0.25">
      <c r="A549" t="s">
        <v>685</v>
      </c>
      <c r="B549" t="s">
        <v>686</v>
      </c>
      <c r="C549" t="s">
        <v>2225</v>
      </c>
      <c r="D549" s="1">
        <v>44082</v>
      </c>
      <c r="E549" s="1">
        <v>44084</v>
      </c>
      <c r="F549" s="1">
        <v>44073</v>
      </c>
      <c r="G549" s="2">
        <v>0.33333333333333331</v>
      </c>
      <c r="H549" s="3">
        <v>1</v>
      </c>
      <c r="I549" t="s">
        <v>22</v>
      </c>
      <c r="J549" s="12" t="s">
        <v>23</v>
      </c>
      <c r="K549">
        <v>6</v>
      </c>
      <c r="L549">
        <v>0</v>
      </c>
      <c r="M549" t="s">
        <v>19</v>
      </c>
      <c r="N549" s="6">
        <v>236.5</v>
      </c>
      <c r="O549">
        <f>Table13[[#This Row],[Adults]]+Table13[[#This Row],[Children]]</f>
        <v>6</v>
      </c>
      <c r="P549">
        <f>_xlfn.DAYS(Table13[[#This Row],[Depart]],Table13[[#This Row],[Arrive]])</f>
        <v>2</v>
      </c>
    </row>
    <row r="550" spans="1:16" x14ac:dyDescent="0.25">
      <c r="A550" t="s">
        <v>583</v>
      </c>
      <c r="B550" t="s">
        <v>584</v>
      </c>
      <c r="C550" t="s">
        <v>2224</v>
      </c>
      <c r="D550" s="1">
        <v>44082</v>
      </c>
      <c r="E550" s="1">
        <v>44087</v>
      </c>
      <c r="F550" s="1">
        <v>44073</v>
      </c>
      <c r="G550" s="2">
        <v>0.33333333333333331</v>
      </c>
      <c r="H550" s="3">
        <v>1</v>
      </c>
      <c r="I550" t="s">
        <v>22</v>
      </c>
      <c r="J550" s="12" t="s">
        <v>18</v>
      </c>
      <c r="K550">
        <v>6</v>
      </c>
      <c r="L550">
        <v>0</v>
      </c>
      <c r="M550" t="s">
        <v>19</v>
      </c>
      <c r="N550" s="6">
        <v>591.25</v>
      </c>
      <c r="O550">
        <f>Table13[[#This Row],[Adults]]+Table13[[#This Row],[Children]]</f>
        <v>6</v>
      </c>
      <c r="P550">
        <f>_xlfn.DAYS(Table13[[#This Row],[Depart]],Table13[[#This Row],[Arrive]])</f>
        <v>5</v>
      </c>
    </row>
    <row r="551" spans="1:16" x14ac:dyDescent="0.25">
      <c r="A551" t="s">
        <v>426</v>
      </c>
      <c r="B551" t="s">
        <v>427</v>
      </c>
      <c r="C551" t="s">
        <v>2223</v>
      </c>
      <c r="D551" s="1">
        <v>44082</v>
      </c>
      <c r="E551" s="1">
        <v>44083</v>
      </c>
      <c r="F551" s="1">
        <v>44075</v>
      </c>
      <c r="G551" s="2">
        <v>0.58333333333333337</v>
      </c>
      <c r="H551" s="2">
        <v>0.45833333333333331</v>
      </c>
      <c r="I551" t="s">
        <v>22</v>
      </c>
      <c r="J551" s="12" t="s">
        <v>18</v>
      </c>
      <c r="K551">
        <v>6</v>
      </c>
      <c r="L551">
        <v>0</v>
      </c>
      <c r="M551" t="s">
        <v>19</v>
      </c>
      <c r="N551" s="6">
        <v>118.25</v>
      </c>
      <c r="O551">
        <f>Table13[[#This Row],[Adults]]+Table13[[#This Row],[Children]]</f>
        <v>6</v>
      </c>
      <c r="P551">
        <f>_xlfn.DAYS(Table13[[#This Row],[Depart]],Table13[[#This Row],[Arrive]])</f>
        <v>1</v>
      </c>
    </row>
    <row r="552" spans="1:16" x14ac:dyDescent="0.25">
      <c r="A552" t="s">
        <v>721</v>
      </c>
      <c r="B552" t="s">
        <v>722</v>
      </c>
      <c r="C552" t="s">
        <v>2226</v>
      </c>
      <c r="D552" s="1">
        <v>44082</v>
      </c>
      <c r="E552" s="1">
        <v>44085</v>
      </c>
      <c r="F552" s="1">
        <v>44077</v>
      </c>
      <c r="G552" s="2">
        <v>0.33333333333333331</v>
      </c>
      <c r="H552" s="3">
        <v>1</v>
      </c>
      <c r="I552" t="s">
        <v>22</v>
      </c>
      <c r="J552" s="12" t="s">
        <v>23</v>
      </c>
      <c r="K552">
        <v>4</v>
      </c>
      <c r="L552">
        <v>0</v>
      </c>
      <c r="M552" t="s">
        <v>19</v>
      </c>
      <c r="N552" s="6">
        <v>354.75</v>
      </c>
      <c r="O552">
        <f>Table13[[#This Row],[Adults]]+Table13[[#This Row],[Children]]</f>
        <v>4</v>
      </c>
      <c r="P552">
        <f>_xlfn.DAYS(Table13[[#This Row],[Depart]],Table13[[#This Row],[Arrive]])</f>
        <v>3</v>
      </c>
    </row>
    <row r="553" spans="1:16" x14ac:dyDescent="0.25">
      <c r="A553" t="s">
        <v>725</v>
      </c>
      <c r="B553" t="s">
        <v>726</v>
      </c>
      <c r="C553" t="s">
        <v>2224</v>
      </c>
      <c r="D553" s="1">
        <v>44082</v>
      </c>
      <c r="E553" s="1">
        <v>44087</v>
      </c>
      <c r="F553" s="1">
        <v>44074</v>
      </c>
      <c r="G553" s="2">
        <v>0.33333333333333331</v>
      </c>
      <c r="H553" s="3">
        <v>1</v>
      </c>
      <c r="I553" t="s">
        <v>22</v>
      </c>
      <c r="J553" s="12" t="s">
        <v>23</v>
      </c>
      <c r="K553">
        <v>6</v>
      </c>
      <c r="L553">
        <v>0</v>
      </c>
      <c r="M553" t="s">
        <v>19</v>
      </c>
      <c r="N553" s="6">
        <v>591.25</v>
      </c>
      <c r="O553">
        <f>Table13[[#This Row],[Adults]]+Table13[[#This Row],[Children]]</f>
        <v>6</v>
      </c>
      <c r="P553">
        <f>_xlfn.DAYS(Table13[[#This Row],[Depart]],Table13[[#This Row],[Arrive]])</f>
        <v>5</v>
      </c>
    </row>
    <row r="554" spans="1:16" x14ac:dyDescent="0.25">
      <c r="A554" t="s">
        <v>747</v>
      </c>
      <c r="B554" t="s">
        <v>748</v>
      </c>
      <c r="C554" t="s">
        <v>2224</v>
      </c>
      <c r="D554" s="1">
        <v>44082</v>
      </c>
      <c r="E554" s="1">
        <v>44084</v>
      </c>
      <c r="F554" s="1">
        <v>44071</v>
      </c>
      <c r="G554" s="2">
        <v>0.33333333333333331</v>
      </c>
      <c r="H554" s="3">
        <v>1</v>
      </c>
      <c r="I554" t="s">
        <v>26</v>
      </c>
      <c r="J554" s="12" t="s">
        <v>18</v>
      </c>
      <c r="K554">
        <v>1</v>
      </c>
      <c r="L554">
        <v>0</v>
      </c>
      <c r="M554" t="s">
        <v>19</v>
      </c>
      <c r="N554" s="6">
        <v>212</v>
      </c>
      <c r="O554">
        <f>Table13[[#This Row],[Adults]]+Table13[[#This Row],[Children]]</f>
        <v>1</v>
      </c>
      <c r="P554">
        <f>_xlfn.DAYS(Table13[[#This Row],[Depart]],Table13[[#This Row],[Arrive]])</f>
        <v>2</v>
      </c>
    </row>
    <row r="555" spans="1:16" x14ac:dyDescent="0.25">
      <c r="A555" t="s">
        <v>755</v>
      </c>
      <c r="B555" t="s">
        <v>756</v>
      </c>
      <c r="C555" t="s">
        <v>2225</v>
      </c>
      <c r="D555" s="1">
        <v>44084</v>
      </c>
      <c r="E555" s="1">
        <v>44087</v>
      </c>
      <c r="F555" s="1">
        <v>44083</v>
      </c>
      <c r="G555" s="2">
        <v>0.33333333333333331</v>
      </c>
      <c r="H555" s="3">
        <v>1</v>
      </c>
      <c r="I555" t="s">
        <v>22</v>
      </c>
      <c r="J555" s="12" t="s">
        <v>23</v>
      </c>
      <c r="K555">
        <v>6</v>
      </c>
      <c r="L555">
        <v>0</v>
      </c>
      <c r="M555" t="s">
        <v>19</v>
      </c>
      <c r="N555" s="6">
        <v>354.75</v>
      </c>
      <c r="O555">
        <f>Table13[[#This Row],[Adults]]+Table13[[#This Row],[Children]]</f>
        <v>6</v>
      </c>
      <c r="P555">
        <f>_xlfn.DAYS(Table13[[#This Row],[Depart]],Table13[[#This Row],[Arrive]])</f>
        <v>3</v>
      </c>
    </row>
    <row r="556" spans="1:16" x14ac:dyDescent="0.25">
      <c r="A556" t="s">
        <v>759</v>
      </c>
      <c r="B556" t="s">
        <v>760</v>
      </c>
      <c r="C556" t="s">
        <v>2223</v>
      </c>
      <c r="D556" s="1">
        <v>44084</v>
      </c>
      <c r="E556" s="1">
        <v>44085</v>
      </c>
      <c r="F556" s="1">
        <v>44084</v>
      </c>
      <c r="G556" s="2">
        <v>0.58333333333333337</v>
      </c>
      <c r="H556" s="2">
        <v>0.45833333333333331</v>
      </c>
      <c r="I556" t="s">
        <v>22</v>
      </c>
      <c r="J556" s="12" t="s">
        <v>23</v>
      </c>
      <c r="K556">
        <v>4</v>
      </c>
      <c r="L556">
        <v>0</v>
      </c>
      <c r="M556" t="s">
        <v>19</v>
      </c>
      <c r="N556" s="6">
        <v>118.25</v>
      </c>
      <c r="O556">
        <f>Table13[[#This Row],[Adults]]+Table13[[#This Row],[Children]]</f>
        <v>4</v>
      </c>
      <c r="P556">
        <f>_xlfn.DAYS(Table13[[#This Row],[Depart]],Table13[[#This Row],[Arrive]])</f>
        <v>1</v>
      </c>
    </row>
    <row r="557" spans="1:16" x14ac:dyDescent="0.25">
      <c r="A557" t="s">
        <v>408</v>
      </c>
      <c r="B557" t="s">
        <v>409</v>
      </c>
      <c r="C557" t="s">
        <v>2224</v>
      </c>
      <c r="D557" s="1">
        <v>44085</v>
      </c>
      <c r="E557" s="1">
        <v>44089</v>
      </c>
      <c r="F557" s="1">
        <v>44009</v>
      </c>
      <c r="G557" s="2">
        <v>0.33333333333333331</v>
      </c>
      <c r="H557" s="3">
        <v>1</v>
      </c>
      <c r="I557" t="s">
        <v>26</v>
      </c>
      <c r="J557" s="12" t="s">
        <v>18</v>
      </c>
      <c r="K557">
        <v>3</v>
      </c>
      <c r="L557">
        <v>0</v>
      </c>
      <c r="M557" t="s">
        <v>19</v>
      </c>
      <c r="N557" s="6">
        <v>425</v>
      </c>
      <c r="O557">
        <f>Table13[[#This Row],[Adults]]+Table13[[#This Row],[Children]]</f>
        <v>3</v>
      </c>
      <c r="P557">
        <f>_xlfn.DAYS(Table13[[#This Row],[Depart]],Table13[[#This Row],[Arrive]])</f>
        <v>4</v>
      </c>
    </row>
    <row r="558" spans="1:16" x14ac:dyDescent="0.25">
      <c r="A558" t="s">
        <v>675</v>
      </c>
      <c r="B558" t="s">
        <v>676</v>
      </c>
      <c r="C558" t="s">
        <v>2224</v>
      </c>
      <c r="D558" s="1">
        <v>44085</v>
      </c>
      <c r="E558" s="1">
        <v>44087</v>
      </c>
      <c r="F558" s="1">
        <v>44071</v>
      </c>
      <c r="G558" s="2">
        <v>0.33333333333333331</v>
      </c>
      <c r="H558" s="3">
        <v>1</v>
      </c>
      <c r="I558" t="s">
        <v>26</v>
      </c>
      <c r="J558" s="12" t="s">
        <v>18</v>
      </c>
      <c r="K558">
        <v>4</v>
      </c>
      <c r="L558">
        <v>0</v>
      </c>
      <c r="M558" t="s">
        <v>19</v>
      </c>
      <c r="N558" s="6">
        <v>212</v>
      </c>
      <c r="O558">
        <f>Table13[[#This Row],[Adults]]+Table13[[#This Row],[Children]]</f>
        <v>4</v>
      </c>
      <c r="P558">
        <f>_xlfn.DAYS(Table13[[#This Row],[Depart]],Table13[[#This Row],[Arrive]])</f>
        <v>2</v>
      </c>
    </row>
    <row r="559" spans="1:16" x14ac:dyDescent="0.25">
      <c r="A559" t="s">
        <v>368</v>
      </c>
      <c r="B559" t="s">
        <v>369</v>
      </c>
      <c r="C559" t="s">
        <v>2228</v>
      </c>
      <c r="D559" s="1">
        <v>44085</v>
      </c>
      <c r="E559" s="1">
        <v>44087</v>
      </c>
      <c r="F559" s="1">
        <v>44074</v>
      </c>
      <c r="G559" s="2">
        <v>0.58333333333333337</v>
      </c>
      <c r="H559" s="2">
        <v>0.45833333333333331</v>
      </c>
      <c r="I559" t="s">
        <v>22</v>
      </c>
      <c r="J559" s="12" t="s">
        <v>23</v>
      </c>
      <c r="K559">
        <v>5</v>
      </c>
      <c r="L559">
        <v>0</v>
      </c>
      <c r="M559" t="s">
        <v>19</v>
      </c>
      <c r="N559" s="6">
        <v>236.5</v>
      </c>
      <c r="O559">
        <f>Table13[[#This Row],[Adults]]+Table13[[#This Row],[Children]]</f>
        <v>5</v>
      </c>
      <c r="P559">
        <f>_xlfn.DAYS(Table13[[#This Row],[Depart]],Table13[[#This Row],[Arrive]])</f>
        <v>2</v>
      </c>
    </row>
    <row r="560" spans="1:16" x14ac:dyDescent="0.25">
      <c r="A560" t="s">
        <v>681</v>
      </c>
      <c r="B560" t="s">
        <v>682</v>
      </c>
      <c r="C560" t="s">
        <v>2225</v>
      </c>
      <c r="D560" s="1">
        <v>44085</v>
      </c>
      <c r="E560" s="1">
        <v>44086</v>
      </c>
      <c r="F560" s="1">
        <v>44071</v>
      </c>
      <c r="G560" s="2">
        <v>0.33333333333333331</v>
      </c>
      <c r="H560" s="3">
        <v>1</v>
      </c>
      <c r="I560" t="s">
        <v>22</v>
      </c>
      <c r="J560" s="12" t="s">
        <v>18</v>
      </c>
      <c r="K560">
        <v>4</v>
      </c>
      <c r="L560">
        <v>0</v>
      </c>
      <c r="M560" t="s">
        <v>19</v>
      </c>
      <c r="N560" s="6">
        <v>118.25</v>
      </c>
      <c r="O560">
        <f>Table13[[#This Row],[Adults]]+Table13[[#This Row],[Children]]</f>
        <v>4</v>
      </c>
      <c r="P560">
        <f>_xlfn.DAYS(Table13[[#This Row],[Depart]],Table13[[#This Row],[Arrive]])</f>
        <v>1</v>
      </c>
    </row>
    <row r="561" spans="1:16" x14ac:dyDescent="0.25">
      <c r="A561" t="s">
        <v>745</v>
      </c>
      <c r="B561" t="s">
        <v>746</v>
      </c>
      <c r="C561" t="s">
        <v>2225</v>
      </c>
      <c r="D561" s="1">
        <v>44085</v>
      </c>
      <c r="E561" s="1">
        <v>44087</v>
      </c>
      <c r="F561" s="1">
        <v>44076</v>
      </c>
      <c r="G561" s="2">
        <v>0.33333333333333331</v>
      </c>
      <c r="H561" s="3">
        <v>1</v>
      </c>
      <c r="I561" t="s">
        <v>22</v>
      </c>
      <c r="J561" s="12" t="s">
        <v>18</v>
      </c>
      <c r="K561">
        <v>4</v>
      </c>
      <c r="L561">
        <v>0</v>
      </c>
      <c r="M561" t="s">
        <v>19</v>
      </c>
      <c r="N561" s="6">
        <v>236.5</v>
      </c>
      <c r="O561">
        <f>Table13[[#This Row],[Adults]]+Table13[[#This Row],[Children]]</f>
        <v>4</v>
      </c>
      <c r="P561">
        <f>_xlfn.DAYS(Table13[[#This Row],[Depart]],Table13[[#This Row],[Arrive]])</f>
        <v>2</v>
      </c>
    </row>
    <row r="562" spans="1:16" x14ac:dyDescent="0.25">
      <c r="A562" t="s">
        <v>775</v>
      </c>
      <c r="B562" t="s">
        <v>776</v>
      </c>
      <c r="C562" t="s">
        <v>2223</v>
      </c>
      <c r="D562" s="1">
        <v>44085</v>
      </c>
      <c r="E562" s="1">
        <v>44087</v>
      </c>
      <c r="F562" s="1">
        <v>44044</v>
      </c>
      <c r="G562" s="2">
        <v>0.58333333333333337</v>
      </c>
      <c r="H562" s="2">
        <v>0.45833333333333331</v>
      </c>
      <c r="I562" t="s">
        <v>22</v>
      </c>
      <c r="J562" s="12" t="s">
        <v>23</v>
      </c>
      <c r="K562">
        <v>4</v>
      </c>
      <c r="L562">
        <v>0</v>
      </c>
      <c r="M562" t="s">
        <v>19</v>
      </c>
      <c r="N562" s="6">
        <v>258</v>
      </c>
      <c r="O562">
        <f>Table13[[#This Row],[Adults]]+Table13[[#This Row],[Children]]</f>
        <v>4</v>
      </c>
      <c r="P562">
        <f>_xlfn.DAYS(Table13[[#This Row],[Depart]],Table13[[#This Row],[Arrive]])</f>
        <v>2</v>
      </c>
    </row>
    <row r="563" spans="1:16" x14ac:dyDescent="0.25">
      <c r="A563" t="s">
        <v>777</v>
      </c>
      <c r="B563" t="s">
        <v>778</v>
      </c>
      <c r="C563" t="s">
        <v>2226</v>
      </c>
      <c r="D563" s="1">
        <v>44085</v>
      </c>
      <c r="E563" s="1">
        <v>44086</v>
      </c>
      <c r="F563" s="1">
        <v>44045</v>
      </c>
      <c r="G563" s="2">
        <v>0.33333333333333331</v>
      </c>
      <c r="H563" s="3">
        <v>1</v>
      </c>
      <c r="I563" t="s">
        <v>22</v>
      </c>
      <c r="J563" s="12" t="s">
        <v>23</v>
      </c>
      <c r="K563">
        <v>5</v>
      </c>
      <c r="L563">
        <v>0</v>
      </c>
      <c r="M563" t="s">
        <v>19</v>
      </c>
      <c r="N563" s="6">
        <v>129</v>
      </c>
      <c r="O563">
        <f>Table13[[#This Row],[Adults]]+Table13[[#This Row],[Children]]</f>
        <v>5</v>
      </c>
      <c r="P563">
        <f>_xlfn.DAYS(Table13[[#This Row],[Depart]],Table13[[#This Row],[Arrive]])</f>
        <v>1</v>
      </c>
    </row>
    <row r="564" spans="1:16" x14ac:dyDescent="0.25">
      <c r="A564" t="s">
        <v>659</v>
      </c>
      <c r="B564" t="s">
        <v>660</v>
      </c>
      <c r="C564" t="s">
        <v>2224</v>
      </c>
      <c r="D564" s="1">
        <v>44086</v>
      </c>
      <c r="E564" s="1">
        <v>44088</v>
      </c>
      <c r="F564" s="1">
        <v>44066</v>
      </c>
      <c r="G564" s="2">
        <v>0.33333333333333331</v>
      </c>
      <c r="H564" s="3">
        <v>1</v>
      </c>
      <c r="I564" t="s">
        <v>26</v>
      </c>
      <c r="J564" s="12" t="s">
        <v>18</v>
      </c>
      <c r="K564">
        <v>2</v>
      </c>
      <c r="L564">
        <v>0</v>
      </c>
      <c r="M564" t="s">
        <v>19</v>
      </c>
      <c r="N564" s="6">
        <v>212</v>
      </c>
      <c r="O564">
        <f>Table13[[#This Row],[Adults]]+Table13[[#This Row],[Children]]</f>
        <v>2</v>
      </c>
      <c r="P564">
        <f>_xlfn.DAYS(Table13[[#This Row],[Depart]],Table13[[#This Row],[Arrive]])</f>
        <v>2</v>
      </c>
    </row>
    <row r="565" spans="1:16" x14ac:dyDescent="0.25">
      <c r="A565" t="s">
        <v>723</v>
      </c>
      <c r="B565" t="s">
        <v>724</v>
      </c>
      <c r="C565" t="s">
        <v>2229</v>
      </c>
      <c r="D565" s="1">
        <v>44086</v>
      </c>
      <c r="E565" s="1">
        <v>44087</v>
      </c>
      <c r="F565" s="1">
        <v>44079</v>
      </c>
      <c r="G565" s="2">
        <v>0.45833333333333331</v>
      </c>
      <c r="H565" s="2">
        <v>0.41666666666666669</v>
      </c>
      <c r="I565" t="s">
        <v>26</v>
      </c>
      <c r="J565" s="12" t="s">
        <v>18</v>
      </c>
      <c r="K565">
        <v>7</v>
      </c>
      <c r="L565">
        <v>0</v>
      </c>
      <c r="M565" t="s">
        <v>19</v>
      </c>
      <c r="N565" s="6">
        <v>123</v>
      </c>
      <c r="O565">
        <f>Table13[[#This Row],[Adults]]+Table13[[#This Row],[Children]]</f>
        <v>7</v>
      </c>
      <c r="P565">
        <f>_xlfn.DAYS(Table13[[#This Row],[Depart]],Table13[[#This Row],[Arrive]])</f>
        <v>1</v>
      </c>
    </row>
    <row r="566" spans="1:16" x14ac:dyDescent="0.25">
      <c r="A566" t="s">
        <v>130</v>
      </c>
      <c r="B566" t="s">
        <v>131</v>
      </c>
      <c r="C566" t="s">
        <v>2227</v>
      </c>
      <c r="D566" s="1">
        <v>44087</v>
      </c>
      <c r="E566" s="1">
        <v>44092</v>
      </c>
      <c r="F566" s="1">
        <v>44047</v>
      </c>
      <c r="G566" s="2">
        <v>0.58333333333333337</v>
      </c>
      <c r="H566" s="2">
        <v>0.45833333333333331</v>
      </c>
      <c r="I566" t="s">
        <v>22</v>
      </c>
      <c r="J566" s="12" t="s">
        <v>18</v>
      </c>
      <c r="K566">
        <v>5</v>
      </c>
      <c r="L566">
        <v>0</v>
      </c>
      <c r="M566" t="s">
        <v>19</v>
      </c>
      <c r="N566" s="6">
        <v>750</v>
      </c>
      <c r="O566">
        <f>Table13[[#This Row],[Adults]]+Table13[[#This Row],[Children]]</f>
        <v>5</v>
      </c>
      <c r="P566">
        <f>_xlfn.DAYS(Table13[[#This Row],[Depart]],Table13[[#This Row],[Arrive]])</f>
        <v>5</v>
      </c>
    </row>
    <row r="567" spans="1:16" x14ac:dyDescent="0.25">
      <c r="A567" t="s">
        <v>699</v>
      </c>
      <c r="B567" t="s">
        <v>700</v>
      </c>
      <c r="C567" t="s">
        <v>2224</v>
      </c>
      <c r="D567" s="1">
        <v>44087</v>
      </c>
      <c r="E567" s="1">
        <v>44089</v>
      </c>
      <c r="F567" s="1">
        <v>44075</v>
      </c>
      <c r="G567" s="2">
        <v>0.33333333333333331</v>
      </c>
      <c r="H567" s="3">
        <v>1</v>
      </c>
      <c r="I567" t="s">
        <v>26</v>
      </c>
      <c r="J567" s="12" t="s">
        <v>18</v>
      </c>
      <c r="K567">
        <v>5</v>
      </c>
      <c r="L567">
        <v>0</v>
      </c>
      <c r="M567" t="s">
        <v>19</v>
      </c>
      <c r="N567" s="6">
        <v>213</v>
      </c>
      <c r="O567">
        <f>Table13[[#This Row],[Adults]]+Table13[[#This Row],[Children]]</f>
        <v>5</v>
      </c>
      <c r="P567">
        <f>_xlfn.DAYS(Table13[[#This Row],[Depart]],Table13[[#This Row],[Arrive]])</f>
        <v>2</v>
      </c>
    </row>
    <row r="568" spans="1:16" x14ac:dyDescent="0.25">
      <c r="A568" t="s">
        <v>296</v>
      </c>
      <c r="B568" t="s">
        <v>297</v>
      </c>
      <c r="C568" t="s">
        <v>2226</v>
      </c>
      <c r="D568" s="1">
        <v>44087</v>
      </c>
      <c r="E568" s="1">
        <v>44089</v>
      </c>
      <c r="F568" s="1">
        <v>44063</v>
      </c>
      <c r="G568" s="2">
        <v>0.33333333333333331</v>
      </c>
      <c r="H568" s="3">
        <v>1</v>
      </c>
      <c r="I568" t="s">
        <v>22</v>
      </c>
      <c r="J568" s="12" t="s">
        <v>23</v>
      </c>
      <c r="K568">
        <v>6</v>
      </c>
      <c r="L568">
        <v>0</v>
      </c>
      <c r="M568" t="s">
        <v>19</v>
      </c>
      <c r="N568" s="6">
        <v>236.5</v>
      </c>
      <c r="O568">
        <f>Table13[[#This Row],[Adults]]+Table13[[#This Row],[Children]]</f>
        <v>6</v>
      </c>
      <c r="P568">
        <f>_xlfn.DAYS(Table13[[#This Row],[Depart]],Table13[[#This Row],[Arrive]])</f>
        <v>2</v>
      </c>
    </row>
    <row r="569" spans="1:16" x14ac:dyDescent="0.25">
      <c r="A569" t="s">
        <v>733</v>
      </c>
      <c r="B569" t="s">
        <v>734</v>
      </c>
      <c r="C569" t="s">
        <v>2224</v>
      </c>
      <c r="D569" s="1">
        <v>44087</v>
      </c>
      <c r="E569" s="1">
        <v>44090</v>
      </c>
      <c r="F569" s="1">
        <v>44079</v>
      </c>
      <c r="G569" s="2">
        <v>0.33333333333333331</v>
      </c>
      <c r="H569" s="3">
        <v>1</v>
      </c>
      <c r="I569" t="s">
        <v>22</v>
      </c>
      <c r="J569" s="12" t="s">
        <v>23</v>
      </c>
      <c r="K569">
        <v>4</v>
      </c>
      <c r="L569">
        <v>0</v>
      </c>
      <c r="M569" t="s">
        <v>19</v>
      </c>
      <c r="N569" s="6">
        <v>354.75</v>
      </c>
      <c r="O569">
        <f>Table13[[#This Row],[Adults]]+Table13[[#This Row],[Children]]</f>
        <v>4</v>
      </c>
      <c r="P569">
        <f>_xlfn.DAYS(Table13[[#This Row],[Depart]],Table13[[#This Row],[Arrive]])</f>
        <v>3</v>
      </c>
    </row>
    <row r="570" spans="1:16" x14ac:dyDescent="0.25">
      <c r="A570" t="s">
        <v>755</v>
      </c>
      <c r="B570" t="s">
        <v>756</v>
      </c>
      <c r="C570" t="s">
        <v>2228</v>
      </c>
      <c r="D570" s="1">
        <v>44087</v>
      </c>
      <c r="E570" s="1">
        <v>44088</v>
      </c>
      <c r="F570" s="1">
        <v>44083</v>
      </c>
      <c r="G570" s="2">
        <v>0.58333333333333337</v>
      </c>
      <c r="H570" s="2">
        <v>0.45833333333333331</v>
      </c>
      <c r="I570" t="s">
        <v>22</v>
      </c>
      <c r="J570" s="12" t="s">
        <v>23</v>
      </c>
      <c r="K570">
        <v>4</v>
      </c>
      <c r="L570">
        <v>0</v>
      </c>
      <c r="M570" t="s">
        <v>19</v>
      </c>
      <c r="N570" s="6">
        <v>118.25</v>
      </c>
      <c r="O570">
        <f>Table13[[#This Row],[Adults]]+Table13[[#This Row],[Children]]</f>
        <v>4</v>
      </c>
      <c r="P570">
        <f>_xlfn.DAYS(Table13[[#This Row],[Depart]],Table13[[#This Row],[Arrive]])</f>
        <v>1</v>
      </c>
    </row>
    <row r="571" spans="1:16" x14ac:dyDescent="0.25">
      <c r="A571" t="s">
        <v>502</v>
      </c>
      <c r="B571" t="s">
        <v>503</v>
      </c>
      <c r="C571" t="s">
        <v>2225</v>
      </c>
      <c r="D571" s="1">
        <v>44088</v>
      </c>
      <c r="E571" s="1">
        <v>44095</v>
      </c>
      <c r="F571" s="1">
        <v>44063</v>
      </c>
      <c r="G571" s="2">
        <v>0.33333333333333331</v>
      </c>
      <c r="H571" s="3">
        <v>1</v>
      </c>
      <c r="I571" t="s">
        <v>26</v>
      </c>
      <c r="J571" s="12" t="s">
        <v>18</v>
      </c>
      <c r="K571">
        <v>5</v>
      </c>
      <c r="L571">
        <v>0</v>
      </c>
      <c r="M571" t="s">
        <v>19</v>
      </c>
      <c r="N571" s="6">
        <v>745</v>
      </c>
      <c r="O571">
        <f>Table13[[#This Row],[Adults]]+Table13[[#This Row],[Children]]</f>
        <v>5</v>
      </c>
      <c r="P571">
        <f>_xlfn.DAYS(Table13[[#This Row],[Depart]],Table13[[#This Row],[Arrive]])</f>
        <v>7</v>
      </c>
    </row>
    <row r="572" spans="1:16" x14ac:dyDescent="0.25">
      <c r="A572" t="s">
        <v>701</v>
      </c>
      <c r="B572" t="s">
        <v>702</v>
      </c>
      <c r="C572" t="s">
        <v>2223</v>
      </c>
      <c r="D572" s="1">
        <v>44088</v>
      </c>
      <c r="E572" s="1">
        <v>44089</v>
      </c>
      <c r="F572" s="1">
        <v>44075</v>
      </c>
      <c r="G572" s="2">
        <v>0.58333333333333337</v>
      </c>
      <c r="H572" s="2">
        <v>0.45833333333333331</v>
      </c>
      <c r="I572" t="s">
        <v>22</v>
      </c>
      <c r="J572" s="12" t="s">
        <v>18</v>
      </c>
      <c r="K572">
        <v>6</v>
      </c>
      <c r="L572">
        <v>0</v>
      </c>
      <c r="M572" t="s">
        <v>19</v>
      </c>
      <c r="N572" s="6">
        <v>118.25</v>
      </c>
      <c r="O572">
        <f>Table13[[#This Row],[Adults]]+Table13[[#This Row],[Children]]</f>
        <v>6</v>
      </c>
      <c r="P572">
        <f>_xlfn.DAYS(Table13[[#This Row],[Depart]],Table13[[#This Row],[Arrive]])</f>
        <v>1</v>
      </c>
    </row>
    <row r="573" spans="1:16" x14ac:dyDescent="0.25">
      <c r="A573" t="s">
        <v>773</v>
      </c>
      <c r="B573" t="s">
        <v>774</v>
      </c>
      <c r="C573" t="s">
        <v>2228</v>
      </c>
      <c r="D573" s="1">
        <v>44088</v>
      </c>
      <c r="E573" s="1">
        <v>44089</v>
      </c>
      <c r="F573" s="1">
        <v>44086</v>
      </c>
      <c r="G573" s="2">
        <v>0.58333333333333337</v>
      </c>
      <c r="H573" s="2">
        <v>0.45833333333333331</v>
      </c>
      <c r="I573" t="s">
        <v>22</v>
      </c>
      <c r="J573" s="12" t="s">
        <v>23</v>
      </c>
      <c r="K573">
        <v>6</v>
      </c>
      <c r="L573">
        <v>0</v>
      </c>
      <c r="M573" t="s">
        <v>19</v>
      </c>
      <c r="N573" s="6">
        <v>118.25</v>
      </c>
      <c r="O573">
        <f>Table13[[#This Row],[Adults]]+Table13[[#This Row],[Children]]</f>
        <v>6</v>
      </c>
      <c r="P573">
        <f>_xlfn.DAYS(Table13[[#This Row],[Depart]],Table13[[#This Row],[Arrive]])</f>
        <v>1</v>
      </c>
    </row>
    <row r="574" spans="1:16" x14ac:dyDescent="0.25">
      <c r="A574" t="s">
        <v>779</v>
      </c>
      <c r="B574" t="s">
        <v>780</v>
      </c>
      <c r="C574" t="s">
        <v>2225</v>
      </c>
      <c r="D574" s="1">
        <v>44088</v>
      </c>
      <c r="E574" s="1">
        <v>44089</v>
      </c>
      <c r="F574" s="1">
        <v>44081</v>
      </c>
      <c r="G574" s="2">
        <v>0.33333333333333331</v>
      </c>
      <c r="H574" s="3">
        <v>1</v>
      </c>
      <c r="I574" t="s">
        <v>22</v>
      </c>
      <c r="J574" s="12" t="s">
        <v>18</v>
      </c>
      <c r="K574">
        <v>4</v>
      </c>
      <c r="L574">
        <v>0</v>
      </c>
      <c r="M574" t="s">
        <v>19</v>
      </c>
      <c r="N574" s="6">
        <v>129</v>
      </c>
      <c r="O574">
        <f>Table13[[#This Row],[Adults]]+Table13[[#This Row],[Children]]</f>
        <v>4</v>
      </c>
      <c r="P574">
        <f>_xlfn.DAYS(Table13[[#This Row],[Depart]],Table13[[#This Row],[Arrive]])</f>
        <v>1</v>
      </c>
    </row>
    <row r="575" spans="1:16" x14ac:dyDescent="0.25">
      <c r="A575" t="s">
        <v>781</v>
      </c>
      <c r="B575" t="s">
        <v>782</v>
      </c>
      <c r="C575" t="s">
        <v>2225</v>
      </c>
      <c r="D575" s="1">
        <v>44088</v>
      </c>
      <c r="E575" s="1">
        <v>44091</v>
      </c>
      <c r="F575" s="1">
        <v>44088</v>
      </c>
      <c r="G575" s="2">
        <v>0.33333333333333331</v>
      </c>
      <c r="H575" s="3">
        <v>1</v>
      </c>
      <c r="I575" t="s">
        <v>22</v>
      </c>
      <c r="J575" s="12" t="s">
        <v>23</v>
      </c>
      <c r="K575">
        <v>6</v>
      </c>
      <c r="L575">
        <v>0</v>
      </c>
      <c r="M575" t="s">
        <v>19</v>
      </c>
      <c r="N575" s="6">
        <v>387</v>
      </c>
      <c r="O575">
        <f>Table13[[#This Row],[Adults]]+Table13[[#This Row],[Children]]</f>
        <v>6</v>
      </c>
      <c r="P575">
        <f>_xlfn.DAYS(Table13[[#This Row],[Depart]],Table13[[#This Row],[Arrive]])</f>
        <v>3</v>
      </c>
    </row>
    <row r="576" spans="1:16" x14ac:dyDescent="0.25">
      <c r="A576" t="s">
        <v>633</v>
      </c>
      <c r="B576" t="s">
        <v>634</v>
      </c>
      <c r="C576" t="s">
        <v>2224</v>
      </c>
      <c r="D576" s="1">
        <v>44089</v>
      </c>
      <c r="E576" s="1">
        <v>44091</v>
      </c>
      <c r="F576" s="1">
        <v>44062</v>
      </c>
      <c r="G576" s="2">
        <v>0.33333333333333331</v>
      </c>
      <c r="H576" s="3">
        <v>1</v>
      </c>
      <c r="I576" t="s">
        <v>26</v>
      </c>
      <c r="J576" s="12" t="s">
        <v>18</v>
      </c>
      <c r="K576">
        <v>4</v>
      </c>
      <c r="L576">
        <v>0</v>
      </c>
      <c r="M576" t="s">
        <v>19</v>
      </c>
      <c r="N576" s="6">
        <v>212</v>
      </c>
      <c r="O576">
        <f>Table13[[#This Row],[Adults]]+Table13[[#This Row],[Children]]</f>
        <v>4</v>
      </c>
      <c r="P576">
        <f>_xlfn.DAYS(Table13[[#This Row],[Depart]],Table13[[#This Row],[Arrive]])</f>
        <v>2</v>
      </c>
    </row>
    <row r="577" spans="1:16" x14ac:dyDescent="0.25">
      <c r="A577" t="s">
        <v>296</v>
      </c>
      <c r="B577" t="s">
        <v>297</v>
      </c>
      <c r="C577" t="s">
        <v>2226</v>
      </c>
      <c r="D577" s="1">
        <v>44089</v>
      </c>
      <c r="E577" s="1">
        <v>44092</v>
      </c>
      <c r="F577" s="1">
        <v>44063</v>
      </c>
      <c r="G577" s="2">
        <v>0.33333333333333331</v>
      </c>
      <c r="H577" s="3">
        <v>1</v>
      </c>
      <c r="I577" t="s">
        <v>22</v>
      </c>
      <c r="J577" s="12" t="s">
        <v>23</v>
      </c>
      <c r="K577">
        <v>5</v>
      </c>
      <c r="L577">
        <v>0</v>
      </c>
      <c r="M577" t="s">
        <v>19</v>
      </c>
      <c r="N577" s="6">
        <v>330</v>
      </c>
      <c r="O577">
        <f>Table13[[#This Row],[Adults]]+Table13[[#This Row],[Children]]</f>
        <v>5</v>
      </c>
      <c r="P577">
        <f>_xlfn.DAYS(Table13[[#This Row],[Depart]],Table13[[#This Row],[Arrive]])</f>
        <v>3</v>
      </c>
    </row>
    <row r="578" spans="1:16" x14ac:dyDescent="0.25">
      <c r="A578" t="s">
        <v>296</v>
      </c>
      <c r="B578" t="s">
        <v>297</v>
      </c>
      <c r="C578" t="s">
        <v>2228</v>
      </c>
      <c r="D578" s="1">
        <v>44089</v>
      </c>
      <c r="E578" s="1">
        <v>44091</v>
      </c>
      <c r="F578" s="1">
        <v>44088</v>
      </c>
      <c r="G578" s="2">
        <v>0.58333333333333337</v>
      </c>
      <c r="H578" s="2">
        <v>0.45833333333333331</v>
      </c>
      <c r="I578" t="s">
        <v>22</v>
      </c>
      <c r="J578" s="12" t="s">
        <v>23</v>
      </c>
      <c r="K578">
        <v>4</v>
      </c>
      <c r="L578">
        <v>0</v>
      </c>
      <c r="M578" t="s">
        <v>19</v>
      </c>
      <c r="N578" s="6">
        <v>258</v>
      </c>
      <c r="O578">
        <f>Table13[[#This Row],[Adults]]+Table13[[#This Row],[Children]]</f>
        <v>4</v>
      </c>
      <c r="P578">
        <f>_xlfn.DAYS(Table13[[#This Row],[Depart]],Table13[[#This Row],[Arrive]])</f>
        <v>2</v>
      </c>
    </row>
    <row r="579" spans="1:16" x14ac:dyDescent="0.25">
      <c r="A579" t="s">
        <v>783</v>
      </c>
      <c r="B579" t="s">
        <v>784</v>
      </c>
      <c r="C579" t="s">
        <v>2223</v>
      </c>
      <c r="D579" s="1">
        <v>44089</v>
      </c>
      <c r="E579" s="1">
        <v>44090</v>
      </c>
      <c r="F579" s="1">
        <v>44088</v>
      </c>
      <c r="G579" s="2">
        <v>0.58333333333333337</v>
      </c>
      <c r="H579" s="2">
        <v>0.45833333333333331</v>
      </c>
      <c r="I579" t="s">
        <v>22</v>
      </c>
      <c r="J579" s="12" t="s">
        <v>23</v>
      </c>
      <c r="K579">
        <v>4</v>
      </c>
      <c r="L579">
        <v>0</v>
      </c>
      <c r="M579" t="s">
        <v>19</v>
      </c>
      <c r="N579" s="6">
        <v>129</v>
      </c>
      <c r="O579">
        <f>Table13[[#This Row],[Adults]]+Table13[[#This Row],[Children]]</f>
        <v>4</v>
      </c>
      <c r="P579">
        <f>_xlfn.DAYS(Table13[[#This Row],[Depart]],Table13[[#This Row],[Arrive]])</f>
        <v>1</v>
      </c>
    </row>
    <row r="580" spans="1:16" x14ac:dyDescent="0.25">
      <c r="A580" t="s">
        <v>683</v>
      </c>
      <c r="B580" t="s">
        <v>684</v>
      </c>
      <c r="C580" t="s">
        <v>2224</v>
      </c>
      <c r="D580" s="1">
        <v>44090</v>
      </c>
      <c r="E580" s="1">
        <v>44092</v>
      </c>
      <c r="F580" s="1">
        <v>44072</v>
      </c>
      <c r="G580" s="2">
        <v>0.33333333333333331</v>
      </c>
      <c r="H580" s="3">
        <v>1</v>
      </c>
      <c r="I580" t="s">
        <v>26</v>
      </c>
      <c r="J580" s="12" t="s">
        <v>18</v>
      </c>
      <c r="K580">
        <v>1</v>
      </c>
      <c r="L580">
        <v>0</v>
      </c>
      <c r="M580" t="s">
        <v>19</v>
      </c>
      <c r="N580" s="6">
        <v>212</v>
      </c>
      <c r="O580">
        <f>Table13[[#This Row],[Adults]]+Table13[[#This Row],[Children]]</f>
        <v>1</v>
      </c>
      <c r="P580">
        <f>_xlfn.DAYS(Table13[[#This Row],[Depart]],Table13[[#This Row],[Arrive]])</f>
        <v>2</v>
      </c>
    </row>
    <row r="581" spans="1:16" x14ac:dyDescent="0.25">
      <c r="A581" t="s">
        <v>749</v>
      </c>
      <c r="B581" t="s">
        <v>750</v>
      </c>
      <c r="C581" t="s">
        <v>2224</v>
      </c>
      <c r="D581" s="1">
        <v>44090</v>
      </c>
      <c r="E581" s="1">
        <v>44092</v>
      </c>
      <c r="F581" s="1">
        <v>44082</v>
      </c>
      <c r="G581" s="2">
        <v>0.33333333333333331</v>
      </c>
      <c r="H581" s="3">
        <v>1</v>
      </c>
      <c r="I581" t="s">
        <v>22</v>
      </c>
      <c r="J581" s="12" t="s">
        <v>23</v>
      </c>
      <c r="K581">
        <v>4</v>
      </c>
      <c r="L581">
        <v>0</v>
      </c>
      <c r="M581" t="s">
        <v>19</v>
      </c>
      <c r="N581" s="6">
        <v>236.5</v>
      </c>
      <c r="O581">
        <f>Table13[[#This Row],[Adults]]+Table13[[#This Row],[Children]]</f>
        <v>4</v>
      </c>
      <c r="P581">
        <f>_xlfn.DAYS(Table13[[#This Row],[Depart]],Table13[[#This Row],[Arrive]])</f>
        <v>2</v>
      </c>
    </row>
    <row r="582" spans="1:16" x14ac:dyDescent="0.25">
      <c r="A582" t="s">
        <v>789</v>
      </c>
      <c r="B582" t="s">
        <v>790</v>
      </c>
      <c r="C582" t="s">
        <v>2223</v>
      </c>
      <c r="D582" s="1">
        <v>44090</v>
      </c>
      <c r="E582" s="1">
        <v>44091</v>
      </c>
      <c r="F582" s="1">
        <v>44089</v>
      </c>
      <c r="G582" s="2">
        <v>0.58333333333333337</v>
      </c>
      <c r="H582" s="2">
        <v>0.45833333333333331</v>
      </c>
      <c r="I582" t="s">
        <v>22</v>
      </c>
      <c r="J582" s="12" t="s">
        <v>23</v>
      </c>
      <c r="K582">
        <v>6</v>
      </c>
      <c r="L582">
        <v>0</v>
      </c>
      <c r="M582" t="s">
        <v>19</v>
      </c>
      <c r="N582" s="6">
        <v>129</v>
      </c>
      <c r="O582">
        <f>Table13[[#This Row],[Adults]]+Table13[[#This Row],[Children]]</f>
        <v>6</v>
      </c>
      <c r="P582">
        <f>_xlfn.DAYS(Table13[[#This Row],[Depart]],Table13[[#This Row],[Arrive]])</f>
        <v>1</v>
      </c>
    </row>
    <row r="583" spans="1:16" x14ac:dyDescent="0.25">
      <c r="A583" t="s">
        <v>767</v>
      </c>
      <c r="B583" t="s">
        <v>768</v>
      </c>
      <c r="C583" t="s">
        <v>2223</v>
      </c>
      <c r="D583" s="1">
        <v>44091</v>
      </c>
      <c r="E583" s="1">
        <v>44092</v>
      </c>
      <c r="F583" s="1">
        <v>44085</v>
      </c>
      <c r="G583" s="2">
        <v>0.58333333333333337</v>
      </c>
      <c r="H583" s="2">
        <v>0.45833333333333331</v>
      </c>
      <c r="I583" t="s">
        <v>22</v>
      </c>
      <c r="J583" s="12" t="s">
        <v>23</v>
      </c>
      <c r="K583">
        <v>4</v>
      </c>
      <c r="L583">
        <v>0</v>
      </c>
      <c r="M583" t="s">
        <v>19</v>
      </c>
      <c r="N583" s="6">
        <v>118.25</v>
      </c>
      <c r="O583">
        <f>Table13[[#This Row],[Adults]]+Table13[[#This Row],[Children]]</f>
        <v>4</v>
      </c>
      <c r="P583">
        <f>_xlfn.DAYS(Table13[[#This Row],[Depart]],Table13[[#This Row],[Arrive]])</f>
        <v>1</v>
      </c>
    </row>
    <row r="584" spans="1:16" x14ac:dyDescent="0.25">
      <c r="A584" t="s">
        <v>785</v>
      </c>
      <c r="B584" t="s">
        <v>786</v>
      </c>
      <c r="C584" t="s">
        <v>2225</v>
      </c>
      <c r="D584" s="1">
        <v>44091</v>
      </c>
      <c r="E584" s="1">
        <v>44092</v>
      </c>
      <c r="F584" s="1">
        <v>44088</v>
      </c>
      <c r="G584" s="2">
        <v>0.33333333333333331</v>
      </c>
      <c r="H584" s="3">
        <v>1</v>
      </c>
      <c r="I584" t="s">
        <v>22</v>
      </c>
      <c r="J584" s="12" t="s">
        <v>23</v>
      </c>
      <c r="K584">
        <v>5</v>
      </c>
      <c r="L584">
        <v>0</v>
      </c>
      <c r="M584" t="s">
        <v>19</v>
      </c>
      <c r="N584" s="6">
        <v>129</v>
      </c>
      <c r="O584">
        <f>Table13[[#This Row],[Adults]]+Table13[[#This Row],[Children]]</f>
        <v>5</v>
      </c>
      <c r="P584">
        <f>_xlfn.DAYS(Table13[[#This Row],[Depart]],Table13[[#This Row],[Arrive]])</f>
        <v>1</v>
      </c>
    </row>
    <row r="585" spans="1:16" x14ac:dyDescent="0.25">
      <c r="A585" t="s">
        <v>130</v>
      </c>
      <c r="B585" t="s">
        <v>131</v>
      </c>
      <c r="C585" t="s">
        <v>2228</v>
      </c>
      <c r="D585" s="1">
        <v>44091</v>
      </c>
      <c r="E585" s="1">
        <v>44098</v>
      </c>
      <c r="F585" s="1">
        <v>44045</v>
      </c>
      <c r="G585" s="2">
        <v>0.58333333333333337</v>
      </c>
      <c r="H585" s="2">
        <v>0.45833333333333331</v>
      </c>
      <c r="I585" t="s">
        <v>22</v>
      </c>
      <c r="J585" s="12" t="s">
        <v>23</v>
      </c>
      <c r="K585">
        <v>5</v>
      </c>
      <c r="L585">
        <v>0</v>
      </c>
      <c r="M585" t="s">
        <v>19</v>
      </c>
      <c r="N585" s="6">
        <v>903</v>
      </c>
      <c r="O585">
        <f>Table13[[#This Row],[Adults]]+Table13[[#This Row],[Children]]</f>
        <v>5</v>
      </c>
      <c r="P585">
        <f>_xlfn.DAYS(Table13[[#This Row],[Depart]],Table13[[#This Row],[Arrive]])</f>
        <v>7</v>
      </c>
    </row>
    <row r="586" spans="1:16" x14ac:dyDescent="0.25">
      <c r="A586" t="s">
        <v>567</v>
      </c>
      <c r="B586" t="s">
        <v>568</v>
      </c>
      <c r="C586" t="s">
        <v>2226</v>
      </c>
      <c r="D586" s="1">
        <v>44092</v>
      </c>
      <c r="E586" s="1">
        <v>44095</v>
      </c>
      <c r="F586" s="1">
        <v>44049</v>
      </c>
      <c r="G586" s="2">
        <v>0.33333333333333331</v>
      </c>
      <c r="H586" s="3">
        <v>1</v>
      </c>
      <c r="I586" t="s">
        <v>22</v>
      </c>
      <c r="J586" s="12" t="s">
        <v>23</v>
      </c>
      <c r="K586">
        <v>2</v>
      </c>
      <c r="L586">
        <v>0</v>
      </c>
      <c r="M586" t="s">
        <v>19</v>
      </c>
      <c r="N586" s="6">
        <v>110</v>
      </c>
      <c r="O586">
        <f>Table13[[#This Row],[Adults]]+Table13[[#This Row],[Children]]</f>
        <v>2</v>
      </c>
      <c r="P586">
        <f>_xlfn.DAYS(Table13[[#This Row],[Depart]],Table13[[#This Row],[Arrive]])</f>
        <v>3</v>
      </c>
    </row>
    <row r="587" spans="1:16" x14ac:dyDescent="0.25">
      <c r="A587" t="s">
        <v>609</v>
      </c>
      <c r="B587" t="s">
        <v>610</v>
      </c>
      <c r="C587" t="s">
        <v>2224</v>
      </c>
      <c r="D587" s="1">
        <v>44092</v>
      </c>
      <c r="E587" s="1">
        <v>44094</v>
      </c>
      <c r="F587" s="1">
        <v>44056</v>
      </c>
      <c r="G587" s="2">
        <v>0.33333333333333331</v>
      </c>
      <c r="H587" s="3">
        <v>1</v>
      </c>
      <c r="I587" t="s">
        <v>22</v>
      </c>
      <c r="J587" s="12" t="s">
        <v>23</v>
      </c>
      <c r="K587">
        <v>6</v>
      </c>
      <c r="L587">
        <v>0</v>
      </c>
      <c r="M587" t="s">
        <v>19</v>
      </c>
      <c r="N587" s="6">
        <v>110</v>
      </c>
      <c r="O587">
        <f>Table13[[#This Row],[Adults]]+Table13[[#This Row],[Children]]</f>
        <v>6</v>
      </c>
      <c r="P587">
        <f>_xlfn.DAYS(Table13[[#This Row],[Depart]],Table13[[#This Row],[Arrive]])</f>
        <v>2</v>
      </c>
    </row>
    <row r="588" spans="1:16" x14ac:dyDescent="0.25">
      <c r="A588" t="s">
        <v>609</v>
      </c>
      <c r="B588" t="s">
        <v>610</v>
      </c>
      <c r="C588" t="s">
        <v>2223</v>
      </c>
      <c r="D588" s="1">
        <v>44092</v>
      </c>
      <c r="E588" s="1">
        <v>44094</v>
      </c>
      <c r="F588" s="1">
        <v>44057</v>
      </c>
      <c r="G588" s="2">
        <v>0.58333333333333337</v>
      </c>
      <c r="H588" s="2">
        <v>0.45833333333333331</v>
      </c>
      <c r="I588" t="s">
        <v>22</v>
      </c>
      <c r="J588" s="12" t="s">
        <v>23</v>
      </c>
      <c r="K588">
        <v>6</v>
      </c>
      <c r="L588">
        <v>0</v>
      </c>
      <c r="M588" t="s">
        <v>19</v>
      </c>
      <c r="N588" s="6">
        <v>220</v>
      </c>
      <c r="O588">
        <f>Table13[[#This Row],[Adults]]+Table13[[#This Row],[Children]]</f>
        <v>6</v>
      </c>
      <c r="P588">
        <f>_xlfn.DAYS(Table13[[#This Row],[Depart]],Table13[[#This Row],[Arrive]])</f>
        <v>2</v>
      </c>
    </row>
    <row r="589" spans="1:16" x14ac:dyDescent="0.25">
      <c r="A589" t="s">
        <v>695</v>
      </c>
      <c r="B589" t="s">
        <v>696</v>
      </c>
      <c r="C589" t="s">
        <v>2225</v>
      </c>
      <c r="D589" s="1">
        <v>44092</v>
      </c>
      <c r="E589" s="1">
        <v>44094</v>
      </c>
      <c r="F589" s="1">
        <v>44074</v>
      </c>
      <c r="G589" s="2">
        <v>0.33333333333333331</v>
      </c>
      <c r="H589" s="3">
        <v>1</v>
      </c>
      <c r="I589" t="s">
        <v>22</v>
      </c>
      <c r="J589" s="12" t="s">
        <v>18</v>
      </c>
      <c r="K589">
        <v>6</v>
      </c>
      <c r="L589">
        <v>0</v>
      </c>
      <c r="M589" t="s">
        <v>19</v>
      </c>
      <c r="N589" s="6">
        <v>236.5</v>
      </c>
      <c r="O589">
        <f>Table13[[#This Row],[Adults]]+Table13[[#This Row],[Children]]</f>
        <v>6</v>
      </c>
      <c r="P589">
        <f>_xlfn.DAYS(Table13[[#This Row],[Depart]],Table13[[#This Row],[Arrive]])</f>
        <v>2</v>
      </c>
    </row>
    <row r="590" spans="1:16" x14ac:dyDescent="0.25">
      <c r="A590" t="s">
        <v>719</v>
      </c>
      <c r="B590" t="s">
        <v>720</v>
      </c>
      <c r="C590" t="s">
        <v>2225</v>
      </c>
      <c r="D590" s="1">
        <v>44092</v>
      </c>
      <c r="E590" s="1">
        <v>44093</v>
      </c>
      <c r="F590" s="1">
        <v>44078</v>
      </c>
      <c r="G590" s="2">
        <v>0.33333333333333331</v>
      </c>
      <c r="H590" s="3">
        <v>1</v>
      </c>
      <c r="I590" t="s">
        <v>22</v>
      </c>
      <c r="J590" s="12" t="s">
        <v>23</v>
      </c>
      <c r="K590">
        <v>4</v>
      </c>
      <c r="L590">
        <v>0</v>
      </c>
      <c r="M590" t="s">
        <v>19</v>
      </c>
      <c r="N590" s="6">
        <v>118.25</v>
      </c>
      <c r="O590">
        <f>Table13[[#This Row],[Adults]]+Table13[[#This Row],[Children]]</f>
        <v>4</v>
      </c>
      <c r="P590">
        <f>_xlfn.DAYS(Table13[[#This Row],[Depart]],Table13[[#This Row],[Arrive]])</f>
        <v>1</v>
      </c>
    </row>
    <row r="591" spans="1:16" x14ac:dyDescent="0.25">
      <c r="A591" t="s">
        <v>769</v>
      </c>
      <c r="B591" t="s">
        <v>770</v>
      </c>
      <c r="C591" t="s">
        <v>2226</v>
      </c>
      <c r="D591" s="1">
        <v>44092</v>
      </c>
      <c r="E591" s="1">
        <v>44093</v>
      </c>
      <c r="F591" s="1">
        <v>44086</v>
      </c>
      <c r="G591" s="2">
        <v>0.33333333333333331</v>
      </c>
      <c r="H591" s="3">
        <v>1</v>
      </c>
      <c r="I591" t="s">
        <v>26</v>
      </c>
      <c r="J591" s="12" t="s">
        <v>18</v>
      </c>
      <c r="K591">
        <v>1</v>
      </c>
      <c r="L591">
        <v>0</v>
      </c>
      <c r="M591" t="s">
        <v>19</v>
      </c>
      <c r="N591" s="6">
        <v>91.58</v>
      </c>
      <c r="O591">
        <f>Table13[[#This Row],[Adults]]+Table13[[#This Row],[Children]]</f>
        <v>1</v>
      </c>
      <c r="P591">
        <f>_xlfn.DAYS(Table13[[#This Row],[Depart]],Table13[[#This Row],[Arrive]])</f>
        <v>1</v>
      </c>
    </row>
    <row r="592" spans="1:16" x14ac:dyDescent="0.25">
      <c r="A592" t="s">
        <v>398</v>
      </c>
      <c r="B592" t="s">
        <v>399</v>
      </c>
      <c r="C592" t="s">
        <v>2224</v>
      </c>
      <c r="D592" s="1">
        <v>44093</v>
      </c>
      <c r="E592" s="1">
        <v>44094</v>
      </c>
      <c r="F592" s="1">
        <v>44007</v>
      </c>
      <c r="G592" s="2">
        <v>0.33333333333333331</v>
      </c>
      <c r="H592" s="3">
        <v>1</v>
      </c>
      <c r="I592" t="s">
        <v>26</v>
      </c>
      <c r="J592" s="12" t="s">
        <v>18</v>
      </c>
      <c r="K592">
        <v>4</v>
      </c>
      <c r="L592">
        <v>0</v>
      </c>
      <c r="M592" t="s">
        <v>19</v>
      </c>
      <c r="N592" s="6">
        <v>107</v>
      </c>
      <c r="O592">
        <f>Table13[[#This Row],[Adults]]+Table13[[#This Row],[Children]]</f>
        <v>4</v>
      </c>
      <c r="P592">
        <f>_xlfn.DAYS(Table13[[#This Row],[Depart]],Table13[[#This Row],[Arrive]])</f>
        <v>1</v>
      </c>
    </row>
    <row r="593" spans="1:16" x14ac:dyDescent="0.25">
      <c r="A593" t="s">
        <v>651</v>
      </c>
      <c r="B593" t="s">
        <v>652</v>
      </c>
      <c r="C593" t="s">
        <v>2229</v>
      </c>
      <c r="D593" s="1">
        <v>44093</v>
      </c>
      <c r="E593" s="1">
        <v>44094</v>
      </c>
      <c r="F593" s="1">
        <v>44065</v>
      </c>
      <c r="G593" s="2">
        <v>0.45833333333333331</v>
      </c>
      <c r="H593" s="2">
        <v>0.41666666666666669</v>
      </c>
      <c r="I593" t="s">
        <v>26</v>
      </c>
      <c r="J593" s="12" t="s">
        <v>18</v>
      </c>
      <c r="K593">
        <v>8</v>
      </c>
      <c r="L593">
        <v>0</v>
      </c>
      <c r="M593" t="s">
        <v>19</v>
      </c>
      <c r="N593" s="6">
        <v>107</v>
      </c>
      <c r="O593">
        <f>Table13[[#This Row],[Adults]]+Table13[[#This Row],[Children]]</f>
        <v>8</v>
      </c>
      <c r="P593">
        <f>_xlfn.DAYS(Table13[[#This Row],[Depart]],Table13[[#This Row],[Arrive]])</f>
        <v>1</v>
      </c>
    </row>
    <row r="594" spans="1:16" x14ac:dyDescent="0.25">
      <c r="A594" t="s">
        <v>703</v>
      </c>
      <c r="B594" t="s">
        <v>704</v>
      </c>
      <c r="C594" t="s">
        <v>2225</v>
      </c>
      <c r="D594" s="1">
        <v>44093</v>
      </c>
      <c r="E594" s="1">
        <v>44094</v>
      </c>
      <c r="F594" s="1">
        <v>44075</v>
      </c>
      <c r="G594" s="2">
        <v>0.33333333333333331</v>
      </c>
      <c r="H594" s="3">
        <v>1</v>
      </c>
      <c r="I594" t="s">
        <v>22</v>
      </c>
      <c r="J594" s="12" t="s">
        <v>23</v>
      </c>
      <c r="K594">
        <v>4</v>
      </c>
      <c r="L594">
        <v>0</v>
      </c>
      <c r="M594" t="s">
        <v>19</v>
      </c>
      <c r="N594" s="6">
        <v>118.25</v>
      </c>
      <c r="O594">
        <f>Table13[[#This Row],[Adults]]+Table13[[#This Row],[Children]]</f>
        <v>4</v>
      </c>
      <c r="P594">
        <f>_xlfn.DAYS(Table13[[#This Row],[Depart]],Table13[[#This Row],[Arrive]])</f>
        <v>1</v>
      </c>
    </row>
    <row r="595" spans="1:16" x14ac:dyDescent="0.25">
      <c r="A595" t="s">
        <v>697</v>
      </c>
      <c r="B595" t="s">
        <v>698</v>
      </c>
      <c r="C595" t="s">
        <v>2228</v>
      </c>
      <c r="D595" s="1">
        <v>44094</v>
      </c>
      <c r="E595" s="1">
        <v>44098</v>
      </c>
      <c r="F595" s="1">
        <v>44075</v>
      </c>
      <c r="G595" s="2">
        <v>0.58333333333333337</v>
      </c>
      <c r="H595" s="2">
        <v>0.45833333333333331</v>
      </c>
      <c r="I595" t="s">
        <v>22</v>
      </c>
      <c r="J595" s="12" t="s">
        <v>18</v>
      </c>
      <c r="K595">
        <v>4</v>
      </c>
      <c r="L595">
        <v>0</v>
      </c>
      <c r="M595" t="s">
        <v>19</v>
      </c>
      <c r="N595" s="6">
        <v>473</v>
      </c>
      <c r="O595">
        <f>Table13[[#This Row],[Adults]]+Table13[[#This Row],[Children]]</f>
        <v>4</v>
      </c>
      <c r="P595">
        <f>_xlfn.DAYS(Table13[[#This Row],[Depart]],Table13[[#This Row],[Arrive]])</f>
        <v>4</v>
      </c>
    </row>
    <row r="596" spans="1:16" x14ac:dyDescent="0.25">
      <c r="A596" t="s">
        <v>743</v>
      </c>
      <c r="B596" t="s">
        <v>744</v>
      </c>
      <c r="C596" t="s">
        <v>2224</v>
      </c>
      <c r="D596" s="1">
        <v>44094</v>
      </c>
      <c r="E596" s="1">
        <v>44095</v>
      </c>
      <c r="F596" s="1">
        <v>44083</v>
      </c>
      <c r="G596" s="2">
        <v>0.33333333333333331</v>
      </c>
      <c r="H596" s="3">
        <v>1</v>
      </c>
      <c r="I596" t="s">
        <v>22</v>
      </c>
      <c r="J596" s="12" t="s">
        <v>23</v>
      </c>
      <c r="K596">
        <v>4</v>
      </c>
      <c r="L596">
        <v>0</v>
      </c>
      <c r="M596" t="s">
        <v>19</v>
      </c>
      <c r="N596" s="6">
        <v>118.25</v>
      </c>
      <c r="O596">
        <f>Table13[[#This Row],[Adults]]+Table13[[#This Row],[Children]]</f>
        <v>4</v>
      </c>
      <c r="P596">
        <f>_xlfn.DAYS(Table13[[#This Row],[Depart]],Table13[[#This Row],[Arrive]])</f>
        <v>1</v>
      </c>
    </row>
    <row r="597" spans="1:16" x14ac:dyDescent="0.25">
      <c r="A597" t="s">
        <v>40</v>
      </c>
      <c r="B597" t="s">
        <v>41</v>
      </c>
      <c r="C597" t="s">
        <v>2223</v>
      </c>
      <c r="D597" s="1">
        <v>44094</v>
      </c>
      <c r="E597" s="1">
        <v>44100</v>
      </c>
      <c r="F597" s="1">
        <v>44083</v>
      </c>
      <c r="G597" s="2">
        <v>0.58333333333333337</v>
      </c>
      <c r="H597" s="2">
        <v>0.45833333333333331</v>
      </c>
      <c r="I597" t="s">
        <v>22</v>
      </c>
      <c r="J597" s="12" t="s">
        <v>23</v>
      </c>
      <c r="K597">
        <v>3</v>
      </c>
      <c r="L597">
        <v>0</v>
      </c>
      <c r="M597" t="s">
        <v>19</v>
      </c>
      <c r="N597" s="6">
        <v>709.5</v>
      </c>
      <c r="O597">
        <f>Table13[[#This Row],[Adults]]+Table13[[#This Row],[Children]]</f>
        <v>3</v>
      </c>
      <c r="P597">
        <f>_xlfn.DAYS(Table13[[#This Row],[Depart]],Table13[[#This Row],[Arrive]])</f>
        <v>6</v>
      </c>
    </row>
    <row r="598" spans="1:16" x14ac:dyDescent="0.25">
      <c r="A598" t="s">
        <v>787</v>
      </c>
      <c r="B598" t="s">
        <v>788</v>
      </c>
      <c r="C598" t="s">
        <v>2225</v>
      </c>
      <c r="D598" s="1">
        <v>44094</v>
      </c>
      <c r="E598" s="1">
        <v>44096</v>
      </c>
      <c r="F598" s="1">
        <v>44089</v>
      </c>
      <c r="G598" s="2">
        <v>0.33333333333333331</v>
      </c>
      <c r="H598" s="3">
        <v>1</v>
      </c>
      <c r="I598" t="s">
        <v>26</v>
      </c>
      <c r="J598" s="12" t="s">
        <v>18</v>
      </c>
      <c r="K598">
        <v>2</v>
      </c>
      <c r="L598">
        <v>0</v>
      </c>
      <c r="M598" t="s">
        <v>19</v>
      </c>
      <c r="N598" s="6">
        <v>251</v>
      </c>
      <c r="O598">
        <f>Table13[[#This Row],[Adults]]+Table13[[#This Row],[Children]]</f>
        <v>2</v>
      </c>
      <c r="P598">
        <f>_xlfn.DAYS(Table13[[#This Row],[Depart]],Table13[[#This Row],[Arrive]])</f>
        <v>2</v>
      </c>
    </row>
    <row r="599" spans="1:16" x14ac:dyDescent="0.25">
      <c r="A599" t="s">
        <v>791</v>
      </c>
      <c r="B599" t="s">
        <v>792</v>
      </c>
      <c r="C599" t="s">
        <v>2225</v>
      </c>
      <c r="D599" s="1">
        <v>44094</v>
      </c>
      <c r="E599" s="1">
        <v>44096</v>
      </c>
      <c r="F599" s="1">
        <v>44091</v>
      </c>
      <c r="G599" s="2">
        <v>0.33333333333333331</v>
      </c>
      <c r="H599" s="3">
        <v>1</v>
      </c>
      <c r="I599" t="s">
        <v>22</v>
      </c>
      <c r="J599" s="12" t="s">
        <v>23</v>
      </c>
      <c r="K599">
        <v>4</v>
      </c>
      <c r="L599">
        <v>0</v>
      </c>
      <c r="M599" t="s">
        <v>19</v>
      </c>
      <c r="N599" s="6">
        <v>258</v>
      </c>
      <c r="O599">
        <f>Table13[[#This Row],[Adults]]+Table13[[#This Row],[Children]]</f>
        <v>4</v>
      </c>
      <c r="P599">
        <f>_xlfn.DAYS(Table13[[#This Row],[Depart]],Table13[[#This Row],[Arrive]])</f>
        <v>2</v>
      </c>
    </row>
    <row r="600" spans="1:16" x14ac:dyDescent="0.25">
      <c r="A600" t="s">
        <v>296</v>
      </c>
      <c r="B600" t="s">
        <v>297</v>
      </c>
      <c r="C600" t="s">
        <v>2226</v>
      </c>
      <c r="D600" s="1">
        <v>44095</v>
      </c>
      <c r="E600" s="1">
        <v>44101</v>
      </c>
      <c r="F600" s="1">
        <v>44063</v>
      </c>
      <c r="G600" s="2">
        <v>0.33333333333333331</v>
      </c>
      <c r="H600" s="3">
        <v>1</v>
      </c>
      <c r="I600" t="s">
        <v>22</v>
      </c>
      <c r="J600" s="12" t="s">
        <v>18</v>
      </c>
      <c r="K600">
        <v>4</v>
      </c>
      <c r="L600">
        <v>0</v>
      </c>
      <c r="M600" t="s">
        <v>19</v>
      </c>
      <c r="N600" s="6">
        <v>660</v>
      </c>
      <c r="O600">
        <f>Table13[[#This Row],[Adults]]+Table13[[#This Row],[Children]]</f>
        <v>4</v>
      </c>
      <c r="P600">
        <f>_xlfn.DAYS(Table13[[#This Row],[Depart]],Table13[[#This Row],[Arrive]])</f>
        <v>6</v>
      </c>
    </row>
    <row r="601" spans="1:16" x14ac:dyDescent="0.25">
      <c r="A601" t="s">
        <v>296</v>
      </c>
      <c r="B601" t="s">
        <v>297</v>
      </c>
      <c r="C601" t="s">
        <v>2226</v>
      </c>
      <c r="D601" s="1">
        <v>44095</v>
      </c>
      <c r="E601" s="1">
        <v>44101</v>
      </c>
      <c r="F601" s="1">
        <v>44079</v>
      </c>
      <c r="G601" s="2">
        <v>0.33333333333333331</v>
      </c>
      <c r="H601" s="3">
        <v>1</v>
      </c>
      <c r="I601" t="s">
        <v>22</v>
      </c>
      <c r="J601" s="12" t="s">
        <v>23</v>
      </c>
      <c r="K601">
        <v>4</v>
      </c>
      <c r="L601">
        <v>0</v>
      </c>
      <c r="M601" t="s">
        <v>19</v>
      </c>
      <c r="N601" s="6">
        <v>709.5</v>
      </c>
      <c r="O601">
        <f>Table13[[#This Row],[Adults]]+Table13[[#This Row],[Children]]</f>
        <v>4</v>
      </c>
      <c r="P601">
        <f>_xlfn.DAYS(Table13[[#This Row],[Depart]],Table13[[#This Row],[Arrive]])</f>
        <v>6</v>
      </c>
    </row>
    <row r="602" spans="1:16" x14ac:dyDescent="0.25">
      <c r="A602" t="s">
        <v>567</v>
      </c>
      <c r="B602" t="s">
        <v>568</v>
      </c>
      <c r="C602" t="s">
        <v>2228</v>
      </c>
      <c r="D602" s="1">
        <v>44095</v>
      </c>
      <c r="E602" s="1">
        <v>44096</v>
      </c>
      <c r="F602" s="1">
        <v>44081</v>
      </c>
      <c r="G602" s="2">
        <v>0.58333333333333337</v>
      </c>
      <c r="H602" s="2">
        <v>0.45833333333333331</v>
      </c>
      <c r="I602" t="s">
        <v>22</v>
      </c>
      <c r="J602" s="12" t="s">
        <v>18</v>
      </c>
      <c r="K602">
        <v>4</v>
      </c>
      <c r="L602">
        <v>0</v>
      </c>
      <c r="M602" t="s">
        <v>19</v>
      </c>
      <c r="N602" s="6">
        <v>118.25</v>
      </c>
      <c r="O602">
        <f>Table13[[#This Row],[Adults]]+Table13[[#This Row],[Children]]</f>
        <v>4</v>
      </c>
      <c r="P602">
        <f>_xlfn.DAYS(Table13[[#This Row],[Depart]],Table13[[#This Row],[Arrive]])</f>
        <v>1</v>
      </c>
    </row>
    <row r="603" spans="1:16" x14ac:dyDescent="0.25">
      <c r="A603" t="s">
        <v>567</v>
      </c>
      <c r="B603" t="s">
        <v>568</v>
      </c>
      <c r="C603" t="s">
        <v>2224</v>
      </c>
      <c r="D603" s="1">
        <v>44095</v>
      </c>
      <c r="E603" s="1">
        <v>44096</v>
      </c>
      <c r="F603" s="1">
        <v>44094</v>
      </c>
      <c r="G603" s="2">
        <v>0.33333333333333331</v>
      </c>
      <c r="H603" s="3">
        <v>1</v>
      </c>
      <c r="I603" t="s">
        <v>22</v>
      </c>
      <c r="J603" s="12" t="s">
        <v>23</v>
      </c>
      <c r="K603">
        <v>4</v>
      </c>
      <c r="L603">
        <v>0</v>
      </c>
      <c r="M603" t="s">
        <v>19</v>
      </c>
      <c r="N603" s="6">
        <v>129</v>
      </c>
      <c r="O603">
        <f>Table13[[#This Row],[Adults]]+Table13[[#This Row],[Children]]</f>
        <v>4</v>
      </c>
      <c r="P603">
        <f>_xlfn.DAYS(Table13[[#This Row],[Depart]],Table13[[#This Row],[Arrive]])</f>
        <v>1</v>
      </c>
    </row>
    <row r="604" spans="1:16" x14ac:dyDescent="0.25">
      <c r="A604" t="s">
        <v>757</v>
      </c>
      <c r="B604" t="s">
        <v>758</v>
      </c>
      <c r="C604" t="s">
        <v>2224</v>
      </c>
      <c r="D604" s="1">
        <v>44096</v>
      </c>
      <c r="E604" s="1">
        <v>44097</v>
      </c>
      <c r="F604" s="1">
        <v>44084</v>
      </c>
      <c r="G604" s="2">
        <v>0.33333333333333331</v>
      </c>
      <c r="H604" s="3">
        <v>1</v>
      </c>
      <c r="I604" t="s">
        <v>22</v>
      </c>
      <c r="J604" s="12" t="s">
        <v>18</v>
      </c>
      <c r="K604">
        <v>5</v>
      </c>
      <c r="L604">
        <v>0</v>
      </c>
      <c r="M604" t="s">
        <v>19</v>
      </c>
      <c r="N604" s="6">
        <v>118.25</v>
      </c>
      <c r="O604">
        <f>Table13[[#This Row],[Adults]]+Table13[[#This Row],[Children]]</f>
        <v>5</v>
      </c>
      <c r="P604">
        <f>_xlfn.DAYS(Table13[[#This Row],[Depart]],Table13[[#This Row],[Arrive]])</f>
        <v>1</v>
      </c>
    </row>
    <row r="605" spans="1:16" x14ac:dyDescent="0.25">
      <c r="A605" t="s">
        <v>757</v>
      </c>
      <c r="B605" t="s">
        <v>758</v>
      </c>
      <c r="C605" t="s">
        <v>2225</v>
      </c>
      <c r="D605" s="1">
        <v>44096</v>
      </c>
      <c r="E605" s="1">
        <v>44098</v>
      </c>
      <c r="F605" s="1">
        <v>44084</v>
      </c>
      <c r="G605" s="2">
        <v>0.33333333333333331</v>
      </c>
      <c r="H605" s="3">
        <v>1</v>
      </c>
      <c r="I605" t="s">
        <v>22</v>
      </c>
      <c r="J605" s="12" t="s">
        <v>23</v>
      </c>
      <c r="K605">
        <v>6</v>
      </c>
      <c r="L605">
        <v>0</v>
      </c>
      <c r="M605" t="s">
        <v>19</v>
      </c>
      <c r="N605" s="6">
        <v>236.5</v>
      </c>
      <c r="O605">
        <f>Table13[[#This Row],[Adults]]+Table13[[#This Row],[Children]]</f>
        <v>6</v>
      </c>
      <c r="P605">
        <f>_xlfn.DAYS(Table13[[#This Row],[Depart]],Table13[[#This Row],[Arrive]])</f>
        <v>2</v>
      </c>
    </row>
    <row r="606" spans="1:16" x14ac:dyDescent="0.25">
      <c r="A606" t="s">
        <v>512</v>
      </c>
      <c r="B606" t="s">
        <v>513</v>
      </c>
      <c r="C606" t="s">
        <v>2224</v>
      </c>
      <c r="D606" s="1">
        <v>44096</v>
      </c>
      <c r="E606" s="1">
        <v>44097</v>
      </c>
      <c r="F606" s="1">
        <v>44086</v>
      </c>
      <c r="G606" s="2">
        <v>0.33333333333333331</v>
      </c>
      <c r="H606" s="3">
        <v>1</v>
      </c>
      <c r="I606" t="s">
        <v>22</v>
      </c>
      <c r="J606" s="12" t="s">
        <v>18</v>
      </c>
      <c r="K606">
        <v>4</v>
      </c>
      <c r="L606">
        <v>0</v>
      </c>
      <c r="M606" t="s">
        <v>19</v>
      </c>
      <c r="N606" s="6">
        <v>118.25</v>
      </c>
      <c r="O606">
        <f>Table13[[#This Row],[Adults]]+Table13[[#This Row],[Children]]</f>
        <v>4</v>
      </c>
      <c r="P606">
        <f>_xlfn.DAYS(Table13[[#This Row],[Depart]],Table13[[#This Row],[Arrive]])</f>
        <v>1</v>
      </c>
    </row>
    <row r="607" spans="1:16" x14ac:dyDescent="0.25">
      <c r="A607" t="s">
        <v>350</v>
      </c>
      <c r="B607" t="s">
        <v>351</v>
      </c>
      <c r="C607" t="s">
        <v>2224</v>
      </c>
      <c r="D607" s="1">
        <v>44098</v>
      </c>
      <c r="E607" s="1">
        <v>44108</v>
      </c>
      <c r="F607" s="1">
        <v>44000</v>
      </c>
      <c r="G607" s="2">
        <v>0.33333333333333331</v>
      </c>
      <c r="H607" s="3">
        <v>1</v>
      </c>
      <c r="I607" t="s">
        <v>26</v>
      </c>
      <c r="J607" s="12" t="s">
        <v>18</v>
      </c>
      <c r="K607">
        <v>1</v>
      </c>
      <c r="L607">
        <v>0</v>
      </c>
      <c r="M607" t="s">
        <v>19</v>
      </c>
      <c r="N607" s="6">
        <v>1029</v>
      </c>
      <c r="O607">
        <f>Table13[[#This Row],[Adults]]+Table13[[#This Row],[Children]]</f>
        <v>1</v>
      </c>
      <c r="P607">
        <f>_xlfn.DAYS(Table13[[#This Row],[Depart]],Table13[[#This Row],[Arrive]])</f>
        <v>10</v>
      </c>
    </row>
    <row r="608" spans="1:16" x14ac:dyDescent="0.25">
      <c r="A608" t="s">
        <v>617</v>
      </c>
      <c r="B608" t="s">
        <v>618</v>
      </c>
      <c r="C608" t="s">
        <v>2225</v>
      </c>
      <c r="D608" s="1">
        <v>44098</v>
      </c>
      <c r="E608" s="1">
        <v>44099</v>
      </c>
      <c r="F608" s="1">
        <v>44096</v>
      </c>
      <c r="G608" s="2">
        <v>0.33333333333333331</v>
      </c>
      <c r="H608" s="3">
        <v>1</v>
      </c>
      <c r="I608" t="s">
        <v>22</v>
      </c>
      <c r="J608" s="12" t="s">
        <v>23</v>
      </c>
      <c r="K608">
        <v>10</v>
      </c>
      <c r="L608">
        <v>0</v>
      </c>
      <c r="M608" t="s">
        <v>19</v>
      </c>
      <c r="N608" s="6">
        <v>215</v>
      </c>
      <c r="O608">
        <f>Table13[[#This Row],[Adults]]+Table13[[#This Row],[Children]]</f>
        <v>10</v>
      </c>
      <c r="P608">
        <f>_xlfn.DAYS(Table13[[#This Row],[Depart]],Table13[[#This Row],[Arrive]])</f>
        <v>1</v>
      </c>
    </row>
    <row r="609" spans="1:16" x14ac:dyDescent="0.25">
      <c r="A609" t="s">
        <v>811</v>
      </c>
      <c r="B609" t="s">
        <v>812</v>
      </c>
      <c r="C609" t="s">
        <v>2224</v>
      </c>
      <c r="D609" s="1">
        <v>44098</v>
      </c>
      <c r="E609" s="1">
        <v>44099</v>
      </c>
      <c r="F609" s="1">
        <v>44096</v>
      </c>
      <c r="G609" s="2">
        <v>0.33333333333333331</v>
      </c>
      <c r="H609" s="3">
        <v>1</v>
      </c>
      <c r="I609" t="s">
        <v>22</v>
      </c>
      <c r="J609" s="12" t="s">
        <v>23</v>
      </c>
      <c r="K609">
        <v>3</v>
      </c>
      <c r="L609">
        <v>0</v>
      </c>
      <c r="M609" t="s">
        <v>19</v>
      </c>
      <c r="N609" s="6">
        <v>129</v>
      </c>
      <c r="O609">
        <f>Table13[[#This Row],[Adults]]+Table13[[#This Row],[Children]]</f>
        <v>3</v>
      </c>
      <c r="P609">
        <f>_xlfn.DAYS(Table13[[#This Row],[Depart]],Table13[[#This Row],[Arrive]])</f>
        <v>1</v>
      </c>
    </row>
    <row r="610" spans="1:16" x14ac:dyDescent="0.25">
      <c r="A610" t="s">
        <v>663</v>
      </c>
      <c r="B610" t="s">
        <v>664</v>
      </c>
      <c r="C610" t="s">
        <v>2228</v>
      </c>
      <c r="D610" s="1">
        <v>44099</v>
      </c>
      <c r="E610" s="1">
        <v>44103</v>
      </c>
      <c r="F610" s="1">
        <v>44067</v>
      </c>
      <c r="G610" s="2">
        <v>0.58333333333333337</v>
      </c>
      <c r="H610" s="2">
        <v>0.45833333333333331</v>
      </c>
      <c r="I610" t="s">
        <v>22</v>
      </c>
      <c r="J610" s="12" t="s">
        <v>23</v>
      </c>
      <c r="K610">
        <v>6</v>
      </c>
      <c r="L610">
        <v>0</v>
      </c>
      <c r="M610" t="s">
        <v>19</v>
      </c>
      <c r="N610" s="6">
        <v>473</v>
      </c>
      <c r="O610">
        <f>Table13[[#This Row],[Adults]]+Table13[[#This Row],[Children]]</f>
        <v>6</v>
      </c>
      <c r="P610">
        <f>_xlfn.DAYS(Table13[[#This Row],[Depart]],Table13[[#This Row],[Arrive]])</f>
        <v>4</v>
      </c>
    </row>
    <row r="611" spans="1:16" x14ac:dyDescent="0.25">
      <c r="A611" t="s">
        <v>695</v>
      </c>
      <c r="B611" t="s">
        <v>696</v>
      </c>
      <c r="C611" t="s">
        <v>2224</v>
      </c>
      <c r="D611" s="1">
        <v>44099</v>
      </c>
      <c r="E611" s="1">
        <v>44101</v>
      </c>
      <c r="F611" s="1">
        <v>44075</v>
      </c>
      <c r="G611" s="2">
        <v>0.33333333333333331</v>
      </c>
      <c r="H611" s="3">
        <v>1</v>
      </c>
      <c r="I611" t="s">
        <v>22</v>
      </c>
      <c r="J611" s="12" t="s">
        <v>23</v>
      </c>
      <c r="K611">
        <v>6</v>
      </c>
      <c r="L611">
        <v>0</v>
      </c>
      <c r="M611" t="s">
        <v>19</v>
      </c>
      <c r="N611" s="6">
        <v>236.5</v>
      </c>
      <c r="O611">
        <f>Table13[[#This Row],[Adults]]+Table13[[#This Row],[Children]]</f>
        <v>6</v>
      </c>
      <c r="P611">
        <f>_xlfn.DAYS(Table13[[#This Row],[Depart]],Table13[[#This Row],[Arrive]])</f>
        <v>2</v>
      </c>
    </row>
    <row r="612" spans="1:16" x14ac:dyDescent="0.25">
      <c r="A612" t="s">
        <v>695</v>
      </c>
      <c r="B612" t="s">
        <v>696</v>
      </c>
      <c r="C612" t="s">
        <v>2225</v>
      </c>
      <c r="D612" s="1">
        <v>44099</v>
      </c>
      <c r="E612" s="1">
        <v>44101</v>
      </c>
      <c r="F612" s="1">
        <v>44075</v>
      </c>
      <c r="G612" s="2">
        <v>0.33333333333333331</v>
      </c>
      <c r="H612" s="3">
        <v>1</v>
      </c>
      <c r="I612" t="s">
        <v>22</v>
      </c>
      <c r="J612" s="12" t="s">
        <v>18</v>
      </c>
      <c r="K612">
        <v>6</v>
      </c>
      <c r="L612">
        <v>0</v>
      </c>
      <c r="M612" t="s">
        <v>19</v>
      </c>
      <c r="N612" s="6">
        <v>236.5</v>
      </c>
      <c r="O612">
        <f>Table13[[#This Row],[Adults]]+Table13[[#This Row],[Children]]</f>
        <v>6</v>
      </c>
      <c r="P612">
        <f>_xlfn.DAYS(Table13[[#This Row],[Depart]],Table13[[#This Row],[Arrive]])</f>
        <v>2</v>
      </c>
    </row>
    <row r="613" spans="1:16" x14ac:dyDescent="0.25">
      <c r="A613" t="s">
        <v>809</v>
      </c>
      <c r="B613" t="s">
        <v>810</v>
      </c>
      <c r="C613" t="s">
        <v>2227</v>
      </c>
      <c r="D613" s="1">
        <v>44099</v>
      </c>
      <c r="E613" s="1">
        <v>44104</v>
      </c>
      <c r="F613" s="1">
        <v>44083</v>
      </c>
      <c r="G613" s="2">
        <v>0.58333333333333337</v>
      </c>
      <c r="H613" s="2">
        <v>0.45833333333333331</v>
      </c>
      <c r="I613" t="s">
        <v>22</v>
      </c>
      <c r="J613" s="12" t="s">
        <v>23</v>
      </c>
      <c r="K613">
        <v>6</v>
      </c>
      <c r="L613">
        <v>0</v>
      </c>
      <c r="M613" t="s">
        <v>19</v>
      </c>
      <c r="N613" s="6">
        <v>940.62</v>
      </c>
      <c r="O613">
        <f>Table13[[#This Row],[Adults]]+Table13[[#This Row],[Children]]</f>
        <v>6</v>
      </c>
      <c r="P613">
        <f>_xlfn.DAYS(Table13[[#This Row],[Depart]],Table13[[#This Row],[Arrive]])</f>
        <v>5</v>
      </c>
    </row>
    <row r="614" spans="1:16" x14ac:dyDescent="0.25">
      <c r="A614" t="s">
        <v>284</v>
      </c>
      <c r="B614" t="s">
        <v>285</v>
      </c>
      <c r="C614" t="s">
        <v>2225</v>
      </c>
      <c r="D614" s="1">
        <v>44100</v>
      </c>
      <c r="E614" s="1">
        <v>44103</v>
      </c>
      <c r="F614" s="1">
        <v>44070</v>
      </c>
      <c r="G614" s="2">
        <v>0.33333333333333331</v>
      </c>
      <c r="H614" s="3">
        <v>1</v>
      </c>
      <c r="I614" t="s">
        <v>22</v>
      </c>
      <c r="J614" s="12" t="s">
        <v>18</v>
      </c>
      <c r="K614">
        <v>4</v>
      </c>
      <c r="L614">
        <v>0</v>
      </c>
      <c r="M614" t="s">
        <v>19</v>
      </c>
      <c r="N614" s="6">
        <v>354.75</v>
      </c>
      <c r="O614">
        <f>Table13[[#This Row],[Adults]]+Table13[[#This Row],[Children]]</f>
        <v>4</v>
      </c>
      <c r="P614">
        <f>_xlfn.DAYS(Table13[[#This Row],[Depart]],Table13[[#This Row],[Arrive]])</f>
        <v>3</v>
      </c>
    </row>
    <row r="615" spans="1:16" x14ac:dyDescent="0.25">
      <c r="A615" t="s">
        <v>284</v>
      </c>
      <c r="B615" t="s">
        <v>285</v>
      </c>
      <c r="C615" t="s">
        <v>2223</v>
      </c>
      <c r="D615" s="1">
        <v>44100</v>
      </c>
      <c r="E615" s="1">
        <v>44103</v>
      </c>
      <c r="F615" s="1">
        <v>44073</v>
      </c>
      <c r="G615" s="2">
        <v>0.58333333333333337</v>
      </c>
      <c r="H615" s="2">
        <v>0.45833333333333331</v>
      </c>
      <c r="I615" t="s">
        <v>22</v>
      </c>
      <c r="J615" s="12" t="s">
        <v>23</v>
      </c>
      <c r="K615">
        <v>6</v>
      </c>
      <c r="L615">
        <v>0</v>
      </c>
      <c r="M615" t="s">
        <v>19</v>
      </c>
      <c r="N615" s="6">
        <v>354.75</v>
      </c>
      <c r="O615">
        <f>Table13[[#This Row],[Adults]]+Table13[[#This Row],[Children]]</f>
        <v>6</v>
      </c>
      <c r="P615">
        <f>_xlfn.DAYS(Table13[[#This Row],[Depart]],Table13[[#This Row],[Arrive]])</f>
        <v>3</v>
      </c>
    </row>
    <row r="616" spans="1:16" x14ac:dyDescent="0.25">
      <c r="A616" t="s">
        <v>236</v>
      </c>
      <c r="B616" t="s">
        <v>237</v>
      </c>
      <c r="C616" t="s">
        <v>2225</v>
      </c>
      <c r="D616" s="1">
        <v>44101</v>
      </c>
      <c r="E616" s="1">
        <v>44104</v>
      </c>
      <c r="F616" s="1">
        <v>43970</v>
      </c>
      <c r="G616" s="2">
        <v>0.33333333333333331</v>
      </c>
      <c r="H616" s="3">
        <v>1</v>
      </c>
      <c r="I616" t="s">
        <v>26</v>
      </c>
      <c r="J616" s="12" t="s">
        <v>18</v>
      </c>
      <c r="K616">
        <v>1</v>
      </c>
      <c r="L616">
        <v>0</v>
      </c>
      <c r="M616" t="s">
        <v>19</v>
      </c>
      <c r="N616" s="6">
        <v>338</v>
      </c>
      <c r="O616">
        <f>Table13[[#This Row],[Adults]]+Table13[[#This Row],[Children]]</f>
        <v>1</v>
      </c>
      <c r="P616">
        <f>_xlfn.DAYS(Table13[[#This Row],[Depart]],Table13[[#This Row],[Arrive]])</f>
        <v>3</v>
      </c>
    </row>
    <row r="617" spans="1:16" x14ac:dyDescent="0.25">
      <c r="A617" t="s">
        <v>296</v>
      </c>
      <c r="B617" t="s">
        <v>297</v>
      </c>
      <c r="C617" t="s">
        <v>2226</v>
      </c>
      <c r="D617" s="1">
        <v>44101</v>
      </c>
      <c r="E617" s="1">
        <v>44104</v>
      </c>
      <c r="F617" s="1">
        <v>44079</v>
      </c>
      <c r="G617" s="2">
        <v>0.33333333333333331</v>
      </c>
      <c r="H617" s="3">
        <v>1</v>
      </c>
      <c r="I617" t="s">
        <v>22</v>
      </c>
      <c r="J617" s="12" t="s">
        <v>18</v>
      </c>
      <c r="K617">
        <v>4</v>
      </c>
      <c r="L617">
        <v>0</v>
      </c>
      <c r="M617" t="s">
        <v>19</v>
      </c>
      <c r="N617" s="6">
        <v>354.75</v>
      </c>
      <c r="O617">
        <f>Table13[[#This Row],[Adults]]+Table13[[#This Row],[Children]]</f>
        <v>4</v>
      </c>
      <c r="P617">
        <f>_xlfn.DAYS(Table13[[#This Row],[Depart]],Table13[[#This Row],[Arrive]])</f>
        <v>3</v>
      </c>
    </row>
    <row r="618" spans="1:16" x14ac:dyDescent="0.25">
      <c r="A618" t="s">
        <v>815</v>
      </c>
      <c r="B618" t="s">
        <v>816</v>
      </c>
      <c r="C618" t="s">
        <v>2225</v>
      </c>
      <c r="D618" s="1">
        <v>44101</v>
      </c>
      <c r="E618" s="1">
        <v>44106</v>
      </c>
      <c r="F618" s="1">
        <v>44084</v>
      </c>
      <c r="G618" s="2">
        <v>0.33333333333333331</v>
      </c>
      <c r="H618" s="3">
        <v>1</v>
      </c>
      <c r="I618" t="s">
        <v>22</v>
      </c>
      <c r="J618" s="12" t="s">
        <v>23</v>
      </c>
      <c r="K618">
        <v>3</v>
      </c>
      <c r="L618">
        <v>0</v>
      </c>
      <c r="M618" t="s">
        <v>19</v>
      </c>
      <c r="N618" s="6">
        <v>591.25</v>
      </c>
      <c r="O618">
        <f>Table13[[#This Row],[Adults]]+Table13[[#This Row],[Children]]</f>
        <v>3</v>
      </c>
      <c r="P618">
        <f>_xlfn.DAYS(Table13[[#This Row],[Depart]],Table13[[#This Row],[Arrive]])</f>
        <v>5</v>
      </c>
    </row>
    <row r="619" spans="1:16" x14ac:dyDescent="0.25">
      <c r="A619" t="s">
        <v>761</v>
      </c>
      <c r="B619" t="s">
        <v>762</v>
      </c>
      <c r="C619" t="s">
        <v>2223</v>
      </c>
      <c r="D619" s="1">
        <v>44103</v>
      </c>
      <c r="E619" s="1">
        <v>44106</v>
      </c>
      <c r="F619" s="1">
        <v>44084</v>
      </c>
      <c r="G619" s="2">
        <v>0.58333333333333337</v>
      </c>
      <c r="H619" s="2">
        <v>0.45833333333333331</v>
      </c>
      <c r="I619" t="s">
        <v>26</v>
      </c>
      <c r="J619" s="12" t="s">
        <v>18</v>
      </c>
      <c r="K619">
        <v>1</v>
      </c>
      <c r="L619">
        <v>0</v>
      </c>
      <c r="M619" t="s">
        <v>19</v>
      </c>
      <c r="N619" s="6">
        <v>324</v>
      </c>
      <c r="O619">
        <f>Table13[[#This Row],[Adults]]+Table13[[#This Row],[Children]]</f>
        <v>1</v>
      </c>
      <c r="P619">
        <f>_xlfn.DAYS(Table13[[#This Row],[Depart]],Table13[[#This Row],[Arrive]])</f>
        <v>3</v>
      </c>
    </row>
    <row r="620" spans="1:16" x14ac:dyDescent="0.25">
      <c r="A620" t="s">
        <v>805</v>
      </c>
      <c r="B620" t="s">
        <v>806</v>
      </c>
      <c r="C620" t="s">
        <v>2228</v>
      </c>
      <c r="D620" s="1">
        <v>44103</v>
      </c>
      <c r="E620" s="1">
        <v>44105</v>
      </c>
      <c r="F620" s="1">
        <v>44096</v>
      </c>
      <c r="G620" s="2">
        <v>0.58333333333333337</v>
      </c>
      <c r="H620" s="2">
        <v>0.45833333333333331</v>
      </c>
      <c r="I620" t="s">
        <v>22</v>
      </c>
      <c r="J620" s="12" t="s">
        <v>23</v>
      </c>
      <c r="K620">
        <v>4</v>
      </c>
      <c r="L620">
        <v>0</v>
      </c>
      <c r="M620" t="s">
        <v>19</v>
      </c>
      <c r="N620" s="6">
        <v>258</v>
      </c>
      <c r="O620">
        <f>Table13[[#This Row],[Adults]]+Table13[[#This Row],[Children]]</f>
        <v>4</v>
      </c>
      <c r="P620">
        <f>_xlfn.DAYS(Table13[[#This Row],[Depart]],Table13[[#This Row],[Arrive]])</f>
        <v>2</v>
      </c>
    </row>
    <row r="621" spans="1:16" x14ac:dyDescent="0.25">
      <c r="A621" t="s">
        <v>31</v>
      </c>
      <c r="B621" t="s">
        <v>32</v>
      </c>
      <c r="C621" t="s">
        <v>2224</v>
      </c>
      <c r="D621" s="1">
        <v>44103</v>
      </c>
      <c r="E621" s="1">
        <v>44105</v>
      </c>
      <c r="F621" s="1">
        <v>44097</v>
      </c>
      <c r="G621" s="2">
        <v>0.33333333333333331</v>
      </c>
      <c r="H621" s="3">
        <v>1</v>
      </c>
      <c r="I621" t="s">
        <v>22</v>
      </c>
      <c r="J621" s="12" t="s">
        <v>23</v>
      </c>
      <c r="K621">
        <v>3</v>
      </c>
      <c r="L621">
        <v>0</v>
      </c>
      <c r="M621" t="s">
        <v>19</v>
      </c>
      <c r="N621" s="6">
        <v>258</v>
      </c>
      <c r="O621">
        <f>Table13[[#This Row],[Adults]]+Table13[[#This Row],[Children]]</f>
        <v>3</v>
      </c>
      <c r="P621">
        <f>_xlfn.DAYS(Table13[[#This Row],[Depart]],Table13[[#This Row],[Arrive]])</f>
        <v>2</v>
      </c>
    </row>
    <row r="622" spans="1:16" x14ac:dyDescent="0.25">
      <c r="A622" t="s">
        <v>771</v>
      </c>
      <c r="B622" t="s">
        <v>772</v>
      </c>
      <c r="C622" t="s">
        <v>2229</v>
      </c>
      <c r="D622" s="1">
        <v>44105</v>
      </c>
      <c r="E622" s="1">
        <v>44107</v>
      </c>
      <c r="F622" s="1">
        <v>44085</v>
      </c>
      <c r="G622" s="2">
        <v>0.45833333333333331</v>
      </c>
      <c r="H622" s="2">
        <v>0.41666666666666669</v>
      </c>
      <c r="I622" t="s">
        <v>26</v>
      </c>
      <c r="J622" s="12" t="s">
        <v>18</v>
      </c>
      <c r="K622">
        <v>3</v>
      </c>
      <c r="L622">
        <v>0</v>
      </c>
      <c r="M622" t="s">
        <v>19</v>
      </c>
      <c r="N622" s="6">
        <v>247</v>
      </c>
      <c r="O622">
        <f>Table13[[#This Row],[Adults]]+Table13[[#This Row],[Children]]</f>
        <v>3</v>
      </c>
      <c r="P622">
        <f>_xlfn.DAYS(Table13[[#This Row],[Depart]],Table13[[#This Row],[Arrive]])</f>
        <v>2</v>
      </c>
    </row>
    <row r="623" spans="1:16" x14ac:dyDescent="0.25">
      <c r="A623" t="s">
        <v>825</v>
      </c>
      <c r="B623" t="s">
        <v>826</v>
      </c>
      <c r="C623" t="s">
        <v>2223</v>
      </c>
      <c r="D623" s="1">
        <v>44105</v>
      </c>
      <c r="E623" s="1">
        <v>44106</v>
      </c>
      <c r="F623" s="1">
        <v>44098</v>
      </c>
      <c r="G623" s="2">
        <v>0.58333333333333337</v>
      </c>
      <c r="H623" s="2">
        <v>0.45833333333333331</v>
      </c>
      <c r="I623" t="s">
        <v>22</v>
      </c>
      <c r="J623" s="12" t="s">
        <v>23</v>
      </c>
      <c r="K623">
        <v>4</v>
      </c>
      <c r="L623">
        <v>0</v>
      </c>
      <c r="M623" t="s">
        <v>19</v>
      </c>
      <c r="N623" s="6">
        <v>129</v>
      </c>
      <c r="O623">
        <f>Table13[[#This Row],[Adults]]+Table13[[#This Row],[Children]]</f>
        <v>4</v>
      </c>
      <c r="P623">
        <f>_xlfn.DAYS(Table13[[#This Row],[Depart]],Table13[[#This Row],[Arrive]])</f>
        <v>1</v>
      </c>
    </row>
    <row r="624" spans="1:16" x14ac:dyDescent="0.25">
      <c r="A624" t="s">
        <v>831</v>
      </c>
      <c r="B624" s="5" t="s">
        <v>832</v>
      </c>
      <c r="C624" t="s">
        <v>2228</v>
      </c>
      <c r="D624" s="1">
        <v>44105</v>
      </c>
      <c r="E624" s="1">
        <v>44107</v>
      </c>
      <c r="F624" s="1">
        <v>44105</v>
      </c>
      <c r="G624" s="2">
        <v>0.58333333333333337</v>
      </c>
      <c r="H624" s="2">
        <v>0.45833333333333331</v>
      </c>
      <c r="I624" t="s">
        <v>22</v>
      </c>
      <c r="J624" s="12" t="s">
        <v>18</v>
      </c>
      <c r="K624">
        <v>4</v>
      </c>
      <c r="L624">
        <v>0</v>
      </c>
      <c r="M624" t="s">
        <v>19</v>
      </c>
      <c r="N624" s="6">
        <v>258</v>
      </c>
      <c r="O624">
        <f>Table13[[#This Row],[Adults]]+Table13[[#This Row],[Children]]</f>
        <v>4</v>
      </c>
      <c r="P624">
        <f>_xlfn.DAYS(Table13[[#This Row],[Depart]],Table13[[#This Row],[Arrive]])</f>
        <v>2</v>
      </c>
    </row>
    <row r="625" spans="1:16" x14ac:dyDescent="0.25">
      <c r="A625" t="s">
        <v>831</v>
      </c>
      <c r="B625" t="s">
        <v>832</v>
      </c>
      <c r="C625" t="s">
        <v>2228</v>
      </c>
      <c r="D625" s="1">
        <v>44105</v>
      </c>
      <c r="E625" s="1">
        <v>44107</v>
      </c>
      <c r="F625" s="1">
        <v>44105</v>
      </c>
      <c r="G625" s="2">
        <v>0.58333333333333337</v>
      </c>
      <c r="H625" s="2">
        <v>0.45833333333333331</v>
      </c>
      <c r="I625" t="s">
        <v>26</v>
      </c>
      <c r="J625" s="12" t="s">
        <v>23</v>
      </c>
      <c r="K625">
        <v>4</v>
      </c>
      <c r="L625">
        <v>0</v>
      </c>
      <c r="M625" t="s">
        <v>19</v>
      </c>
      <c r="N625" s="6">
        <v>258</v>
      </c>
      <c r="O625">
        <f>Table13[[#This Row],[Adults]]+Table13[[#This Row],[Children]]</f>
        <v>4</v>
      </c>
      <c r="P625">
        <f>_xlfn.DAYS(Table13[[#This Row],[Depart]],Table13[[#This Row],[Arrive]])</f>
        <v>2</v>
      </c>
    </row>
    <row r="626" spans="1:16" x14ac:dyDescent="0.25">
      <c r="A626" t="s">
        <v>813</v>
      </c>
      <c r="B626" t="s">
        <v>814</v>
      </c>
      <c r="C626" t="s">
        <v>2225</v>
      </c>
      <c r="D626" s="1">
        <v>44106</v>
      </c>
      <c r="E626" s="1">
        <v>44107</v>
      </c>
      <c r="F626" s="1">
        <v>44099</v>
      </c>
      <c r="G626" s="2">
        <v>0.33333333333333331</v>
      </c>
      <c r="H626" s="3">
        <v>1</v>
      </c>
      <c r="I626" t="s">
        <v>22</v>
      </c>
      <c r="J626" s="12" t="s">
        <v>23</v>
      </c>
      <c r="K626">
        <v>6</v>
      </c>
      <c r="L626">
        <v>0</v>
      </c>
      <c r="M626" t="s">
        <v>19</v>
      </c>
      <c r="N626" s="6">
        <v>129</v>
      </c>
      <c r="O626">
        <f>Table13[[#This Row],[Adults]]+Table13[[#This Row],[Children]]</f>
        <v>6</v>
      </c>
      <c r="P626">
        <f>_xlfn.DAYS(Table13[[#This Row],[Depart]],Table13[[#This Row],[Arrive]])</f>
        <v>1</v>
      </c>
    </row>
    <row r="627" spans="1:16" x14ac:dyDescent="0.25">
      <c r="A627" t="s">
        <v>821</v>
      </c>
      <c r="B627" t="s">
        <v>822</v>
      </c>
      <c r="C627" t="s">
        <v>2226</v>
      </c>
      <c r="D627" s="1">
        <v>44106</v>
      </c>
      <c r="E627" s="1">
        <v>44108</v>
      </c>
      <c r="F627" s="1">
        <v>44076</v>
      </c>
      <c r="G627" s="2">
        <v>0.33333333333333331</v>
      </c>
      <c r="H627" s="3">
        <v>1</v>
      </c>
      <c r="I627" t="s">
        <v>22</v>
      </c>
      <c r="J627" s="12" t="s">
        <v>23</v>
      </c>
      <c r="K627">
        <v>4</v>
      </c>
      <c r="L627">
        <v>0</v>
      </c>
      <c r="M627" t="s">
        <v>19</v>
      </c>
      <c r="N627" s="6">
        <v>258</v>
      </c>
      <c r="O627">
        <f>Table13[[#This Row],[Adults]]+Table13[[#This Row],[Children]]</f>
        <v>4</v>
      </c>
      <c r="P627">
        <f>_xlfn.DAYS(Table13[[#This Row],[Depart]],Table13[[#This Row],[Arrive]])</f>
        <v>2</v>
      </c>
    </row>
    <row r="628" spans="1:16" x14ac:dyDescent="0.25">
      <c r="A628" t="s">
        <v>589</v>
      </c>
      <c r="B628" t="s">
        <v>590</v>
      </c>
      <c r="C628" t="s">
        <v>2227</v>
      </c>
      <c r="D628" s="1">
        <v>44106</v>
      </c>
      <c r="E628" s="1">
        <v>44108</v>
      </c>
      <c r="F628" s="1">
        <v>44094</v>
      </c>
      <c r="G628" s="2">
        <v>0.58333333333333337</v>
      </c>
      <c r="H628" s="2">
        <v>0.45833333333333331</v>
      </c>
      <c r="I628" t="s">
        <v>22</v>
      </c>
      <c r="J628" s="12" t="s">
        <v>23</v>
      </c>
      <c r="K628">
        <v>5</v>
      </c>
      <c r="L628">
        <v>0</v>
      </c>
      <c r="M628" t="s">
        <v>19</v>
      </c>
      <c r="N628" s="6">
        <v>376.25</v>
      </c>
      <c r="O628">
        <f>Table13[[#This Row],[Adults]]+Table13[[#This Row],[Children]]</f>
        <v>5</v>
      </c>
      <c r="P628">
        <f>_xlfn.DAYS(Table13[[#This Row],[Depart]],Table13[[#This Row],[Arrive]])</f>
        <v>2</v>
      </c>
    </row>
    <row r="629" spans="1:16" x14ac:dyDescent="0.25">
      <c r="A629" t="s">
        <v>793</v>
      </c>
      <c r="B629" t="s">
        <v>794</v>
      </c>
      <c r="C629" t="s">
        <v>2225</v>
      </c>
      <c r="D629" s="1">
        <v>44107</v>
      </c>
      <c r="E629" s="1">
        <v>44109</v>
      </c>
      <c r="F629" s="1">
        <v>44091</v>
      </c>
      <c r="G629" s="2">
        <v>0.33333333333333331</v>
      </c>
      <c r="H629" s="3">
        <v>1</v>
      </c>
      <c r="I629" t="s">
        <v>22</v>
      </c>
      <c r="J629" s="12" t="s">
        <v>23</v>
      </c>
      <c r="K629">
        <v>5</v>
      </c>
      <c r="L629">
        <v>0</v>
      </c>
      <c r="M629" t="s">
        <v>19</v>
      </c>
      <c r="N629" s="6">
        <v>258</v>
      </c>
      <c r="O629">
        <f>Table13[[#This Row],[Adults]]+Table13[[#This Row],[Children]]</f>
        <v>5</v>
      </c>
      <c r="P629">
        <f>_xlfn.DAYS(Table13[[#This Row],[Depart]],Table13[[#This Row],[Arrive]])</f>
        <v>2</v>
      </c>
    </row>
    <row r="630" spans="1:16" x14ac:dyDescent="0.25">
      <c r="A630" t="s">
        <v>589</v>
      </c>
      <c r="B630" t="s">
        <v>590</v>
      </c>
      <c r="C630" t="s">
        <v>2229</v>
      </c>
      <c r="D630" s="1">
        <v>44107</v>
      </c>
      <c r="E630" s="1">
        <v>44109</v>
      </c>
      <c r="F630" s="1">
        <v>44106</v>
      </c>
      <c r="G630" s="2">
        <v>0.58333333333333337</v>
      </c>
      <c r="H630" s="2">
        <v>0.5</v>
      </c>
      <c r="I630" t="s">
        <v>22</v>
      </c>
      <c r="J630" s="12" t="s">
        <v>23</v>
      </c>
      <c r="K630">
        <v>5</v>
      </c>
      <c r="L630">
        <v>0</v>
      </c>
      <c r="M630" t="s">
        <v>19</v>
      </c>
      <c r="N630" s="6">
        <v>376.25</v>
      </c>
      <c r="O630">
        <f>Table13[[#This Row],[Adults]]+Table13[[#This Row],[Children]]</f>
        <v>5</v>
      </c>
      <c r="P630">
        <f>_xlfn.DAYS(Table13[[#This Row],[Depart]],Table13[[#This Row],[Arrive]])</f>
        <v>2</v>
      </c>
    </row>
    <row r="631" spans="1:16" x14ac:dyDescent="0.25">
      <c r="A631" t="s">
        <v>416</v>
      </c>
      <c r="B631" t="s">
        <v>417</v>
      </c>
      <c r="C631" t="s">
        <v>2227</v>
      </c>
      <c r="D631" s="1">
        <v>44108</v>
      </c>
      <c r="E631" s="1">
        <v>44119</v>
      </c>
      <c r="F631" s="1">
        <v>44097</v>
      </c>
      <c r="G631" s="2">
        <v>0.58333333333333337</v>
      </c>
      <c r="H631" s="2">
        <v>0.45833333333333331</v>
      </c>
      <c r="I631" t="s">
        <v>22</v>
      </c>
      <c r="J631" s="12" t="s">
        <v>18</v>
      </c>
      <c r="K631">
        <v>3</v>
      </c>
      <c r="L631">
        <v>0</v>
      </c>
      <c r="M631" t="s">
        <v>19</v>
      </c>
      <c r="N631" s="6">
        <v>2069.38</v>
      </c>
      <c r="O631">
        <f>Table13[[#This Row],[Adults]]+Table13[[#This Row],[Children]]</f>
        <v>3</v>
      </c>
      <c r="P631">
        <f>_xlfn.DAYS(Table13[[#This Row],[Depart]],Table13[[#This Row],[Arrive]])</f>
        <v>11</v>
      </c>
    </row>
    <row r="632" spans="1:16" x14ac:dyDescent="0.25">
      <c r="A632" t="s">
        <v>823</v>
      </c>
      <c r="B632" t="s">
        <v>824</v>
      </c>
      <c r="C632" t="s">
        <v>2223</v>
      </c>
      <c r="D632" s="1">
        <v>44108</v>
      </c>
      <c r="E632" s="1">
        <v>44109</v>
      </c>
      <c r="F632" s="1">
        <v>44104</v>
      </c>
      <c r="G632" s="2">
        <v>0.58333333333333337</v>
      </c>
      <c r="H632" s="2">
        <v>0.45833333333333331</v>
      </c>
      <c r="I632" t="s">
        <v>22</v>
      </c>
      <c r="J632" s="12" t="s">
        <v>23</v>
      </c>
      <c r="K632">
        <v>4</v>
      </c>
      <c r="L632">
        <v>0</v>
      </c>
      <c r="M632" t="s">
        <v>19</v>
      </c>
      <c r="N632" s="6">
        <v>129</v>
      </c>
      <c r="O632">
        <f>Table13[[#This Row],[Adults]]+Table13[[#This Row],[Children]]</f>
        <v>4</v>
      </c>
      <c r="P632">
        <f>_xlfn.DAYS(Table13[[#This Row],[Depart]],Table13[[#This Row],[Arrive]])</f>
        <v>1</v>
      </c>
    </row>
    <row r="633" spans="1:16" x14ac:dyDescent="0.25">
      <c r="A633" t="s">
        <v>685</v>
      </c>
      <c r="B633" t="s">
        <v>686</v>
      </c>
      <c r="C633" t="s">
        <v>2226</v>
      </c>
      <c r="D633" s="1">
        <v>44108</v>
      </c>
      <c r="E633" s="1">
        <v>44109</v>
      </c>
      <c r="F633" s="1">
        <v>44087</v>
      </c>
      <c r="G633" s="2">
        <v>0.33333333333333331</v>
      </c>
      <c r="H633" s="3">
        <v>1</v>
      </c>
      <c r="I633" t="s">
        <v>22</v>
      </c>
      <c r="J633" s="12" t="s">
        <v>18</v>
      </c>
      <c r="K633">
        <v>5</v>
      </c>
      <c r="L633">
        <v>0</v>
      </c>
      <c r="M633" t="s">
        <v>19</v>
      </c>
      <c r="N633" s="6">
        <v>129</v>
      </c>
      <c r="O633">
        <f>Table13[[#This Row],[Adults]]+Table13[[#This Row],[Children]]</f>
        <v>5</v>
      </c>
      <c r="P633">
        <f>_xlfn.DAYS(Table13[[#This Row],[Depart]],Table13[[#This Row],[Arrive]])</f>
        <v>1</v>
      </c>
    </row>
    <row r="634" spans="1:16" x14ac:dyDescent="0.25">
      <c r="A634" t="s">
        <v>841</v>
      </c>
      <c r="B634" t="s">
        <v>842</v>
      </c>
      <c r="C634" t="s">
        <v>2226</v>
      </c>
      <c r="D634" s="1">
        <v>44108</v>
      </c>
      <c r="E634" s="1">
        <v>44109</v>
      </c>
      <c r="F634" s="1">
        <v>44106</v>
      </c>
      <c r="G634" s="2">
        <v>0.5</v>
      </c>
      <c r="H634" s="2">
        <v>0.58333333333333337</v>
      </c>
      <c r="I634" t="s">
        <v>22</v>
      </c>
      <c r="J634" s="12" t="s">
        <v>23</v>
      </c>
      <c r="K634">
        <v>4</v>
      </c>
      <c r="L634">
        <v>0</v>
      </c>
      <c r="M634" t="s">
        <v>19</v>
      </c>
      <c r="N634" s="6">
        <v>129</v>
      </c>
      <c r="O634">
        <f>Table13[[#This Row],[Adults]]+Table13[[#This Row],[Children]]</f>
        <v>4</v>
      </c>
      <c r="P634">
        <f>_xlfn.DAYS(Table13[[#This Row],[Depart]],Table13[[#This Row],[Arrive]])</f>
        <v>1</v>
      </c>
    </row>
    <row r="635" spans="1:16" x14ac:dyDescent="0.25">
      <c r="A635" t="s">
        <v>847</v>
      </c>
      <c r="B635" t="s">
        <v>848</v>
      </c>
      <c r="C635" t="s">
        <v>2227</v>
      </c>
      <c r="D635" s="1">
        <v>44108</v>
      </c>
      <c r="E635" s="1">
        <v>44112</v>
      </c>
      <c r="F635" s="1">
        <v>44102</v>
      </c>
      <c r="G635" s="2">
        <v>0.58333333333333337</v>
      </c>
      <c r="H635" s="2">
        <v>0.45833333333333331</v>
      </c>
      <c r="I635" t="s">
        <v>22</v>
      </c>
      <c r="J635" s="12" t="s">
        <v>23</v>
      </c>
      <c r="K635">
        <v>4</v>
      </c>
      <c r="L635">
        <v>0</v>
      </c>
      <c r="M635" t="s">
        <v>19</v>
      </c>
      <c r="N635" s="6">
        <v>752.5</v>
      </c>
      <c r="O635">
        <f>Table13[[#This Row],[Adults]]+Table13[[#This Row],[Children]]</f>
        <v>4</v>
      </c>
      <c r="P635">
        <f>_xlfn.DAYS(Table13[[#This Row],[Depart]],Table13[[#This Row],[Arrive]])</f>
        <v>4</v>
      </c>
    </row>
    <row r="636" spans="1:16" x14ac:dyDescent="0.25">
      <c r="A636" t="s">
        <v>751</v>
      </c>
      <c r="B636" t="s">
        <v>752</v>
      </c>
      <c r="C636" t="s">
        <v>2223</v>
      </c>
      <c r="D636" s="1">
        <v>44109</v>
      </c>
      <c r="E636" s="1">
        <v>44111</v>
      </c>
      <c r="F636" s="1">
        <v>44084</v>
      </c>
      <c r="G636" s="2">
        <v>0.58333333333333337</v>
      </c>
      <c r="H636" s="2">
        <v>0.45833333333333331</v>
      </c>
      <c r="I636" t="s">
        <v>22</v>
      </c>
      <c r="J636" s="12" t="s">
        <v>23</v>
      </c>
      <c r="K636">
        <v>4</v>
      </c>
      <c r="L636">
        <v>0</v>
      </c>
      <c r="M636" t="s">
        <v>19</v>
      </c>
      <c r="N636" s="6">
        <v>236.5</v>
      </c>
      <c r="O636">
        <f>Table13[[#This Row],[Adults]]+Table13[[#This Row],[Children]]</f>
        <v>4</v>
      </c>
      <c r="P636">
        <f>_xlfn.DAYS(Table13[[#This Row],[Depart]],Table13[[#This Row],[Arrive]])</f>
        <v>2</v>
      </c>
    </row>
    <row r="637" spans="1:16" x14ac:dyDescent="0.25">
      <c r="A637" t="s">
        <v>667</v>
      </c>
      <c r="B637" t="s">
        <v>668</v>
      </c>
      <c r="C637" t="s">
        <v>2225</v>
      </c>
      <c r="D637" s="1">
        <v>44109</v>
      </c>
      <c r="E637" s="1">
        <v>44113</v>
      </c>
      <c r="F637" s="1">
        <v>44091</v>
      </c>
      <c r="G637" s="2">
        <v>0.33333333333333331</v>
      </c>
      <c r="H637" s="3">
        <v>1</v>
      </c>
      <c r="I637" t="s">
        <v>22</v>
      </c>
      <c r="J637" s="12" t="s">
        <v>18</v>
      </c>
      <c r="K637">
        <v>3</v>
      </c>
      <c r="L637">
        <v>0</v>
      </c>
      <c r="M637" t="s">
        <v>19</v>
      </c>
      <c r="N637" s="6">
        <v>516</v>
      </c>
      <c r="O637">
        <f>Table13[[#This Row],[Adults]]+Table13[[#This Row],[Children]]</f>
        <v>3</v>
      </c>
      <c r="P637">
        <f>_xlfn.DAYS(Table13[[#This Row],[Depart]],Table13[[#This Row],[Arrive]])</f>
        <v>4</v>
      </c>
    </row>
    <row r="638" spans="1:16" x14ac:dyDescent="0.25">
      <c r="A638" t="s">
        <v>807</v>
      </c>
      <c r="B638" t="s">
        <v>808</v>
      </c>
      <c r="C638" t="s">
        <v>2224</v>
      </c>
      <c r="D638" s="1">
        <v>44109</v>
      </c>
      <c r="E638" s="1">
        <v>44111</v>
      </c>
      <c r="F638" s="1">
        <v>44097</v>
      </c>
      <c r="G638" s="2">
        <v>0.33333333333333331</v>
      </c>
      <c r="H638" s="3">
        <v>1</v>
      </c>
      <c r="I638" t="s">
        <v>26</v>
      </c>
      <c r="J638" s="12" t="s">
        <v>18</v>
      </c>
      <c r="K638">
        <v>1</v>
      </c>
      <c r="L638">
        <v>0</v>
      </c>
      <c r="M638" t="s">
        <v>19</v>
      </c>
      <c r="N638" s="6">
        <v>235</v>
      </c>
      <c r="O638">
        <f>Table13[[#This Row],[Adults]]+Table13[[#This Row],[Children]]</f>
        <v>1</v>
      </c>
      <c r="P638">
        <f>_xlfn.DAYS(Table13[[#This Row],[Depart]],Table13[[#This Row],[Arrive]])</f>
        <v>2</v>
      </c>
    </row>
    <row r="639" spans="1:16" x14ac:dyDescent="0.25">
      <c r="A639" t="s">
        <v>807</v>
      </c>
      <c r="B639" t="s">
        <v>808</v>
      </c>
      <c r="C639" t="s">
        <v>2225</v>
      </c>
      <c r="D639" s="1">
        <v>44109</v>
      </c>
      <c r="E639" s="1">
        <v>44111</v>
      </c>
      <c r="F639" s="1">
        <v>44097</v>
      </c>
      <c r="G639" s="2">
        <v>0.33333333333333331</v>
      </c>
      <c r="H639" s="3">
        <v>1</v>
      </c>
      <c r="I639" t="s">
        <v>26</v>
      </c>
      <c r="J639" s="12" t="s">
        <v>18</v>
      </c>
      <c r="K639">
        <v>1</v>
      </c>
      <c r="L639">
        <v>0</v>
      </c>
      <c r="M639" t="s">
        <v>19</v>
      </c>
      <c r="N639" s="6">
        <v>255</v>
      </c>
      <c r="O639">
        <f>Table13[[#This Row],[Adults]]+Table13[[#This Row],[Children]]</f>
        <v>1</v>
      </c>
      <c r="P639">
        <f>_xlfn.DAYS(Table13[[#This Row],[Depart]],Table13[[#This Row],[Arrive]])</f>
        <v>2</v>
      </c>
    </row>
    <row r="640" spans="1:16" x14ac:dyDescent="0.25">
      <c r="A640" t="s">
        <v>817</v>
      </c>
      <c r="B640" t="s">
        <v>818</v>
      </c>
      <c r="C640" t="s">
        <v>2224</v>
      </c>
      <c r="D640" s="1">
        <v>44109</v>
      </c>
      <c r="E640" s="1">
        <v>44120</v>
      </c>
      <c r="F640" s="1">
        <v>44101</v>
      </c>
      <c r="G640" s="2">
        <v>0.33333333333333331</v>
      </c>
      <c r="H640" s="3">
        <v>1</v>
      </c>
      <c r="I640" t="s">
        <v>26</v>
      </c>
      <c r="J640" s="12" t="s">
        <v>18</v>
      </c>
      <c r="K640">
        <v>2</v>
      </c>
      <c r="L640">
        <v>0</v>
      </c>
      <c r="M640" t="s">
        <v>19</v>
      </c>
      <c r="N640" s="6">
        <v>1268</v>
      </c>
      <c r="O640">
        <f>Table13[[#This Row],[Adults]]+Table13[[#This Row],[Children]]</f>
        <v>2</v>
      </c>
      <c r="P640">
        <f>_xlfn.DAYS(Table13[[#This Row],[Depart]],Table13[[#This Row],[Arrive]])</f>
        <v>11</v>
      </c>
    </row>
    <row r="641" spans="1:16" x14ac:dyDescent="0.25">
      <c r="A641" t="s">
        <v>478</v>
      </c>
      <c r="B641" t="s">
        <v>479</v>
      </c>
      <c r="C641" t="s">
        <v>2226</v>
      </c>
      <c r="D641" s="1">
        <v>44109</v>
      </c>
      <c r="E641" s="1">
        <v>44111</v>
      </c>
      <c r="F641" s="1">
        <v>44077</v>
      </c>
      <c r="G641" s="2">
        <v>0.33333333333333331</v>
      </c>
      <c r="H641" s="3">
        <v>1</v>
      </c>
      <c r="I641" t="s">
        <v>22</v>
      </c>
      <c r="J641" s="12" t="s">
        <v>23</v>
      </c>
      <c r="K641">
        <v>4</v>
      </c>
      <c r="L641">
        <v>0</v>
      </c>
      <c r="M641" t="s">
        <v>19</v>
      </c>
      <c r="N641" s="6">
        <v>258</v>
      </c>
      <c r="O641">
        <f>Table13[[#This Row],[Adults]]+Table13[[#This Row],[Children]]</f>
        <v>4</v>
      </c>
      <c r="P641">
        <f>_xlfn.DAYS(Table13[[#This Row],[Depart]],Table13[[#This Row],[Arrive]])</f>
        <v>2</v>
      </c>
    </row>
    <row r="642" spans="1:16" x14ac:dyDescent="0.25">
      <c r="A642" t="s">
        <v>416</v>
      </c>
      <c r="B642" t="s">
        <v>417</v>
      </c>
      <c r="C642" t="s">
        <v>2229</v>
      </c>
      <c r="D642" s="1">
        <v>44109</v>
      </c>
      <c r="E642" s="1">
        <v>44113</v>
      </c>
      <c r="F642" s="1">
        <v>44077</v>
      </c>
      <c r="G642" s="2">
        <v>0.58333333333333337</v>
      </c>
      <c r="H642" s="2">
        <v>0.5</v>
      </c>
      <c r="I642" t="s">
        <v>22</v>
      </c>
      <c r="J642" s="12" t="s">
        <v>18</v>
      </c>
      <c r="K642">
        <v>4</v>
      </c>
      <c r="L642">
        <v>0</v>
      </c>
      <c r="M642" t="s">
        <v>19</v>
      </c>
      <c r="N642" s="6">
        <v>752.5</v>
      </c>
      <c r="O642">
        <f>Table13[[#This Row],[Adults]]+Table13[[#This Row],[Children]]</f>
        <v>4</v>
      </c>
      <c r="P642">
        <f>_xlfn.DAYS(Table13[[#This Row],[Depart]],Table13[[#This Row],[Arrive]])</f>
        <v>4</v>
      </c>
    </row>
    <row r="643" spans="1:16" x14ac:dyDescent="0.25">
      <c r="A643" t="s">
        <v>857</v>
      </c>
      <c r="B643" t="s">
        <v>858</v>
      </c>
      <c r="C643" t="s">
        <v>2225</v>
      </c>
      <c r="D643" s="1">
        <v>44109</v>
      </c>
      <c r="E643" s="1">
        <v>44110</v>
      </c>
      <c r="F643" s="1">
        <v>44110</v>
      </c>
      <c r="G643" s="2">
        <v>0.33333333333333331</v>
      </c>
      <c r="H643" s="3">
        <v>1</v>
      </c>
      <c r="I643" t="s">
        <v>22</v>
      </c>
      <c r="J643" s="12" t="s">
        <v>23</v>
      </c>
      <c r="K643">
        <v>2</v>
      </c>
      <c r="L643">
        <v>0</v>
      </c>
      <c r="M643" t="s">
        <v>19</v>
      </c>
      <c r="N643" s="6">
        <v>129</v>
      </c>
      <c r="O643">
        <f>Table13[[#This Row],[Adults]]+Table13[[#This Row],[Children]]</f>
        <v>2</v>
      </c>
      <c r="P643">
        <f>_xlfn.DAYS(Table13[[#This Row],[Depart]],Table13[[#This Row],[Arrive]])</f>
        <v>1</v>
      </c>
    </row>
    <row r="644" spans="1:16" x14ac:dyDescent="0.25">
      <c r="A644" t="s">
        <v>863</v>
      </c>
      <c r="B644" t="s">
        <v>864</v>
      </c>
      <c r="C644" t="s">
        <v>2229</v>
      </c>
      <c r="D644" s="1">
        <v>44110</v>
      </c>
      <c r="E644" s="1">
        <v>44113</v>
      </c>
      <c r="F644" s="1">
        <v>44109</v>
      </c>
      <c r="G644" s="2">
        <v>0.58333333333333337</v>
      </c>
      <c r="H644" s="2">
        <v>0.5</v>
      </c>
      <c r="I644" t="s">
        <v>22</v>
      </c>
      <c r="J644" s="12" t="s">
        <v>23</v>
      </c>
      <c r="K644">
        <v>6</v>
      </c>
      <c r="L644">
        <v>0</v>
      </c>
      <c r="M644" t="s">
        <v>19</v>
      </c>
      <c r="N644" s="6">
        <v>564.38</v>
      </c>
      <c r="O644">
        <f>Table13[[#This Row],[Adults]]+Table13[[#This Row],[Children]]</f>
        <v>6</v>
      </c>
      <c r="P644">
        <f>_xlfn.DAYS(Table13[[#This Row],[Depart]],Table13[[#This Row],[Arrive]])</f>
        <v>3</v>
      </c>
    </row>
    <row r="645" spans="1:16" x14ac:dyDescent="0.25">
      <c r="A645" t="s">
        <v>865</v>
      </c>
      <c r="B645" t="s">
        <v>866</v>
      </c>
      <c r="C645" t="s">
        <v>2224</v>
      </c>
      <c r="D645" s="1">
        <v>44110</v>
      </c>
      <c r="E645" s="1">
        <v>44111</v>
      </c>
      <c r="F645" s="1">
        <v>44104</v>
      </c>
      <c r="G645" s="2">
        <v>0.33333333333333331</v>
      </c>
      <c r="H645" s="3">
        <v>1</v>
      </c>
      <c r="I645" t="s">
        <v>22</v>
      </c>
      <c r="J645" s="12" t="s">
        <v>23</v>
      </c>
      <c r="K645">
        <v>6</v>
      </c>
      <c r="L645">
        <v>0</v>
      </c>
      <c r="M645" t="s">
        <v>19</v>
      </c>
      <c r="N645" s="6">
        <v>129</v>
      </c>
      <c r="O645">
        <f>Table13[[#This Row],[Adults]]+Table13[[#This Row],[Children]]</f>
        <v>6</v>
      </c>
      <c r="P645">
        <f>_xlfn.DAYS(Table13[[#This Row],[Depart]],Table13[[#This Row],[Arrive]])</f>
        <v>1</v>
      </c>
    </row>
    <row r="646" spans="1:16" x14ac:dyDescent="0.25">
      <c r="A646" t="s">
        <v>673</v>
      </c>
      <c r="B646" t="s">
        <v>674</v>
      </c>
      <c r="C646" t="s">
        <v>2226</v>
      </c>
      <c r="D646" s="1">
        <v>44111</v>
      </c>
      <c r="E646" s="1">
        <v>44117</v>
      </c>
      <c r="F646" s="1">
        <v>44070</v>
      </c>
      <c r="G646" s="2">
        <v>0.33333333333333331</v>
      </c>
      <c r="H646" s="3">
        <v>1</v>
      </c>
      <c r="I646" t="s">
        <v>22</v>
      </c>
      <c r="J646" s="12" t="s">
        <v>23</v>
      </c>
      <c r="K646">
        <v>6</v>
      </c>
      <c r="L646">
        <v>0</v>
      </c>
      <c r="M646" t="s">
        <v>19</v>
      </c>
      <c r="N646" s="6">
        <v>709.5</v>
      </c>
      <c r="O646">
        <f>Table13[[#This Row],[Adults]]+Table13[[#This Row],[Children]]</f>
        <v>6</v>
      </c>
      <c r="P646">
        <f>_xlfn.DAYS(Table13[[#This Row],[Depart]],Table13[[#This Row],[Arrive]])</f>
        <v>6</v>
      </c>
    </row>
    <row r="647" spans="1:16" x14ac:dyDescent="0.25">
      <c r="A647" t="s">
        <v>827</v>
      </c>
      <c r="B647" t="s">
        <v>828</v>
      </c>
      <c r="C647" t="s">
        <v>2229</v>
      </c>
      <c r="D647" s="1">
        <v>44111</v>
      </c>
      <c r="E647" s="1">
        <v>44112</v>
      </c>
      <c r="F647" s="1">
        <v>44103</v>
      </c>
      <c r="G647" s="2">
        <v>0.58333333333333337</v>
      </c>
      <c r="H647" s="2">
        <v>0.5</v>
      </c>
      <c r="I647" t="s">
        <v>26</v>
      </c>
      <c r="J647" s="12" t="s">
        <v>18</v>
      </c>
      <c r="K647">
        <v>1</v>
      </c>
      <c r="L647">
        <v>0</v>
      </c>
      <c r="M647" t="s">
        <v>19</v>
      </c>
      <c r="N647" s="6">
        <v>192</v>
      </c>
      <c r="O647">
        <f>Table13[[#This Row],[Adults]]+Table13[[#This Row],[Children]]</f>
        <v>1</v>
      </c>
      <c r="P647">
        <f>_xlfn.DAYS(Table13[[#This Row],[Depart]],Table13[[#This Row],[Arrive]])</f>
        <v>1</v>
      </c>
    </row>
    <row r="648" spans="1:16" x14ac:dyDescent="0.25">
      <c r="A648" t="s">
        <v>589</v>
      </c>
      <c r="B648" t="s">
        <v>590</v>
      </c>
      <c r="C648" t="s">
        <v>2223</v>
      </c>
      <c r="D648" s="1">
        <v>44111</v>
      </c>
      <c r="E648" s="1">
        <v>44113</v>
      </c>
      <c r="F648" s="1">
        <v>44110</v>
      </c>
      <c r="G648" s="2">
        <v>0.58333333333333337</v>
      </c>
      <c r="H648" s="2">
        <v>0.45833333333333331</v>
      </c>
      <c r="I648" t="s">
        <v>22</v>
      </c>
      <c r="J648" s="12" t="s">
        <v>23</v>
      </c>
      <c r="K648">
        <v>5</v>
      </c>
      <c r="L648">
        <v>0</v>
      </c>
      <c r="M648" t="s">
        <v>19</v>
      </c>
      <c r="N648" s="6">
        <v>258</v>
      </c>
      <c r="O648">
        <f>Table13[[#This Row],[Adults]]+Table13[[#This Row],[Children]]</f>
        <v>5</v>
      </c>
      <c r="P648">
        <f>_xlfn.DAYS(Table13[[#This Row],[Depart]],Table13[[#This Row],[Arrive]])</f>
        <v>2</v>
      </c>
    </row>
    <row r="649" spans="1:16" x14ac:dyDescent="0.25">
      <c r="A649" t="s">
        <v>827</v>
      </c>
      <c r="B649" t="s">
        <v>828</v>
      </c>
      <c r="C649" t="s">
        <v>2223</v>
      </c>
      <c r="D649" s="1">
        <v>44112</v>
      </c>
      <c r="E649" s="1">
        <v>44114</v>
      </c>
      <c r="F649" s="1">
        <v>44106</v>
      </c>
      <c r="G649" s="2">
        <v>0.58333333333333337</v>
      </c>
      <c r="H649" s="2">
        <v>0.45833333333333331</v>
      </c>
      <c r="I649" t="s">
        <v>26</v>
      </c>
      <c r="J649" s="12" t="s">
        <v>18</v>
      </c>
      <c r="K649">
        <v>1</v>
      </c>
      <c r="L649">
        <v>0</v>
      </c>
      <c r="M649" t="s">
        <v>19</v>
      </c>
      <c r="N649" s="6">
        <v>235</v>
      </c>
      <c r="O649">
        <f>Table13[[#This Row],[Adults]]+Table13[[#This Row],[Children]]</f>
        <v>1</v>
      </c>
      <c r="P649">
        <f>_xlfn.DAYS(Table13[[#This Row],[Depart]],Table13[[#This Row],[Arrive]])</f>
        <v>2</v>
      </c>
    </row>
    <row r="650" spans="1:16" x14ac:dyDescent="0.25">
      <c r="A650" t="s">
        <v>859</v>
      </c>
      <c r="B650" t="s">
        <v>860</v>
      </c>
      <c r="C650" t="s">
        <v>2227</v>
      </c>
      <c r="D650" s="1">
        <v>44112</v>
      </c>
      <c r="E650" s="1">
        <v>44117</v>
      </c>
      <c r="F650" s="1">
        <v>44107</v>
      </c>
      <c r="G650" s="2">
        <v>0.58333333333333337</v>
      </c>
      <c r="H650" s="2">
        <v>0.45833333333333331</v>
      </c>
      <c r="I650" t="s">
        <v>22</v>
      </c>
      <c r="J650" s="12" t="s">
        <v>23</v>
      </c>
      <c r="K650">
        <v>6</v>
      </c>
      <c r="L650">
        <v>0</v>
      </c>
      <c r="M650" t="s">
        <v>19</v>
      </c>
      <c r="N650" s="6">
        <v>940.62</v>
      </c>
      <c r="O650">
        <f>Table13[[#This Row],[Adults]]+Table13[[#This Row],[Children]]</f>
        <v>6</v>
      </c>
      <c r="P650">
        <f>_xlfn.DAYS(Table13[[#This Row],[Depart]],Table13[[#This Row],[Arrive]])</f>
        <v>5</v>
      </c>
    </row>
    <row r="651" spans="1:16" x14ac:dyDescent="0.25">
      <c r="A651" t="s">
        <v>785</v>
      </c>
      <c r="B651" t="s">
        <v>786</v>
      </c>
      <c r="C651" t="s">
        <v>2224</v>
      </c>
      <c r="D651" s="1">
        <v>44112</v>
      </c>
      <c r="E651" s="1">
        <v>44113</v>
      </c>
      <c r="F651" s="1">
        <v>44111</v>
      </c>
      <c r="G651" s="2">
        <v>0.33333333333333331</v>
      </c>
      <c r="H651" s="3">
        <v>1</v>
      </c>
      <c r="I651" t="s">
        <v>22</v>
      </c>
      <c r="J651" s="12" t="s">
        <v>23</v>
      </c>
      <c r="K651">
        <v>4</v>
      </c>
      <c r="L651">
        <v>0</v>
      </c>
      <c r="M651" t="s">
        <v>19</v>
      </c>
      <c r="N651" s="6">
        <v>129</v>
      </c>
      <c r="O651">
        <f>Table13[[#This Row],[Adults]]+Table13[[#This Row],[Children]]</f>
        <v>4</v>
      </c>
      <c r="P651">
        <f>_xlfn.DAYS(Table13[[#This Row],[Depart]],Table13[[#This Row],[Arrive]])</f>
        <v>1</v>
      </c>
    </row>
    <row r="652" spans="1:16" x14ac:dyDescent="0.25">
      <c r="A652" t="s">
        <v>973</v>
      </c>
      <c r="B652" t="s">
        <v>974</v>
      </c>
      <c r="C652" t="s">
        <v>2225</v>
      </c>
      <c r="D652" s="1">
        <v>44112</v>
      </c>
      <c r="E652" s="1">
        <v>44113</v>
      </c>
      <c r="F652" s="1">
        <v>44106</v>
      </c>
      <c r="G652" s="2">
        <v>0.33333333333333331</v>
      </c>
      <c r="H652" s="3">
        <v>1</v>
      </c>
      <c r="I652" t="s">
        <v>22</v>
      </c>
      <c r="J652" s="12" t="s">
        <v>23</v>
      </c>
      <c r="K652">
        <v>3</v>
      </c>
      <c r="L652">
        <v>0</v>
      </c>
      <c r="M652" t="s">
        <v>19</v>
      </c>
      <c r="N652" s="6">
        <v>129</v>
      </c>
      <c r="O652">
        <f>Table13[[#This Row],[Adults]]+Table13[[#This Row],[Children]]</f>
        <v>3</v>
      </c>
      <c r="P652">
        <f>_xlfn.DAYS(Table13[[#This Row],[Depart]],Table13[[#This Row],[Arrive]])</f>
        <v>1</v>
      </c>
    </row>
    <row r="653" spans="1:16" x14ac:dyDescent="0.25">
      <c r="A653" t="s">
        <v>731</v>
      </c>
      <c r="B653" t="s">
        <v>732</v>
      </c>
      <c r="C653" t="s">
        <v>2227</v>
      </c>
      <c r="D653" s="1">
        <v>44113</v>
      </c>
      <c r="E653" s="1">
        <v>44123</v>
      </c>
      <c r="F653" s="1">
        <v>44081</v>
      </c>
      <c r="G653" s="2">
        <v>0.58333333333333337</v>
      </c>
      <c r="H653" s="2">
        <v>0.45833333333333331</v>
      </c>
      <c r="I653" t="s">
        <v>26</v>
      </c>
      <c r="J653" s="12" t="s">
        <v>18</v>
      </c>
      <c r="K653">
        <v>1</v>
      </c>
      <c r="L653">
        <v>0</v>
      </c>
      <c r="M653" t="s">
        <v>19</v>
      </c>
      <c r="N653" s="6">
        <v>1111</v>
      </c>
      <c r="O653">
        <f>Table13[[#This Row],[Adults]]+Table13[[#This Row],[Children]]</f>
        <v>1</v>
      </c>
      <c r="P653">
        <f>_xlfn.DAYS(Table13[[#This Row],[Depart]],Table13[[#This Row],[Arrive]])</f>
        <v>10</v>
      </c>
    </row>
    <row r="654" spans="1:16" x14ac:dyDescent="0.25">
      <c r="A654" t="s">
        <v>731</v>
      </c>
      <c r="B654" t="s">
        <v>732</v>
      </c>
      <c r="C654" t="s">
        <v>2223</v>
      </c>
      <c r="D654" s="1">
        <v>44113</v>
      </c>
      <c r="E654" s="1">
        <v>44123</v>
      </c>
      <c r="F654" s="1">
        <v>44081</v>
      </c>
      <c r="G654" s="2">
        <v>0.58333333333333337</v>
      </c>
      <c r="H654" s="2">
        <v>0.45833333333333331</v>
      </c>
      <c r="I654" t="s">
        <v>26</v>
      </c>
      <c r="J654" s="12" t="s">
        <v>18</v>
      </c>
      <c r="K654">
        <v>1</v>
      </c>
      <c r="L654">
        <v>0</v>
      </c>
      <c r="M654" t="s">
        <v>19</v>
      </c>
      <c r="N654" s="6">
        <v>1015</v>
      </c>
      <c r="O654">
        <f>Table13[[#This Row],[Adults]]+Table13[[#This Row],[Children]]</f>
        <v>1</v>
      </c>
      <c r="P654">
        <f>_xlfn.DAYS(Table13[[#This Row],[Depart]],Table13[[#This Row],[Arrive]])</f>
        <v>10</v>
      </c>
    </row>
    <row r="655" spans="1:16" x14ac:dyDescent="0.25">
      <c r="A655" t="s">
        <v>753</v>
      </c>
      <c r="B655" t="s">
        <v>754</v>
      </c>
      <c r="C655" t="s">
        <v>2225</v>
      </c>
      <c r="D655" s="1">
        <v>44113</v>
      </c>
      <c r="E655" s="1">
        <v>44115</v>
      </c>
      <c r="F655" s="1">
        <v>44079</v>
      </c>
      <c r="G655" s="2">
        <v>0.33333333333333331</v>
      </c>
      <c r="H655" s="3">
        <v>1</v>
      </c>
      <c r="I655" t="s">
        <v>22</v>
      </c>
      <c r="J655" s="12" t="s">
        <v>18</v>
      </c>
      <c r="K655">
        <v>5</v>
      </c>
      <c r="L655">
        <v>0</v>
      </c>
      <c r="M655" t="s">
        <v>19</v>
      </c>
      <c r="N655" s="6">
        <v>236.5</v>
      </c>
      <c r="O655">
        <f>Table13[[#This Row],[Adults]]+Table13[[#This Row],[Children]]</f>
        <v>5</v>
      </c>
      <c r="P655">
        <f>_xlfn.DAYS(Table13[[#This Row],[Depart]],Table13[[#This Row],[Arrive]])</f>
        <v>2</v>
      </c>
    </row>
    <row r="656" spans="1:16" x14ac:dyDescent="0.25">
      <c r="A656" t="s">
        <v>753</v>
      </c>
      <c r="B656" t="s">
        <v>754</v>
      </c>
      <c r="C656" t="s">
        <v>2225</v>
      </c>
      <c r="D656" s="1">
        <v>44113</v>
      </c>
      <c r="E656" s="1">
        <v>44115</v>
      </c>
      <c r="F656" s="1">
        <v>44079</v>
      </c>
      <c r="G656" s="2">
        <v>0.33333333333333331</v>
      </c>
      <c r="H656" s="3">
        <v>1</v>
      </c>
      <c r="I656" t="s">
        <v>22</v>
      </c>
      <c r="J656" s="12" t="s">
        <v>18</v>
      </c>
      <c r="K656">
        <v>5</v>
      </c>
      <c r="L656">
        <v>0</v>
      </c>
      <c r="M656" t="s">
        <v>19</v>
      </c>
      <c r="N656" s="6">
        <v>236.5</v>
      </c>
      <c r="O656">
        <f>Table13[[#This Row],[Adults]]+Table13[[#This Row],[Children]]</f>
        <v>5</v>
      </c>
      <c r="P656">
        <f>_xlfn.DAYS(Table13[[#This Row],[Depart]],Table13[[#This Row],[Arrive]])</f>
        <v>2</v>
      </c>
    </row>
    <row r="657" spans="1:16" x14ac:dyDescent="0.25">
      <c r="A657" t="s">
        <v>753</v>
      </c>
      <c r="B657" t="s">
        <v>754</v>
      </c>
      <c r="C657" t="s">
        <v>2225</v>
      </c>
      <c r="D657" s="1">
        <v>44113</v>
      </c>
      <c r="E657" s="1">
        <v>44115</v>
      </c>
      <c r="F657" s="1">
        <v>44084</v>
      </c>
      <c r="G657" s="2">
        <v>0.33333333333333331</v>
      </c>
      <c r="H657" s="3">
        <v>1</v>
      </c>
      <c r="I657" t="s">
        <v>22</v>
      </c>
      <c r="J657" s="12" t="s">
        <v>18</v>
      </c>
      <c r="K657">
        <v>5</v>
      </c>
      <c r="L657">
        <v>0</v>
      </c>
      <c r="M657" t="s">
        <v>19</v>
      </c>
      <c r="N657" s="6">
        <v>236.5</v>
      </c>
      <c r="O657">
        <f>Table13[[#This Row],[Adults]]+Table13[[#This Row],[Children]]</f>
        <v>5</v>
      </c>
      <c r="P657">
        <f>_xlfn.DAYS(Table13[[#This Row],[Depart]],Table13[[#This Row],[Arrive]])</f>
        <v>2</v>
      </c>
    </row>
    <row r="658" spans="1:16" x14ac:dyDescent="0.25">
      <c r="A658" t="s">
        <v>819</v>
      </c>
      <c r="B658" t="s">
        <v>820</v>
      </c>
      <c r="C658" t="s">
        <v>2224</v>
      </c>
      <c r="D658" s="1">
        <v>44113</v>
      </c>
      <c r="E658" s="1">
        <v>44115</v>
      </c>
      <c r="F658" s="1">
        <v>44102</v>
      </c>
      <c r="G658" s="2">
        <v>0.33333333333333331</v>
      </c>
      <c r="H658" s="3">
        <v>1</v>
      </c>
      <c r="I658" t="s">
        <v>22</v>
      </c>
      <c r="J658" s="12" t="s">
        <v>23</v>
      </c>
      <c r="K658">
        <v>4</v>
      </c>
      <c r="L658">
        <v>0</v>
      </c>
      <c r="M658" t="s">
        <v>19</v>
      </c>
      <c r="N658" s="6">
        <v>258</v>
      </c>
      <c r="O658">
        <f>Table13[[#This Row],[Adults]]+Table13[[#This Row],[Children]]</f>
        <v>4</v>
      </c>
      <c r="P658">
        <f>_xlfn.DAYS(Table13[[#This Row],[Depart]],Table13[[#This Row],[Arrive]])</f>
        <v>2</v>
      </c>
    </row>
    <row r="659" spans="1:16" x14ac:dyDescent="0.25">
      <c r="A659" t="s">
        <v>142</v>
      </c>
      <c r="B659" t="s">
        <v>143</v>
      </c>
      <c r="C659" t="s">
        <v>2225</v>
      </c>
      <c r="D659" s="1">
        <v>44113</v>
      </c>
      <c r="E659" s="1">
        <v>44124</v>
      </c>
      <c r="F659" s="1">
        <v>44084</v>
      </c>
      <c r="G659" s="2">
        <v>0.33333333333333331</v>
      </c>
      <c r="H659" s="3">
        <v>1</v>
      </c>
      <c r="I659" t="s">
        <v>22</v>
      </c>
      <c r="J659" s="12" t="s">
        <v>18</v>
      </c>
      <c r="K659">
        <v>5</v>
      </c>
      <c r="L659">
        <v>0</v>
      </c>
      <c r="M659" t="s">
        <v>19</v>
      </c>
      <c r="N659" s="6">
        <v>1419</v>
      </c>
      <c r="O659">
        <f>Table13[[#This Row],[Adults]]+Table13[[#This Row],[Children]]</f>
        <v>5</v>
      </c>
      <c r="P659">
        <f>_xlfn.DAYS(Table13[[#This Row],[Depart]],Table13[[#This Row],[Arrive]])</f>
        <v>11</v>
      </c>
    </row>
    <row r="660" spans="1:16" x14ac:dyDescent="0.25">
      <c r="A660" t="s">
        <v>835</v>
      </c>
      <c r="B660" t="s">
        <v>836</v>
      </c>
      <c r="C660" t="s">
        <v>2229</v>
      </c>
      <c r="D660" s="1">
        <v>44113</v>
      </c>
      <c r="E660" s="1">
        <v>44115</v>
      </c>
      <c r="F660" s="1">
        <v>44102</v>
      </c>
      <c r="G660" s="2">
        <v>0.58333333333333337</v>
      </c>
      <c r="H660" s="2">
        <v>0.5</v>
      </c>
      <c r="I660" t="s">
        <v>22</v>
      </c>
      <c r="J660" s="12" t="s">
        <v>23</v>
      </c>
      <c r="K660">
        <v>4</v>
      </c>
      <c r="L660">
        <v>0</v>
      </c>
      <c r="M660" t="s">
        <v>19</v>
      </c>
      <c r="N660" s="6">
        <v>376.25</v>
      </c>
      <c r="O660">
        <f>Table13[[#This Row],[Adults]]+Table13[[#This Row],[Children]]</f>
        <v>4</v>
      </c>
      <c r="P660">
        <f>_xlfn.DAYS(Table13[[#This Row],[Depart]],Table13[[#This Row],[Arrive]])</f>
        <v>2</v>
      </c>
    </row>
    <row r="661" spans="1:16" x14ac:dyDescent="0.25">
      <c r="A661" t="s">
        <v>583</v>
      </c>
      <c r="B661" t="s">
        <v>584</v>
      </c>
      <c r="C661" t="s">
        <v>2223</v>
      </c>
      <c r="D661" s="1">
        <v>44113</v>
      </c>
      <c r="E661" s="1">
        <v>44114</v>
      </c>
      <c r="F661" s="1">
        <v>44107</v>
      </c>
      <c r="G661" s="2">
        <v>0.58333333333333337</v>
      </c>
      <c r="H661" s="2">
        <v>0.45833333333333331</v>
      </c>
      <c r="I661" t="s">
        <v>22</v>
      </c>
      <c r="J661" s="12" t="s">
        <v>18</v>
      </c>
      <c r="K661">
        <v>2</v>
      </c>
      <c r="L661">
        <v>0</v>
      </c>
      <c r="M661" t="s">
        <v>19</v>
      </c>
      <c r="N661" s="6">
        <v>129</v>
      </c>
      <c r="O661">
        <f>Table13[[#This Row],[Adults]]+Table13[[#This Row],[Children]]</f>
        <v>2</v>
      </c>
      <c r="P661">
        <f>_xlfn.DAYS(Table13[[#This Row],[Depart]],Table13[[#This Row],[Arrive]])</f>
        <v>1</v>
      </c>
    </row>
    <row r="662" spans="1:16" x14ac:dyDescent="0.25">
      <c r="A662" t="s">
        <v>861</v>
      </c>
      <c r="B662" t="s">
        <v>862</v>
      </c>
      <c r="C662" t="s">
        <v>2223</v>
      </c>
      <c r="D662" s="1">
        <v>44113</v>
      </c>
      <c r="E662" s="1">
        <v>44115</v>
      </c>
      <c r="F662" s="1">
        <v>44110</v>
      </c>
      <c r="G662" s="2">
        <v>0.58333333333333337</v>
      </c>
      <c r="H662" s="2">
        <v>0.45833333333333331</v>
      </c>
      <c r="I662" t="s">
        <v>22</v>
      </c>
      <c r="J662" s="12" t="s">
        <v>23</v>
      </c>
      <c r="K662">
        <v>4</v>
      </c>
      <c r="L662">
        <v>0</v>
      </c>
      <c r="M662" t="s">
        <v>19</v>
      </c>
      <c r="N662" s="6">
        <v>258</v>
      </c>
      <c r="O662">
        <f>Table13[[#This Row],[Adults]]+Table13[[#This Row],[Children]]</f>
        <v>4</v>
      </c>
      <c r="P662">
        <f>_xlfn.DAYS(Table13[[#This Row],[Depart]],Table13[[#This Row],[Arrive]])</f>
        <v>2</v>
      </c>
    </row>
    <row r="663" spans="1:16" x14ac:dyDescent="0.25">
      <c r="A663" t="s">
        <v>875</v>
      </c>
      <c r="B663" t="s">
        <v>876</v>
      </c>
      <c r="C663" t="s">
        <v>2225</v>
      </c>
      <c r="D663" s="1">
        <v>44113</v>
      </c>
      <c r="E663" s="1">
        <v>44118</v>
      </c>
      <c r="F663" s="1">
        <v>44106</v>
      </c>
      <c r="G663" s="2">
        <v>0.33333333333333331</v>
      </c>
      <c r="H663" s="3">
        <v>1</v>
      </c>
      <c r="I663" t="s">
        <v>22</v>
      </c>
      <c r="J663" s="12" t="s">
        <v>23</v>
      </c>
      <c r="K663">
        <v>4</v>
      </c>
      <c r="L663">
        <v>0</v>
      </c>
      <c r="M663" t="s">
        <v>19</v>
      </c>
      <c r="N663" s="6">
        <v>645</v>
      </c>
      <c r="O663">
        <f>Table13[[#This Row],[Adults]]+Table13[[#This Row],[Children]]</f>
        <v>4</v>
      </c>
      <c r="P663">
        <f>_xlfn.DAYS(Table13[[#This Row],[Depart]],Table13[[#This Row],[Arrive]])</f>
        <v>5</v>
      </c>
    </row>
    <row r="664" spans="1:16" x14ac:dyDescent="0.25">
      <c r="A664" t="s">
        <v>735</v>
      </c>
      <c r="B664" t="s">
        <v>736</v>
      </c>
      <c r="C664" t="s">
        <v>2227</v>
      </c>
      <c r="D664" s="1">
        <v>44114</v>
      </c>
      <c r="E664" s="1">
        <v>44122</v>
      </c>
      <c r="F664" s="1">
        <v>44082</v>
      </c>
      <c r="G664" s="2">
        <v>0.58333333333333337</v>
      </c>
      <c r="H664" s="2">
        <v>0.45833333333333331</v>
      </c>
      <c r="I664" t="s">
        <v>26</v>
      </c>
      <c r="J664" s="12" t="s">
        <v>18</v>
      </c>
      <c r="K664">
        <v>4</v>
      </c>
      <c r="L664">
        <v>0</v>
      </c>
      <c r="M664" t="s">
        <v>19</v>
      </c>
      <c r="N664" s="6">
        <v>889</v>
      </c>
      <c r="O664">
        <f>Table13[[#This Row],[Adults]]+Table13[[#This Row],[Children]]</f>
        <v>4</v>
      </c>
      <c r="P664">
        <f>_xlfn.DAYS(Table13[[#This Row],[Depart]],Table13[[#This Row],[Arrive]])</f>
        <v>8</v>
      </c>
    </row>
    <row r="665" spans="1:16" x14ac:dyDescent="0.25">
      <c r="A665" t="s">
        <v>837</v>
      </c>
      <c r="B665" t="s">
        <v>838</v>
      </c>
      <c r="C665" t="s">
        <v>2224</v>
      </c>
      <c r="D665" s="1">
        <v>44115</v>
      </c>
      <c r="E665" s="1">
        <v>44117</v>
      </c>
      <c r="F665" s="1">
        <v>44106</v>
      </c>
      <c r="G665" s="2">
        <v>0.33333333333333331</v>
      </c>
      <c r="H665" s="3">
        <v>1</v>
      </c>
      <c r="I665" t="s">
        <v>26</v>
      </c>
      <c r="J665" s="12" t="s">
        <v>18</v>
      </c>
      <c r="K665">
        <v>1</v>
      </c>
      <c r="L665">
        <v>0</v>
      </c>
      <c r="M665" t="s">
        <v>19</v>
      </c>
      <c r="N665" s="6">
        <v>235</v>
      </c>
      <c r="O665">
        <f>Table13[[#This Row],[Adults]]+Table13[[#This Row],[Children]]</f>
        <v>1</v>
      </c>
      <c r="P665">
        <f>_xlfn.DAYS(Table13[[#This Row],[Depart]],Table13[[#This Row],[Arrive]])</f>
        <v>2</v>
      </c>
    </row>
    <row r="666" spans="1:16" x14ac:dyDescent="0.25">
      <c r="A666" t="s">
        <v>879</v>
      </c>
      <c r="B666" t="s">
        <v>880</v>
      </c>
      <c r="C666" t="s">
        <v>2229</v>
      </c>
      <c r="D666" s="1">
        <v>44115</v>
      </c>
      <c r="E666" s="1">
        <v>44116</v>
      </c>
      <c r="F666" s="1">
        <v>44115</v>
      </c>
      <c r="G666" s="2">
        <v>0.58333333333333337</v>
      </c>
      <c r="H666" s="2">
        <v>0.5</v>
      </c>
      <c r="I666" t="s">
        <v>22</v>
      </c>
      <c r="J666" s="12" t="s">
        <v>18</v>
      </c>
      <c r="K666">
        <v>4</v>
      </c>
      <c r="L666">
        <v>0</v>
      </c>
      <c r="M666" t="s">
        <v>19</v>
      </c>
      <c r="N666" s="6">
        <v>188.12</v>
      </c>
      <c r="O666">
        <f>Table13[[#This Row],[Adults]]+Table13[[#This Row],[Children]]</f>
        <v>4</v>
      </c>
      <c r="P666">
        <f>_xlfn.DAYS(Table13[[#This Row],[Depart]],Table13[[#This Row],[Arrive]])</f>
        <v>1</v>
      </c>
    </row>
    <row r="667" spans="1:16" x14ac:dyDescent="0.25">
      <c r="A667" t="s">
        <v>835</v>
      </c>
      <c r="B667" t="s">
        <v>836</v>
      </c>
      <c r="C667" t="s">
        <v>2229</v>
      </c>
      <c r="D667" s="1">
        <v>44116</v>
      </c>
      <c r="E667" s="1">
        <v>44118</v>
      </c>
      <c r="F667" s="1">
        <v>44106</v>
      </c>
      <c r="G667" s="2">
        <v>0.58333333333333337</v>
      </c>
      <c r="H667" s="2">
        <v>0.5</v>
      </c>
      <c r="I667" t="s">
        <v>22</v>
      </c>
      <c r="J667" s="12" t="s">
        <v>18</v>
      </c>
      <c r="K667">
        <v>6</v>
      </c>
      <c r="L667">
        <v>0</v>
      </c>
      <c r="M667" t="s">
        <v>19</v>
      </c>
      <c r="N667" s="6">
        <v>213.93</v>
      </c>
      <c r="O667">
        <f>Table13[[#This Row],[Adults]]+Table13[[#This Row],[Children]]</f>
        <v>6</v>
      </c>
      <c r="P667">
        <f>_xlfn.DAYS(Table13[[#This Row],[Depart]],Table13[[#This Row],[Arrive]])</f>
        <v>2</v>
      </c>
    </row>
    <row r="668" spans="1:16" x14ac:dyDescent="0.25">
      <c r="A668" t="s">
        <v>867</v>
      </c>
      <c r="B668" t="s">
        <v>868</v>
      </c>
      <c r="C668" t="s">
        <v>2224</v>
      </c>
      <c r="D668" s="1">
        <v>44116</v>
      </c>
      <c r="E668" s="1">
        <v>44119</v>
      </c>
      <c r="F668" s="1">
        <v>44110</v>
      </c>
      <c r="G668" s="2">
        <v>0.33333333333333331</v>
      </c>
      <c r="H668" s="3">
        <v>1</v>
      </c>
      <c r="I668" t="s">
        <v>22</v>
      </c>
      <c r="J668" s="12" t="s">
        <v>23</v>
      </c>
      <c r="K668">
        <v>4</v>
      </c>
      <c r="L668">
        <v>0</v>
      </c>
      <c r="M668" t="s">
        <v>19</v>
      </c>
      <c r="N668" s="6">
        <v>387</v>
      </c>
      <c r="O668">
        <f>Table13[[#This Row],[Adults]]+Table13[[#This Row],[Children]]</f>
        <v>4</v>
      </c>
      <c r="P668">
        <f>_xlfn.DAYS(Table13[[#This Row],[Depart]],Table13[[#This Row],[Arrive]])</f>
        <v>3</v>
      </c>
    </row>
    <row r="669" spans="1:16" x14ac:dyDescent="0.25">
      <c r="A669" t="s">
        <v>829</v>
      </c>
      <c r="B669" t="s">
        <v>830</v>
      </c>
      <c r="C669" t="s">
        <v>2223</v>
      </c>
      <c r="D669" s="1">
        <v>44117</v>
      </c>
      <c r="E669" s="1">
        <v>44119</v>
      </c>
      <c r="F669" s="1">
        <v>44105</v>
      </c>
      <c r="G669" s="2">
        <v>0.58333333333333337</v>
      </c>
      <c r="H669" s="2">
        <v>0.45833333333333331</v>
      </c>
      <c r="I669" t="s">
        <v>22</v>
      </c>
      <c r="J669" s="12" t="s">
        <v>23</v>
      </c>
      <c r="K669">
        <v>6</v>
      </c>
      <c r="L669">
        <v>0</v>
      </c>
      <c r="M669" t="s">
        <v>19</v>
      </c>
      <c r="N669" s="6">
        <v>258</v>
      </c>
      <c r="O669">
        <f>Table13[[#This Row],[Adults]]+Table13[[#This Row],[Children]]</f>
        <v>6</v>
      </c>
      <c r="P669">
        <f>_xlfn.DAYS(Table13[[#This Row],[Depart]],Table13[[#This Row],[Arrive]])</f>
        <v>2</v>
      </c>
    </row>
    <row r="670" spans="1:16" x14ac:dyDescent="0.25">
      <c r="A670" t="s">
        <v>871</v>
      </c>
      <c r="B670" t="s">
        <v>872</v>
      </c>
      <c r="C670" t="s">
        <v>2226</v>
      </c>
      <c r="D670" s="1">
        <v>44117</v>
      </c>
      <c r="E670" s="1">
        <v>44118</v>
      </c>
      <c r="F670" s="1">
        <v>44114</v>
      </c>
      <c r="G670" s="2">
        <v>0.5</v>
      </c>
      <c r="H670" s="2">
        <v>0.58333333333333337</v>
      </c>
      <c r="I670" t="s">
        <v>22</v>
      </c>
      <c r="J670" s="12" t="s">
        <v>18</v>
      </c>
      <c r="K670">
        <v>1</v>
      </c>
      <c r="L670">
        <v>0</v>
      </c>
      <c r="M670" t="s">
        <v>19</v>
      </c>
      <c r="N670" s="6">
        <v>130000</v>
      </c>
      <c r="O670">
        <f>Table13[[#This Row],[Adults]]+Table13[[#This Row],[Children]]</f>
        <v>1</v>
      </c>
      <c r="P670">
        <f>_xlfn.DAYS(Table13[[#This Row],[Depart]],Table13[[#This Row],[Arrive]])</f>
        <v>1</v>
      </c>
    </row>
    <row r="671" spans="1:16" x14ac:dyDescent="0.25">
      <c r="A671" t="s">
        <v>589</v>
      </c>
      <c r="B671" t="s">
        <v>590</v>
      </c>
      <c r="C671" t="s">
        <v>2227</v>
      </c>
      <c r="D671" s="1">
        <v>44117</v>
      </c>
      <c r="E671" s="1">
        <v>44118</v>
      </c>
      <c r="F671" s="1">
        <v>44117</v>
      </c>
      <c r="G671" s="2">
        <v>0.58333333333333337</v>
      </c>
      <c r="H671" s="2">
        <v>0.45833333333333331</v>
      </c>
      <c r="I671" t="s">
        <v>22</v>
      </c>
      <c r="J671" s="12" t="s">
        <v>23</v>
      </c>
      <c r="K671">
        <v>5</v>
      </c>
      <c r="L671">
        <v>0</v>
      </c>
      <c r="M671" t="s">
        <v>19</v>
      </c>
      <c r="N671" s="6">
        <v>188.12</v>
      </c>
      <c r="O671">
        <f>Table13[[#This Row],[Adults]]+Table13[[#This Row],[Children]]</f>
        <v>5</v>
      </c>
      <c r="P671">
        <f>_xlfn.DAYS(Table13[[#This Row],[Depart]],Table13[[#This Row],[Arrive]])</f>
        <v>1</v>
      </c>
    </row>
    <row r="672" spans="1:16" x14ac:dyDescent="0.25">
      <c r="A672" t="s">
        <v>589</v>
      </c>
      <c r="B672" t="s">
        <v>590</v>
      </c>
      <c r="C672" t="s">
        <v>2227</v>
      </c>
      <c r="D672" s="1">
        <v>44117</v>
      </c>
      <c r="E672" s="1">
        <v>44118</v>
      </c>
      <c r="F672" s="1">
        <v>44117</v>
      </c>
      <c r="G672" s="2">
        <v>0.58333333333333337</v>
      </c>
      <c r="H672" s="2">
        <v>0.45833333333333331</v>
      </c>
      <c r="I672" t="s">
        <v>22</v>
      </c>
      <c r="J672" s="12" t="s">
        <v>23</v>
      </c>
      <c r="K672">
        <v>6</v>
      </c>
      <c r="L672">
        <v>0</v>
      </c>
      <c r="M672" t="s">
        <v>19</v>
      </c>
      <c r="N672" s="6">
        <v>188.13</v>
      </c>
      <c r="O672">
        <f>Table13[[#This Row],[Adults]]+Table13[[#This Row],[Children]]</f>
        <v>6</v>
      </c>
      <c r="P672">
        <f>_xlfn.DAYS(Table13[[#This Row],[Depart]],Table13[[#This Row],[Arrive]])</f>
        <v>1</v>
      </c>
    </row>
    <row r="673" spans="1:16" x14ac:dyDescent="0.25">
      <c r="A673" t="s">
        <v>903</v>
      </c>
      <c r="B673" t="s">
        <v>904</v>
      </c>
      <c r="C673" t="s">
        <v>2226</v>
      </c>
      <c r="D673" s="1">
        <v>44117</v>
      </c>
      <c r="E673" s="1">
        <v>44122</v>
      </c>
      <c r="F673" s="1">
        <v>44117</v>
      </c>
      <c r="G673" s="2">
        <v>0.5</v>
      </c>
      <c r="H673" s="2">
        <v>0.58333333333333337</v>
      </c>
      <c r="I673" t="s">
        <v>22</v>
      </c>
      <c r="J673" s="12" t="s">
        <v>23</v>
      </c>
      <c r="K673">
        <v>4</v>
      </c>
      <c r="L673">
        <v>0</v>
      </c>
      <c r="M673" t="s">
        <v>19</v>
      </c>
      <c r="N673" s="6">
        <v>645</v>
      </c>
      <c r="O673">
        <f>Table13[[#This Row],[Adults]]+Table13[[#This Row],[Children]]</f>
        <v>4</v>
      </c>
      <c r="P673">
        <f>_xlfn.DAYS(Table13[[#This Row],[Depart]],Table13[[#This Row],[Arrive]])</f>
        <v>5</v>
      </c>
    </row>
    <row r="674" spans="1:16" x14ac:dyDescent="0.25">
      <c r="A674" t="s">
        <v>673</v>
      </c>
      <c r="B674" t="s">
        <v>674</v>
      </c>
      <c r="C674" t="s">
        <v>2225</v>
      </c>
      <c r="D674" s="1">
        <v>44118</v>
      </c>
      <c r="E674" s="1">
        <v>44120</v>
      </c>
      <c r="F674" s="1">
        <v>44111</v>
      </c>
      <c r="G674" s="2">
        <v>0.33333333333333331</v>
      </c>
      <c r="H674" s="3">
        <v>1</v>
      </c>
      <c r="I674" t="s">
        <v>22</v>
      </c>
      <c r="J674" s="12" t="s">
        <v>18</v>
      </c>
      <c r="K674">
        <v>3</v>
      </c>
      <c r="L674">
        <v>0</v>
      </c>
      <c r="M674" t="s">
        <v>19</v>
      </c>
      <c r="N674" s="6">
        <v>258</v>
      </c>
      <c r="O674">
        <f>Table13[[#This Row],[Adults]]+Table13[[#This Row],[Children]]</f>
        <v>3</v>
      </c>
      <c r="P674">
        <f>_xlfn.DAYS(Table13[[#This Row],[Depart]],Table13[[#This Row],[Arrive]])</f>
        <v>2</v>
      </c>
    </row>
    <row r="675" spans="1:16" x14ac:dyDescent="0.25">
      <c r="A675" t="s">
        <v>877</v>
      </c>
      <c r="B675" t="s">
        <v>878</v>
      </c>
      <c r="C675" t="s">
        <v>2227</v>
      </c>
      <c r="D675" s="1">
        <v>44118</v>
      </c>
      <c r="E675" s="1">
        <v>44119</v>
      </c>
      <c r="F675" s="1">
        <v>44115</v>
      </c>
      <c r="G675" s="2">
        <v>0.58333333333333337</v>
      </c>
      <c r="H675" s="2">
        <v>0.45833333333333331</v>
      </c>
      <c r="I675" t="s">
        <v>22</v>
      </c>
      <c r="J675" s="12" t="s">
        <v>23</v>
      </c>
      <c r="K675">
        <v>5</v>
      </c>
      <c r="L675">
        <v>0</v>
      </c>
      <c r="M675" t="s">
        <v>19</v>
      </c>
      <c r="N675" s="6">
        <v>188.13</v>
      </c>
      <c r="O675">
        <f>Table13[[#This Row],[Adults]]+Table13[[#This Row],[Children]]</f>
        <v>5</v>
      </c>
      <c r="P675">
        <f>_xlfn.DAYS(Table13[[#This Row],[Depart]],Table13[[#This Row],[Arrive]])</f>
        <v>1</v>
      </c>
    </row>
    <row r="676" spans="1:16" x14ac:dyDescent="0.25">
      <c r="A676" t="s">
        <v>899</v>
      </c>
      <c r="B676" t="s">
        <v>900</v>
      </c>
      <c r="C676" t="s">
        <v>2225</v>
      </c>
      <c r="D676" s="1">
        <v>44118</v>
      </c>
      <c r="E676" s="1">
        <v>44120</v>
      </c>
      <c r="F676" s="1">
        <v>44118</v>
      </c>
      <c r="G676" s="2">
        <v>0.33333333333333331</v>
      </c>
      <c r="H676" s="3">
        <v>1</v>
      </c>
      <c r="I676" t="s">
        <v>22</v>
      </c>
      <c r="J676" s="12" t="s">
        <v>23</v>
      </c>
      <c r="K676">
        <v>4</v>
      </c>
      <c r="L676">
        <v>0</v>
      </c>
      <c r="M676" t="s">
        <v>19</v>
      </c>
      <c r="N676" s="6">
        <v>258</v>
      </c>
      <c r="O676">
        <f>Table13[[#This Row],[Adults]]+Table13[[#This Row],[Children]]</f>
        <v>4</v>
      </c>
      <c r="P676">
        <f>_xlfn.DAYS(Table13[[#This Row],[Depart]],Table13[[#This Row],[Arrive]])</f>
        <v>2</v>
      </c>
    </row>
    <row r="677" spans="1:16" x14ac:dyDescent="0.25">
      <c r="A677" t="s">
        <v>891</v>
      </c>
      <c r="B677" t="s">
        <v>892</v>
      </c>
      <c r="C677" t="s">
        <v>2226</v>
      </c>
      <c r="D677" s="1">
        <v>44119</v>
      </c>
      <c r="E677" s="1">
        <v>44124</v>
      </c>
      <c r="F677" s="1">
        <v>44118</v>
      </c>
      <c r="G677" s="2">
        <v>0.5</v>
      </c>
      <c r="H677" s="2">
        <v>0.58333333333333337</v>
      </c>
      <c r="I677" t="s">
        <v>22</v>
      </c>
      <c r="J677" s="12" t="s">
        <v>18</v>
      </c>
      <c r="K677">
        <v>5</v>
      </c>
      <c r="L677">
        <v>0</v>
      </c>
      <c r="M677" t="s">
        <v>19</v>
      </c>
      <c r="N677" s="6">
        <v>650000</v>
      </c>
      <c r="O677">
        <f>Table13[[#This Row],[Adults]]+Table13[[#This Row],[Children]]</f>
        <v>5</v>
      </c>
      <c r="P677">
        <f>_xlfn.DAYS(Table13[[#This Row],[Depart]],Table13[[#This Row],[Arrive]])</f>
        <v>5</v>
      </c>
    </row>
    <row r="678" spans="1:16" x14ac:dyDescent="0.25">
      <c r="A678" t="s">
        <v>1007</v>
      </c>
      <c r="B678" t="s">
        <v>1008</v>
      </c>
      <c r="C678" t="s">
        <v>2229</v>
      </c>
      <c r="D678" s="1">
        <v>44119</v>
      </c>
      <c r="E678" s="1">
        <v>44140</v>
      </c>
      <c r="F678" s="1">
        <v>44102</v>
      </c>
      <c r="G678" s="2">
        <v>0.58333333333333337</v>
      </c>
      <c r="H678" s="2">
        <v>0.5</v>
      </c>
      <c r="I678" t="s">
        <v>22</v>
      </c>
      <c r="J678" s="12" t="s">
        <v>23</v>
      </c>
      <c r="K678">
        <v>4</v>
      </c>
      <c r="L678">
        <v>0</v>
      </c>
      <c r="M678" t="s">
        <v>19</v>
      </c>
      <c r="N678" s="6">
        <v>4492.43</v>
      </c>
      <c r="O678">
        <f>Table13[[#This Row],[Adults]]+Table13[[#This Row],[Children]]</f>
        <v>4</v>
      </c>
      <c r="P678">
        <f>_xlfn.DAYS(Table13[[#This Row],[Depart]],Table13[[#This Row],[Arrive]])</f>
        <v>21</v>
      </c>
    </row>
    <row r="679" spans="1:16" x14ac:dyDescent="0.25">
      <c r="A679" t="s">
        <v>765</v>
      </c>
      <c r="B679" t="s">
        <v>766</v>
      </c>
      <c r="C679" t="s">
        <v>2223</v>
      </c>
      <c r="D679" s="1">
        <v>44120</v>
      </c>
      <c r="E679" s="1">
        <v>44127</v>
      </c>
      <c r="F679" s="1">
        <v>44085</v>
      </c>
      <c r="G679" s="2">
        <v>0.58333333333333337</v>
      </c>
      <c r="H679" s="2">
        <v>0.45833333333333331</v>
      </c>
      <c r="I679" t="s">
        <v>26</v>
      </c>
      <c r="J679" s="12" t="s">
        <v>18</v>
      </c>
      <c r="K679">
        <v>1</v>
      </c>
      <c r="L679">
        <v>0</v>
      </c>
      <c r="M679" t="s">
        <v>19</v>
      </c>
      <c r="N679" s="6">
        <v>711</v>
      </c>
      <c r="O679">
        <f>Table13[[#This Row],[Adults]]+Table13[[#This Row],[Children]]</f>
        <v>1</v>
      </c>
      <c r="P679">
        <f>_xlfn.DAYS(Table13[[#This Row],[Depart]],Table13[[#This Row],[Arrive]])</f>
        <v>7</v>
      </c>
    </row>
    <row r="680" spans="1:16" x14ac:dyDescent="0.25">
      <c r="A680" t="s">
        <v>795</v>
      </c>
      <c r="B680" t="s">
        <v>796</v>
      </c>
      <c r="C680" t="s">
        <v>2224</v>
      </c>
      <c r="D680" s="1">
        <v>44120</v>
      </c>
      <c r="E680" s="1">
        <v>44121</v>
      </c>
      <c r="F680" s="1">
        <v>44092</v>
      </c>
      <c r="G680" s="2">
        <v>0.33333333333333331</v>
      </c>
      <c r="H680" s="3">
        <v>1</v>
      </c>
      <c r="I680" t="s">
        <v>22</v>
      </c>
      <c r="J680" s="12" t="s">
        <v>23</v>
      </c>
      <c r="K680">
        <v>4</v>
      </c>
      <c r="L680">
        <v>0</v>
      </c>
      <c r="M680" t="s">
        <v>19</v>
      </c>
      <c r="N680" s="6">
        <v>129</v>
      </c>
      <c r="O680">
        <f>Table13[[#This Row],[Adults]]+Table13[[#This Row],[Children]]</f>
        <v>4</v>
      </c>
      <c r="P680">
        <f>_xlfn.DAYS(Table13[[#This Row],[Depart]],Table13[[#This Row],[Arrive]])</f>
        <v>1</v>
      </c>
    </row>
    <row r="681" spans="1:16" x14ac:dyDescent="0.25">
      <c r="A681" t="s">
        <v>795</v>
      </c>
      <c r="B681" t="s">
        <v>796</v>
      </c>
      <c r="C681" t="s">
        <v>2224</v>
      </c>
      <c r="D681" s="1">
        <v>44120</v>
      </c>
      <c r="E681" s="1">
        <v>44121</v>
      </c>
      <c r="F681" s="1">
        <v>44092</v>
      </c>
      <c r="G681" s="2">
        <v>0.33333333333333331</v>
      </c>
      <c r="H681" s="3">
        <v>1</v>
      </c>
      <c r="I681" t="s">
        <v>22</v>
      </c>
      <c r="J681" s="12" t="s">
        <v>18</v>
      </c>
      <c r="K681">
        <v>1</v>
      </c>
      <c r="L681">
        <v>0</v>
      </c>
      <c r="M681" t="s">
        <v>19</v>
      </c>
      <c r="N681" s="6">
        <v>129</v>
      </c>
      <c r="O681">
        <f>Table13[[#This Row],[Adults]]+Table13[[#This Row],[Children]]</f>
        <v>1</v>
      </c>
      <c r="P681">
        <f>_xlfn.DAYS(Table13[[#This Row],[Depart]],Table13[[#This Row],[Arrive]])</f>
        <v>1</v>
      </c>
    </row>
    <row r="682" spans="1:16" x14ac:dyDescent="0.25">
      <c r="A682" t="s">
        <v>607</v>
      </c>
      <c r="B682" t="s">
        <v>608</v>
      </c>
      <c r="C682" t="s">
        <v>2223</v>
      </c>
      <c r="D682" s="1">
        <v>44120</v>
      </c>
      <c r="E682" s="1">
        <v>44122</v>
      </c>
      <c r="F682" s="1">
        <v>44095</v>
      </c>
      <c r="G682" s="2">
        <v>0.58333333333333337</v>
      </c>
      <c r="H682" s="2">
        <v>0.45833333333333331</v>
      </c>
      <c r="I682" t="s">
        <v>22</v>
      </c>
      <c r="J682" s="12" t="s">
        <v>18</v>
      </c>
      <c r="K682">
        <v>3</v>
      </c>
      <c r="L682">
        <v>0</v>
      </c>
      <c r="M682" t="s">
        <v>19</v>
      </c>
      <c r="N682" s="6">
        <v>258</v>
      </c>
      <c r="O682">
        <f>Table13[[#This Row],[Adults]]+Table13[[#This Row],[Children]]</f>
        <v>3</v>
      </c>
      <c r="P682">
        <f>_xlfn.DAYS(Table13[[#This Row],[Depart]],Table13[[#This Row],[Arrive]])</f>
        <v>2</v>
      </c>
    </row>
    <row r="683" spans="1:16" x14ac:dyDescent="0.25">
      <c r="A683" t="s">
        <v>851</v>
      </c>
      <c r="B683" t="s">
        <v>852</v>
      </c>
      <c r="C683" t="s">
        <v>2223</v>
      </c>
      <c r="D683" s="1">
        <v>44120</v>
      </c>
      <c r="E683" s="1">
        <v>44122</v>
      </c>
      <c r="F683" s="1">
        <v>44109</v>
      </c>
      <c r="G683" s="2">
        <v>0.58333333333333337</v>
      </c>
      <c r="H683" s="2">
        <v>0.45833333333333331</v>
      </c>
      <c r="I683" t="s">
        <v>22</v>
      </c>
      <c r="J683" s="12" t="s">
        <v>23</v>
      </c>
      <c r="K683">
        <v>4</v>
      </c>
      <c r="L683">
        <v>0</v>
      </c>
      <c r="M683" t="s">
        <v>19</v>
      </c>
      <c r="N683" s="6">
        <v>258</v>
      </c>
      <c r="O683">
        <f>Table13[[#This Row],[Adults]]+Table13[[#This Row],[Children]]</f>
        <v>4</v>
      </c>
      <c r="P683">
        <f>_xlfn.DAYS(Table13[[#This Row],[Depart]],Table13[[#This Row],[Arrive]])</f>
        <v>2</v>
      </c>
    </row>
    <row r="684" spans="1:16" x14ac:dyDescent="0.25">
      <c r="A684" t="s">
        <v>853</v>
      </c>
      <c r="B684" t="s">
        <v>854</v>
      </c>
      <c r="C684" t="s">
        <v>2225</v>
      </c>
      <c r="D684" s="1">
        <v>44120</v>
      </c>
      <c r="E684" s="1">
        <v>44123</v>
      </c>
      <c r="F684" s="1">
        <v>44109</v>
      </c>
      <c r="G684" s="2">
        <v>0.33333333333333331</v>
      </c>
      <c r="H684" s="3">
        <v>1</v>
      </c>
      <c r="I684" t="s">
        <v>22</v>
      </c>
      <c r="J684" s="12" t="s">
        <v>23</v>
      </c>
      <c r="K684">
        <v>4</v>
      </c>
      <c r="L684">
        <v>0</v>
      </c>
      <c r="M684" t="s">
        <v>19</v>
      </c>
      <c r="N684" s="6">
        <v>387</v>
      </c>
      <c r="O684">
        <f>Table13[[#This Row],[Adults]]+Table13[[#This Row],[Children]]</f>
        <v>4</v>
      </c>
      <c r="P684">
        <f>_xlfn.DAYS(Table13[[#This Row],[Depart]],Table13[[#This Row],[Arrive]])</f>
        <v>3</v>
      </c>
    </row>
    <row r="685" spans="1:16" x14ac:dyDescent="0.25">
      <c r="A685" t="s">
        <v>569</v>
      </c>
      <c r="B685" t="s">
        <v>570</v>
      </c>
      <c r="C685" t="s">
        <v>2227</v>
      </c>
      <c r="D685" s="1">
        <v>44120</v>
      </c>
      <c r="E685" s="1">
        <v>44123</v>
      </c>
      <c r="F685" s="1">
        <v>44111</v>
      </c>
      <c r="G685" s="2">
        <v>0.58333333333333337</v>
      </c>
      <c r="H685" s="2">
        <v>0.45833333333333331</v>
      </c>
      <c r="I685" t="s">
        <v>22</v>
      </c>
      <c r="J685" s="12" t="s">
        <v>18</v>
      </c>
      <c r="K685">
        <v>2</v>
      </c>
      <c r="L685">
        <v>0</v>
      </c>
      <c r="M685" t="s">
        <v>19</v>
      </c>
      <c r="N685" s="6">
        <v>564.38</v>
      </c>
      <c r="O685">
        <f>Table13[[#This Row],[Adults]]+Table13[[#This Row],[Children]]</f>
        <v>2</v>
      </c>
      <c r="P685">
        <f>_xlfn.DAYS(Table13[[#This Row],[Depart]],Table13[[#This Row],[Arrive]])</f>
        <v>3</v>
      </c>
    </row>
    <row r="686" spans="1:16" x14ac:dyDescent="0.25">
      <c r="A686" t="s">
        <v>891</v>
      </c>
      <c r="B686" t="s">
        <v>892</v>
      </c>
      <c r="C686" t="s">
        <v>2226</v>
      </c>
      <c r="D686" s="1">
        <v>44120</v>
      </c>
      <c r="E686" s="1">
        <v>44126</v>
      </c>
      <c r="F686" s="1">
        <v>44118</v>
      </c>
      <c r="G686" s="2">
        <v>0.5</v>
      </c>
      <c r="H686" s="2">
        <v>0.58333333333333337</v>
      </c>
      <c r="I686" t="s">
        <v>22</v>
      </c>
      <c r="J686" s="12" t="s">
        <v>18</v>
      </c>
      <c r="K686">
        <v>9</v>
      </c>
      <c r="L686">
        <v>0</v>
      </c>
      <c r="M686" t="s">
        <v>19</v>
      </c>
      <c r="N686" s="6">
        <v>780000</v>
      </c>
      <c r="O686">
        <f>Table13[[#This Row],[Adults]]+Table13[[#This Row],[Children]]</f>
        <v>9</v>
      </c>
      <c r="P686">
        <f>_xlfn.DAYS(Table13[[#This Row],[Depart]],Table13[[#This Row],[Arrive]])</f>
        <v>6</v>
      </c>
    </row>
    <row r="687" spans="1:16" x14ac:dyDescent="0.25">
      <c r="A687" t="s">
        <v>296</v>
      </c>
      <c r="B687" t="s">
        <v>297</v>
      </c>
      <c r="C687" t="s">
        <v>2226</v>
      </c>
      <c r="D687" s="1">
        <v>44120</v>
      </c>
      <c r="E687" s="1">
        <v>44122</v>
      </c>
      <c r="F687" s="1">
        <v>44079</v>
      </c>
      <c r="G687" s="2">
        <v>0.5</v>
      </c>
      <c r="H687" s="3">
        <v>1</v>
      </c>
      <c r="I687" t="s">
        <v>22</v>
      </c>
      <c r="J687" s="12" t="s">
        <v>18</v>
      </c>
      <c r="K687">
        <v>5</v>
      </c>
      <c r="L687">
        <v>0</v>
      </c>
      <c r="M687" t="s">
        <v>19</v>
      </c>
      <c r="N687" s="6">
        <v>258</v>
      </c>
      <c r="O687">
        <f>Table13[[#This Row],[Adults]]+Table13[[#This Row],[Children]]</f>
        <v>5</v>
      </c>
      <c r="P687">
        <f>_xlfn.DAYS(Table13[[#This Row],[Depart]],Table13[[#This Row],[Arrive]])</f>
        <v>2</v>
      </c>
    </row>
    <row r="688" spans="1:16" x14ac:dyDescent="0.25">
      <c r="A688" t="s">
        <v>907</v>
      </c>
      <c r="B688" t="s">
        <v>908</v>
      </c>
      <c r="C688" t="s">
        <v>2223</v>
      </c>
      <c r="D688" s="1">
        <v>44120</v>
      </c>
      <c r="E688" s="1">
        <v>44122</v>
      </c>
      <c r="F688" s="1">
        <v>44108</v>
      </c>
      <c r="G688" s="2">
        <v>0.58333333333333337</v>
      </c>
      <c r="H688" s="2">
        <v>0.45833333333333331</v>
      </c>
      <c r="I688" t="s">
        <v>26</v>
      </c>
      <c r="J688" s="12" t="s">
        <v>18</v>
      </c>
      <c r="K688">
        <v>6</v>
      </c>
      <c r="L688">
        <v>0</v>
      </c>
      <c r="M688" t="s">
        <v>19</v>
      </c>
      <c r="N688" s="6">
        <v>235</v>
      </c>
      <c r="O688">
        <f>Table13[[#This Row],[Adults]]+Table13[[#This Row],[Children]]</f>
        <v>6</v>
      </c>
      <c r="P688">
        <f>_xlfn.DAYS(Table13[[#This Row],[Depart]],Table13[[#This Row],[Arrive]])</f>
        <v>2</v>
      </c>
    </row>
    <row r="689" spans="1:16" x14ac:dyDescent="0.25">
      <c r="A689" t="s">
        <v>891</v>
      </c>
      <c r="B689" t="s">
        <v>892</v>
      </c>
      <c r="C689" t="s">
        <v>2227</v>
      </c>
      <c r="D689" s="1">
        <v>44120</v>
      </c>
      <c r="E689" s="1">
        <v>44130</v>
      </c>
      <c r="F689" s="1">
        <v>44118</v>
      </c>
      <c r="G689" s="2">
        <v>0.58333333333333337</v>
      </c>
      <c r="H689" s="2">
        <v>0.45833333333333331</v>
      </c>
      <c r="I689" t="s">
        <v>22</v>
      </c>
      <c r="J689" s="12" t="s">
        <v>23</v>
      </c>
      <c r="K689">
        <v>4</v>
      </c>
      <c r="L689">
        <v>0</v>
      </c>
      <c r="M689" t="s">
        <v>19</v>
      </c>
      <c r="N689" s="6">
        <v>2139.25</v>
      </c>
      <c r="O689">
        <f>Table13[[#This Row],[Adults]]+Table13[[#This Row],[Children]]</f>
        <v>4</v>
      </c>
      <c r="P689">
        <f>_xlfn.DAYS(Table13[[#This Row],[Depart]],Table13[[#This Row],[Arrive]])</f>
        <v>10</v>
      </c>
    </row>
    <row r="690" spans="1:16" x14ac:dyDescent="0.25">
      <c r="A690" t="s">
        <v>340</v>
      </c>
      <c r="B690" t="s">
        <v>341</v>
      </c>
      <c r="C690" t="s">
        <v>2226</v>
      </c>
      <c r="D690" s="1">
        <v>44121</v>
      </c>
      <c r="E690" s="1">
        <v>44125</v>
      </c>
      <c r="F690" s="1">
        <v>43996</v>
      </c>
      <c r="G690" s="2">
        <v>0.33333333333333331</v>
      </c>
      <c r="H690" s="3">
        <v>1</v>
      </c>
      <c r="I690" t="s">
        <v>26</v>
      </c>
      <c r="J690" s="12" t="s">
        <v>18</v>
      </c>
      <c r="K690">
        <v>3</v>
      </c>
      <c r="L690">
        <v>0</v>
      </c>
      <c r="M690" t="s">
        <v>19</v>
      </c>
      <c r="N690" s="6">
        <v>425</v>
      </c>
      <c r="O690">
        <f>Table13[[#This Row],[Adults]]+Table13[[#This Row],[Children]]</f>
        <v>3</v>
      </c>
      <c r="P690">
        <f>_xlfn.DAYS(Table13[[#This Row],[Depart]],Table13[[#This Row],[Arrive]])</f>
        <v>4</v>
      </c>
    </row>
    <row r="691" spans="1:16" x14ac:dyDescent="0.25">
      <c r="A691" t="s">
        <v>695</v>
      </c>
      <c r="B691" t="s">
        <v>696</v>
      </c>
      <c r="C691" t="s">
        <v>2225</v>
      </c>
      <c r="D691" s="1">
        <v>44122</v>
      </c>
      <c r="E691" s="1">
        <v>44124</v>
      </c>
      <c r="F691" s="1">
        <v>44074</v>
      </c>
      <c r="G691" s="2">
        <v>0.33333333333333331</v>
      </c>
      <c r="H691" s="3">
        <v>1</v>
      </c>
      <c r="I691" t="s">
        <v>22</v>
      </c>
      <c r="J691" s="12" t="s">
        <v>18</v>
      </c>
      <c r="K691">
        <v>6</v>
      </c>
      <c r="L691">
        <v>0</v>
      </c>
      <c r="M691" t="s">
        <v>19</v>
      </c>
      <c r="N691" s="6">
        <v>236.5</v>
      </c>
      <c r="O691">
        <f>Table13[[#This Row],[Adults]]+Table13[[#This Row],[Children]]</f>
        <v>6</v>
      </c>
      <c r="P691">
        <f>_xlfn.DAYS(Table13[[#This Row],[Depart]],Table13[[#This Row],[Arrive]])</f>
        <v>2</v>
      </c>
    </row>
    <row r="692" spans="1:16" x14ac:dyDescent="0.25">
      <c r="A692" t="s">
        <v>873</v>
      </c>
      <c r="B692" t="s">
        <v>874</v>
      </c>
      <c r="C692" t="s">
        <v>2223</v>
      </c>
      <c r="D692" s="1">
        <v>44122</v>
      </c>
      <c r="E692" s="1">
        <v>44127</v>
      </c>
      <c r="F692" s="1">
        <v>44114</v>
      </c>
      <c r="G692" s="2">
        <v>0.58333333333333337</v>
      </c>
      <c r="H692" s="2">
        <v>0.45833333333333331</v>
      </c>
      <c r="I692" t="s">
        <v>26</v>
      </c>
      <c r="J692" s="12" t="s">
        <v>18</v>
      </c>
      <c r="K692">
        <v>3</v>
      </c>
      <c r="L692">
        <v>0</v>
      </c>
      <c r="M692" t="s">
        <v>19</v>
      </c>
      <c r="N692" s="6">
        <v>588</v>
      </c>
      <c r="O692">
        <f>Table13[[#This Row],[Adults]]+Table13[[#This Row],[Children]]</f>
        <v>3</v>
      </c>
      <c r="P692">
        <f>_xlfn.DAYS(Table13[[#This Row],[Depart]],Table13[[#This Row],[Arrive]])</f>
        <v>5</v>
      </c>
    </row>
    <row r="693" spans="1:16" x14ac:dyDescent="0.25">
      <c r="A693" t="s">
        <v>901</v>
      </c>
      <c r="B693" t="s">
        <v>902</v>
      </c>
      <c r="C693" t="s">
        <v>2223</v>
      </c>
      <c r="D693" s="1">
        <v>44122</v>
      </c>
      <c r="E693" s="1">
        <v>44123</v>
      </c>
      <c r="F693" s="1">
        <v>44119</v>
      </c>
      <c r="G693" s="2">
        <v>0.58333333333333337</v>
      </c>
      <c r="H693" s="2">
        <v>0.45833333333333331</v>
      </c>
      <c r="I693" t="s">
        <v>22</v>
      </c>
      <c r="J693" s="12" t="s">
        <v>23</v>
      </c>
      <c r="K693">
        <v>2</v>
      </c>
      <c r="L693">
        <v>0</v>
      </c>
      <c r="M693" t="s">
        <v>19</v>
      </c>
      <c r="N693" s="6">
        <v>129</v>
      </c>
      <c r="O693">
        <f>Table13[[#This Row],[Adults]]+Table13[[#This Row],[Children]]</f>
        <v>2</v>
      </c>
      <c r="P693">
        <f>_xlfn.DAYS(Table13[[#This Row],[Depart]],Table13[[#This Row],[Arrive]])</f>
        <v>1</v>
      </c>
    </row>
    <row r="694" spans="1:16" x14ac:dyDescent="0.25">
      <c r="A694" t="s">
        <v>913</v>
      </c>
      <c r="B694" t="s">
        <v>914</v>
      </c>
      <c r="C694" t="s">
        <v>2224</v>
      </c>
      <c r="D694" s="1">
        <v>44123</v>
      </c>
      <c r="E694" s="1">
        <v>44124</v>
      </c>
      <c r="F694" s="1">
        <v>44120</v>
      </c>
      <c r="G694" s="2">
        <v>0.33333333333333331</v>
      </c>
      <c r="H694" s="3">
        <v>1</v>
      </c>
      <c r="I694" t="s">
        <v>22</v>
      </c>
      <c r="J694" s="12" t="s">
        <v>18</v>
      </c>
      <c r="K694">
        <v>5</v>
      </c>
      <c r="L694">
        <v>0</v>
      </c>
      <c r="M694" t="s">
        <v>19</v>
      </c>
      <c r="N694" s="6">
        <v>129</v>
      </c>
      <c r="O694">
        <f>Table13[[#This Row],[Adults]]+Table13[[#This Row],[Children]]</f>
        <v>5</v>
      </c>
      <c r="P694">
        <f>_xlfn.DAYS(Table13[[#This Row],[Depart]],Table13[[#This Row],[Arrive]])</f>
        <v>1</v>
      </c>
    </row>
    <row r="695" spans="1:16" x14ac:dyDescent="0.25">
      <c r="A695" t="s">
        <v>919</v>
      </c>
      <c r="B695" t="s">
        <v>920</v>
      </c>
      <c r="C695" t="s">
        <v>2224</v>
      </c>
      <c r="D695" s="1">
        <v>44123</v>
      </c>
      <c r="E695" s="1">
        <v>44124</v>
      </c>
      <c r="F695" s="1">
        <v>44122</v>
      </c>
      <c r="G695" s="2">
        <v>0.33333333333333331</v>
      </c>
      <c r="H695" s="3">
        <v>1</v>
      </c>
      <c r="I695" t="s">
        <v>22</v>
      </c>
      <c r="J695" s="12" t="s">
        <v>23</v>
      </c>
      <c r="K695">
        <v>2</v>
      </c>
      <c r="L695">
        <v>0</v>
      </c>
      <c r="M695" t="s">
        <v>19</v>
      </c>
      <c r="N695" s="6">
        <v>129</v>
      </c>
      <c r="O695">
        <f>Table13[[#This Row],[Adults]]+Table13[[#This Row],[Children]]</f>
        <v>2</v>
      </c>
      <c r="P695">
        <f>_xlfn.DAYS(Table13[[#This Row],[Depart]],Table13[[#This Row],[Arrive]])</f>
        <v>1</v>
      </c>
    </row>
    <row r="696" spans="1:16" x14ac:dyDescent="0.25">
      <c r="A696" t="s">
        <v>919</v>
      </c>
      <c r="B696" t="s">
        <v>920</v>
      </c>
      <c r="C696" t="s">
        <v>2225</v>
      </c>
      <c r="D696" s="1">
        <v>44123</v>
      </c>
      <c r="E696" s="1">
        <v>44124</v>
      </c>
      <c r="F696" s="1">
        <v>44122</v>
      </c>
      <c r="G696" s="2">
        <v>0.33333333333333331</v>
      </c>
      <c r="H696" s="3">
        <v>1</v>
      </c>
      <c r="I696" t="s">
        <v>22</v>
      </c>
      <c r="J696" s="12" t="s">
        <v>18</v>
      </c>
      <c r="K696">
        <v>2</v>
      </c>
      <c r="L696">
        <v>0</v>
      </c>
      <c r="M696" t="s">
        <v>19</v>
      </c>
      <c r="N696" s="6">
        <v>129</v>
      </c>
      <c r="O696">
        <f>Table13[[#This Row],[Adults]]+Table13[[#This Row],[Children]]</f>
        <v>2</v>
      </c>
      <c r="P696">
        <f>_xlfn.DAYS(Table13[[#This Row],[Depart]],Table13[[#This Row],[Arrive]])</f>
        <v>1</v>
      </c>
    </row>
    <row r="697" spans="1:16" x14ac:dyDescent="0.25">
      <c r="A697" t="s">
        <v>921</v>
      </c>
      <c r="B697" t="s">
        <v>922</v>
      </c>
      <c r="C697" t="s">
        <v>2225</v>
      </c>
      <c r="D697" s="1">
        <v>44123</v>
      </c>
      <c r="E697" s="1">
        <v>44124</v>
      </c>
      <c r="F697" s="1">
        <v>44123</v>
      </c>
      <c r="G697" s="2">
        <v>0.33333333333333331</v>
      </c>
      <c r="H697" s="3">
        <v>1</v>
      </c>
      <c r="I697" t="s">
        <v>22</v>
      </c>
      <c r="J697" s="12" t="s">
        <v>23</v>
      </c>
      <c r="K697">
        <v>5</v>
      </c>
      <c r="L697">
        <v>0</v>
      </c>
      <c r="M697" t="s">
        <v>19</v>
      </c>
      <c r="N697" s="6">
        <v>129</v>
      </c>
      <c r="O697">
        <f>Table13[[#This Row],[Adults]]+Table13[[#This Row],[Children]]</f>
        <v>5</v>
      </c>
      <c r="P697">
        <f>_xlfn.DAYS(Table13[[#This Row],[Depart]],Table13[[#This Row],[Arrive]])</f>
        <v>1</v>
      </c>
    </row>
    <row r="698" spans="1:16" x14ac:dyDescent="0.25">
      <c r="A698" t="s">
        <v>937</v>
      </c>
      <c r="B698" t="s">
        <v>938</v>
      </c>
      <c r="C698" t="s">
        <v>2223</v>
      </c>
      <c r="D698" s="1">
        <v>44123</v>
      </c>
      <c r="E698" s="1">
        <v>44126</v>
      </c>
      <c r="F698" s="1">
        <v>44117</v>
      </c>
      <c r="G698" s="2">
        <v>0.58333333333333337</v>
      </c>
      <c r="H698" s="2">
        <v>0.45833333333333331</v>
      </c>
      <c r="I698" t="s">
        <v>22</v>
      </c>
      <c r="J698" s="12" t="s">
        <v>23</v>
      </c>
      <c r="K698">
        <v>4</v>
      </c>
      <c r="L698">
        <v>0</v>
      </c>
      <c r="M698" t="s">
        <v>19</v>
      </c>
      <c r="N698" s="6">
        <v>387</v>
      </c>
      <c r="O698">
        <f>Table13[[#This Row],[Adults]]+Table13[[#This Row],[Children]]</f>
        <v>4</v>
      </c>
      <c r="P698">
        <f>_xlfn.DAYS(Table13[[#This Row],[Depart]],Table13[[#This Row],[Arrive]])</f>
        <v>3</v>
      </c>
    </row>
    <row r="699" spans="1:16" x14ac:dyDescent="0.25">
      <c r="A699" t="s">
        <v>134</v>
      </c>
      <c r="B699" t="s">
        <v>135</v>
      </c>
      <c r="C699" t="s">
        <v>2225</v>
      </c>
      <c r="D699" s="1">
        <v>44124</v>
      </c>
      <c r="E699" s="1">
        <v>44128</v>
      </c>
      <c r="F699" s="1">
        <v>44082</v>
      </c>
      <c r="G699" s="2">
        <v>0.33333333333333331</v>
      </c>
      <c r="H699" s="3">
        <v>1</v>
      </c>
      <c r="I699" t="s">
        <v>22</v>
      </c>
      <c r="J699" s="12" t="s">
        <v>18</v>
      </c>
      <c r="K699">
        <v>5</v>
      </c>
      <c r="L699">
        <v>0</v>
      </c>
      <c r="M699" t="s">
        <v>19</v>
      </c>
      <c r="N699" s="6">
        <v>473</v>
      </c>
      <c r="O699">
        <f>Table13[[#This Row],[Adults]]+Table13[[#This Row],[Children]]</f>
        <v>5</v>
      </c>
      <c r="P699">
        <f>_xlfn.DAYS(Table13[[#This Row],[Depart]],Table13[[#This Row],[Arrive]])</f>
        <v>4</v>
      </c>
    </row>
    <row r="700" spans="1:16" x14ac:dyDescent="0.25">
      <c r="A700" t="s">
        <v>144</v>
      </c>
      <c r="B700" t="s">
        <v>145</v>
      </c>
      <c r="C700" t="s">
        <v>2223</v>
      </c>
      <c r="D700" s="1">
        <v>44124</v>
      </c>
      <c r="E700" s="1">
        <v>44127</v>
      </c>
      <c r="F700" s="1">
        <v>44086</v>
      </c>
      <c r="G700" s="2">
        <v>0.58333333333333337</v>
      </c>
      <c r="H700" s="2">
        <v>0.45833333333333331</v>
      </c>
      <c r="I700" t="s">
        <v>22</v>
      </c>
      <c r="J700" s="12" t="s">
        <v>18</v>
      </c>
      <c r="K700">
        <v>5</v>
      </c>
      <c r="L700">
        <v>0</v>
      </c>
      <c r="M700" t="s">
        <v>19</v>
      </c>
      <c r="N700" s="6">
        <v>354.75</v>
      </c>
      <c r="O700">
        <f>Table13[[#This Row],[Adults]]+Table13[[#This Row],[Children]]</f>
        <v>5</v>
      </c>
      <c r="P700">
        <f>_xlfn.DAYS(Table13[[#This Row],[Depart]],Table13[[#This Row],[Arrive]])</f>
        <v>3</v>
      </c>
    </row>
    <row r="701" spans="1:16" x14ac:dyDescent="0.25">
      <c r="A701" t="s">
        <v>881</v>
      </c>
      <c r="B701" t="s">
        <v>882</v>
      </c>
      <c r="C701" t="s">
        <v>2226</v>
      </c>
      <c r="D701" s="1">
        <v>44124</v>
      </c>
      <c r="E701" s="1">
        <v>44125</v>
      </c>
      <c r="F701" s="1">
        <v>44116</v>
      </c>
      <c r="G701" s="2">
        <v>0.5</v>
      </c>
      <c r="H701" s="2">
        <v>0.58333333333333337</v>
      </c>
      <c r="I701" t="s">
        <v>22</v>
      </c>
      <c r="J701" s="12" t="s">
        <v>18</v>
      </c>
      <c r="K701">
        <v>1</v>
      </c>
      <c r="L701">
        <v>0</v>
      </c>
      <c r="M701" t="s">
        <v>19</v>
      </c>
      <c r="N701" s="6">
        <v>130000</v>
      </c>
      <c r="O701">
        <f>Table13[[#This Row],[Adults]]+Table13[[#This Row],[Children]]</f>
        <v>1</v>
      </c>
      <c r="P701">
        <f>_xlfn.DAYS(Table13[[#This Row],[Depart]],Table13[[#This Row],[Arrive]])</f>
        <v>1</v>
      </c>
    </row>
    <row r="702" spans="1:16" x14ac:dyDescent="0.25">
      <c r="A702" t="s">
        <v>583</v>
      </c>
      <c r="B702" t="s">
        <v>584</v>
      </c>
      <c r="C702" t="s">
        <v>2229</v>
      </c>
      <c r="D702" s="1">
        <v>44124</v>
      </c>
      <c r="E702" s="1">
        <v>44125</v>
      </c>
      <c r="F702" s="1">
        <v>44117</v>
      </c>
      <c r="G702" s="2">
        <v>0.58333333333333337</v>
      </c>
      <c r="H702" s="2">
        <v>0.5</v>
      </c>
      <c r="I702" t="s">
        <v>22</v>
      </c>
      <c r="J702" s="12" t="s">
        <v>18</v>
      </c>
      <c r="K702">
        <v>3</v>
      </c>
      <c r="L702">
        <v>0</v>
      </c>
      <c r="M702" t="s">
        <v>19</v>
      </c>
      <c r="N702" s="6">
        <v>188.13</v>
      </c>
      <c r="O702">
        <f>Table13[[#This Row],[Adults]]+Table13[[#This Row],[Children]]</f>
        <v>3</v>
      </c>
      <c r="P702">
        <f>_xlfn.DAYS(Table13[[#This Row],[Depart]],Table13[[#This Row],[Arrive]])</f>
        <v>1</v>
      </c>
    </row>
    <row r="703" spans="1:16" x14ac:dyDescent="0.25">
      <c r="A703" t="s">
        <v>943</v>
      </c>
      <c r="B703" t="s">
        <v>944</v>
      </c>
      <c r="C703" t="s">
        <v>2224</v>
      </c>
      <c r="D703" s="1">
        <v>44124</v>
      </c>
      <c r="E703" s="1">
        <v>44127</v>
      </c>
      <c r="F703" s="1">
        <v>44074</v>
      </c>
      <c r="G703" s="2">
        <v>0.33333333333333331</v>
      </c>
      <c r="H703" s="3">
        <v>1</v>
      </c>
      <c r="I703" t="s">
        <v>22</v>
      </c>
      <c r="J703" s="12" t="s">
        <v>23</v>
      </c>
      <c r="K703">
        <v>6</v>
      </c>
      <c r="L703">
        <v>0</v>
      </c>
      <c r="M703" t="s">
        <v>19</v>
      </c>
      <c r="N703" s="6">
        <v>387</v>
      </c>
      <c r="O703">
        <f>Table13[[#This Row],[Adults]]+Table13[[#This Row],[Children]]</f>
        <v>6</v>
      </c>
      <c r="P703">
        <f>_xlfn.DAYS(Table13[[#This Row],[Depart]],Table13[[#This Row],[Arrive]])</f>
        <v>3</v>
      </c>
    </row>
    <row r="704" spans="1:16" x14ac:dyDescent="0.25">
      <c r="A704" t="s">
        <v>895</v>
      </c>
      <c r="B704" t="s">
        <v>896</v>
      </c>
      <c r="C704" t="s">
        <v>2226</v>
      </c>
      <c r="D704" s="1">
        <v>44125</v>
      </c>
      <c r="E704" s="1">
        <v>44126</v>
      </c>
      <c r="F704" s="1">
        <v>44120</v>
      </c>
      <c r="G704" s="2">
        <v>0.5</v>
      </c>
      <c r="H704" s="2">
        <v>0.58333333333333337</v>
      </c>
      <c r="I704" t="s">
        <v>22</v>
      </c>
      <c r="J704" s="12" t="s">
        <v>18</v>
      </c>
      <c r="K704">
        <v>1</v>
      </c>
      <c r="L704">
        <v>0</v>
      </c>
      <c r="M704" t="s">
        <v>19</v>
      </c>
      <c r="N704" s="6">
        <v>130000</v>
      </c>
      <c r="O704">
        <f>Table13[[#This Row],[Adults]]+Table13[[#This Row],[Children]]</f>
        <v>1</v>
      </c>
      <c r="P704">
        <f>_xlfn.DAYS(Table13[[#This Row],[Depart]],Table13[[#This Row],[Arrive]])</f>
        <v>1</v>
      </c>
    </row>
    <row r="705" spans="1:16" x14ac:dyDescent="0.25">
      <c r="A705" t="s">
        <v>909</v>
      </c>
      <c r="B705" t="s">
        <v>910</v>
      </c>
      <c r="C705" t="s">
        <v>2226</v>
      </c>
      <c r="D705" s="1">
        <v>44125</v>
      </c>
      <c r="E705" s="1">
        <v>44126</v>
      </c>
      <c r="F705" s="1">
        <v>44120</v>
      </c>
      <c r="G705" s="2">
        <v>0.5</v>
      </c>
      <c r="H705" s="2">
        <v>0.58333333333333337</v>
      </c>
      <c r="I705" t="s">
        <v>22</v>
      </c>
      <c r="J705" s="12" t="s">
        <v>18</v>
      </c>
      <c r="K705">
        <v>1</v>
      </c>
      <c r="L705">
        <v>0</v>
      </c>
      <c r="M705" t="s">
        <v>19</v>
      </c>
      <c r="N705" s="6">
        <v>130000</v>
      </c>
      <c r="O705">
        <f>Table13[[#This Row],[Adults]]+Table13[[#This Row],[Children]]</f>
        <v>1</v>
      </c>
      <c r="P705">
        <f>_xlfn.DAYS(Table13[[#This Row],[Depart]],Table13[[#This Row],[Arrive]])</f>
        <v>1</v>
      </c>
    </row>
    <row r="706" spans="1:16" x14ac:dyDescent="0.25">
      <c r="A706" t="s">
        <v>929</v>
      </c>
      <c r="B706" t="s">
        <v>930</v>
      </c>
      <c r="C706" t="s">
        <v>2223</v>
      </c>
      <c r="D706" s="1">
        <v>44125</v>
      </c>
      <c r="E706" s="1">
        <v>44127</v>
      </c>
      <c r="F706" s="1">
        <v>44125</v>
      </c>
      <c r="G706" s="2">
        <v>0.58333333333333337</v>
      </c>
      <c r="H706" s="2">
        <v>0.45833333333333331</v>
      </c>
      <c r="I706" t="s">
        <v>26</v>
      </c>
      <c r="J706" s="12" t="s">
        <v>18</v>
      </c>
      <c r="K706">
        <v>5</v>
      </c>
      <c r="L706">
        <v>0</v>
      </c>
      <c r="M706" t="s">
        <v>19</v>
      </c>
      <c r="N706" s="6">
        <v>231</v>
      </c>
      <c r="O706">
        <f>Table13[[#This Row],[Adults]]+Table13[[#This Row],[Children]]</f>
        <v>5</v>
      </c>
      <c r="P706">
        <f>_xlfn.DAYS(Table13[[#This Row],[Depart]],Table13[[#This Row],[Arrive]])</f>
        <v>2</v>
      </c>
    </row>
    <row r="707" spans="1:16" x14ac:dyDescent="0.25">
      <c r="A707" t="s">
        <v>472</v>
      </c>
      <c r="B707" t="s">
        <v>473</v>
      </c>
      <c r="C707" t="s">
        <v>2227</v>
      </c>
      <c r="D707" s="1">
        <v>44125</v>
      </c>
      <c r="E707" s="1">
        <v>44126</v>
      </c>
      <c r="F707" s="1">
        <v>44121</v>
      </c>
      <c r="G707" s="2">
        <v>0.58333333333333337</v>
      </c>
      <c r="H707" s="2">
        <v>0.45833333333333331</v>
      </c>
      <c r="I707" t="s">
        <v>22</v>
      </c>
      <c r="J707" s="12" t="s">
        <v>18</v>
      </c>
      <c r="K707">
        <v>4</v>
      </c>
      <c r="L707">
        <v>0</v>
      </c>
      <c r="M707" t="s">
        <v>19</v>
      </c>
      <c r="N707" s="6">
        <v>188.13</v>
      </c>
      <c r="O707">
        <f>Table13[[#This Row],[Adults]]+Table13[[#This Row],[Children]]</f>
        <v>4</v>
      </c>
      <c r="P707">
        <f>_xlfn.DAYS(Table13[[#This Row],[Depart]],Table13[[#This Row],[Arrive]])</f>
        <v>1</v>
      </c>
    </row>
    <row r="708" spans="1:16" x14ac:dyDescent="0.25">
      <c r="A708" t="s">
        <v>839</v>
      </c>
      <c r="B708" t="s">
        <v>840</v>
      </c>
      <c r="C708" t="s">
        <v>2229</v>
      </c>
      <c r="D708" s="1">
        <v>44126</v>
      </c>
      <c r="E708" s="1">
        <v>44132</v>
      </c>
      <c r="F708" s="1">
        <v>44106</v>
      </c>
      <c r="G708" s="2">
        <v>0.58333333333333337</v>
      </c>
      <c r="H708" s="2">
        <v>0.5</v>
      </c>
      <c r="I708" t="s">
        <v>26</v>
      </c>
      <c r="J708" s="12" t="s">
        <v>18</v>
      </c>
      <c r="K708">
        <v>3</v>
      </c>
      <c r="L708">
        <v>0</v>
      </c>
      <c r="M708" t="s">
        <v>19</v>
      </c>
      <c r="N708" s="6">
        <v>1151</v>
      </c>
      <c r="O708">
        <f>Table13[[#This Row],[Adults]]+Table13[[#This Row],[Children]]</f>
        <v>3</v>
      </c>
      <c r="P708">
        <f>_xlfn.DAYS(Table13[[#This Row],[Depart]],Table13[[#This Row],[Arrive]])</f>
        <v>6</v>
      </c>
    </row>
    <row r="709" spans="1:16" x14ac:dyDescent="0.25">
      <c r="A709" t="s">
        <v>897</v>
      </c>
      <c r="B709" t="s">
        <v>898</v>
      </c>
      <c r="C709" t="s">
        <v>2229</v>
      </c>
      <c r="D709" s="1">
        <v>44126</v>
      </c>
      <c r="E709" s="1">
        <v>44129</v>
      </c>
      <c r="F709" s="1">
        <v>44107</v>
      </c>
      <c r="G709" s="2">
        <v>0.58333333333333337</v>
      </c>
      <c r="H709" s="2">
        <v>0.5</v>
      </c>
      <c r="I709" t="s">
        <v>22</v>
      </c>
      <c r="J709" s="12" t="s">
        <v>18</v>
      </c>
      <c r="K709">
        <v>3</v>
      </c>
      <c r="L709">
        <v>0</v>
      </c>
      <c r="M709" t="s">
        <v>19</v>
      </c>
      <c r="N709" s="6">
        <v>564.38</v>
      </c>
      <c r="O709">
        <f>Table13[[#This Row],[Adults]]+Table13[[#This Row],[Children]]</f>
        <v>3</v>
      </c>
      <c r="P709">
        <f>_xlfn.DAYS(Table13[[#This Row],[Depart]],Table13[[#This Row],[Arrive]])</f>
        <v>3</v>
      </c>
    </row>
    <row r="710" spans="1:16" x14ac:dyDescent="0.25">
      <c r="A710" t="s">
        <v>933</v>
      </c>
      <c r="B710" t="s">
        <v>934</v>
      </c>
      <c r="C710" t="s">
        <v>2227</v>
      </c>
      <c r="D710" s="1">
        <v>44126</v>
      </c>
      <c r="E710" s="1">
        <v>44127</v>
      </c>
      <c r="F710" s="1">
        <v>44120</v>
      </c>
      <c r="G710" s="2">
        <v>0.58333333333333337</v>
      </c>
      <c r="H710" s="2">
        <v>0.45833333333333331</v>
      </c>
      <c r="I710" t="s">
        <v>22</v>
      </c>
      <c r="J710" s="12" t="s">
        <v>18</v>
      </c>
      <c r="K710">
        <v>4</v>
      </c>
      <c r="L710">
        <v>0</v>
      </c>
      <c r="M710" t="s">
        <v>19</v>
      </c>
      <c r="N710" s="6">
        <v>188.13</v>
      </c>
      <c r="O710">
        <f>Table13[[#This Row],[Adults]]+Table13[[#This Row],[Children]]</f>
        <v>4</v>
      </c>
      <c r="P710">
        <f>_xlfn.DAYS(Table13[[#This Row],[Depart]],Table13[[#This Row],[Arrive]])</f>
        <v>1</v>
      </c>
    </row>
    <row r="711" spans="1:16" x14ac:dyDescent="0.25">
      <c r="A711" t="s">
        <v>913</v>
      </c>
      <c r="B711" t="s">
        <v>914</v>
      </c>
      <c r="C711" t="s">
        <v>2224</v>
      </c>
      <c r="D711" s="1">
        <v>44126</v>
      </c>
      <c r="E711" s="1">
        <v>44127</v>
      </c>
      <c r="F711" s="1">
        <v>44120</v>
      </c>
      <c r="G711" s="2">
        <v>0.33333333333333331</v>
      </c>
      <c r="H711" s="3">
        <v>1</v>
      </c>
      <c r="I711" t="s">
        <v>22</v>
      </c>
      <c r="J711" s="12" t="s">
        <v>18</v>
      </c>
      <c r="K711">
        <v>6</v>
      </c>
      <c r="L711">
        <v>0</v>
      </c>
      <c r="M711" t="s">
        <v>19</v>
      </c>
      <c r="N711" s="6">
        <v>129</v>
      </c>
      <c r="O711">
        <f>Table13[[#This Row],[Adults]]+Table13[[#This Row],[Children]]</f>
        <v>6</v>
      </c>
      <c r="P711">
        <f>_xlfn.DAYS(Table13[[#This Row],[Depart]],Table13[[#This Row],[Arrive]])</f>
        <v>1</v>
      </c>
    </row>
    <row r="712" spans="1:16" x14ac:dyDescent="0.25">
      <c r="A712" t="s">
        <v>661</v>
      </c>
      <c r="B712" t="s">
        <v>662</v>
      </c>
      <c r="C712" t="s">
        <v>2223</v>
      </c>
      <c r="D712" s="1">
        <v>44127</v>
      </c>
      <c r="E712" s="1">
        <v>44133</v>
      </c>
      <c r="F712" s="1">
        <v>44067</v>
      </c>
      <c r="G712" s="2">
        <v>0.58333333333333337</v>
      </c>
      <c r="H712" s="2">
        <v>0.45833333333333331</v>
      </c>
      <c r="I712" t="s">
        <v>26</v>
      </c>
      <c r="J712" s="12" t="s">
        <v>18</v>
      </c>
      <c r="K712">
        <v>1</v>
      </c>
      <c r="L712">
        <v>0</v>
      </c>
      <c r="M712" t="s">
        <v>19</v>
      </c>
      <c r="N712" s="6">
        <v>617</v>
      </c>
      <c r="O712">
        <f>Table13[[#This Row],[Adults]]+Table13[[#This Row],[Children]]</f>
        <v>1</v>
      </c>
      <c r="P712">
        <f>_xlfn.DAYS(Table13[[#This Row],[Depart]],Table13[[#This Row],[Arrive]])</f>
        <v>6</v>
      </c>
    </row>
    <row r="713" spans="1:16" x14ac:dyDescent="0.25">
      <c r="A713" t="s">
        <v>931</v>
      </c>
      <c r="B713" t="s">
        <v>932</v>
      </c>
      <c r="C713" t="s">
        <v>2224</v>
      </c>
      <c r="D713" s="1">
        <v>44127</v>
      </c>
      <c r="E713" s="1">
        <v>44130</v>
      </c>
      <c r="F713" s="1">
        <v>44093</v>
      </c>
      <c r="G713" s="2">
        <v>0.33333333333333331</v>
      </c>
      <c r="H713" s="3">
        <v>1</v>
      </c>
      <c r="I713" t="s">
        <v>22</v>
      </c>
      <c r="J713" s="12" t="s">
        <v>18</v>
      </c>
      <c r="K713">
        <v>4</v>
      </c>
      <c r="L713">
        <v>0</v>
      </c>
      <c r="M713" t="s">
        <v>19</v>
      </c>
      <c r="N713" s="6">
        <v>387</v>
      </c>
      <c r="O713">
        <f>Table13[[#This Row],[Adults]]+Table13[[#This Row],[Children]]</f>
        <v>4</v>
      </c>
      <c r="P713">
        <f>_xlfn.DAYS(Table13[[#This Row],[Depart]],Table13[[#This Row],[Arrive]])</f>
        <v>3</v>
      </c>
    </row>
    <row r="714" spans="1:16" x14ac:dyDescent="0.25">
      <c r="A714" t="s">
        <v>142</v>
      </c>
      <c r="B714" t="s">
        <v>143</v>
      </c>
      <c r="C714" t="s">
        <v>2225</v>
      </c>
      <c r="D714" s="1">
        <v>44128</v>
      </c>
      <c r="E714" s="1">
        <v>44135</v>
      </c>
      <c r="F714" s="1">
        <v>44079</v>
      </c>
      <c r="G714" s="2">
        <v>0.33333333333333331</v>
      </c>
      <c r="H714" s="3">
        <v>1</v>
      </c>
      <c r="I714" t="s">
        <v>22</v>
      </c>
      <c r="J714" s="12" t="s">
        <v>18</v>
      </c>
      <c r="K714">
        <v>4</v>
      </c>
      <c r="L714">
        <v>0</v>
      </c>
      <c r="M714" t="s">
        <v>19</v>
      </c>
      <c r="N714" s="6">
        <v>827.75</v>
      </c>
      <c r="O714">
        <f>Table13[[#This Row],[Adults]]+Table13[[#This Row],[Children]]</f>
        <v>4</v>
      </c>
      <c r="P714">
        <f>_xlfn.DAYS(Table13[[#This Row],[Depart]],Table13[[#This Row],[Arrive]])</f>
        <v>7</v>
      </c>
    </row>
    <row r="715" spans="1:16" x14ac:dyDescent="0.25">
      <c r="A715" t="s">
        <v>949</v>
      </c>
      <c r="B715" t="s">
        <v>950</v>
      </c>
      <c r="C715" t="s">
        <v>2224</v>
      </c>
      <c r="D715" s="1">
        <v>44128</v>
      </c>
      <c r="E715" s="1">
        <v>44131</v>
      </c>
      <c r="F715" s="1">
        <v>44128</v>
      </c>
      <c r="G715" s="2">
        <v>0.33333333333333331</v>
      </c>
      <c r="H715" s="3">
        <v>1</v>
      </c>
      <c r="I715" t="s">
        <v>22</v>
      </c>
      <c r="J715" s="12" t="s">
        <v>23</v>
      </c>
      <c r="K715">
        <v>5</v>
      </c>
      <c r="L715">
        <v>0</v>
      </c>
      <c r="M715" t="s">
        <v>19</v>
      </c>
      <c r="N715" s="6">
        <v>387</v>
      </c>
      <c r="O715">
        <f>Table13[[#This Row],[Adults]]+Table13[[#This Row],[Children]]</f>
        <v>5</v>
      </c>
      <c r="P715">
        <f>_xlfn.DAYS(Table13[[#This Row],[Depart]],Table13[[#This Row],[Arrive]])</f>
        <v>3</v>
      </c>
    </row>
    <row r="716" spans="1:16" x14ac:dyDescent="0.25">
      <c r="A716" t="s">
        <v>941</v>
      </c>
      <c r="B716" t="s">
        <v>942</v>
      </c>
      <c r="C716" t="s">
        <v>2227</v>
      </c>
      <c r="D716" s="1">
        <v>44129</v>
      </c>
      <c r="E716" s="1">
        <v>44130</v>
      </c>
      <c r="F716" s="1">
        <v>44120</v>
      </c>
      <c r="G716" s="2">
        <v>0.58333333333333337</v>
      </c>
      <c r="H716" s="2">
        <v>0.45833333333333331</v>
      </c>
      <c r="I716" t="s">
        <v>22</v>
      </c>
      <c r="J716" s="12" t="s">
        <v>18</v>
      </c>
      <c r="K716">
        <v>4</v>
      </c>
      <c r="L716">
        <v>0</v>
      </c>
      <c r="M716" t="s">
        <v>19</v>
      </c>
      <c r="N716" s="6">
        <v>188.13</v>
      </c>
      <c r="O716">
        <f>Table13[[#This Row],[Adults]]+Table13[[#This Row],[Children]]</f>
        <v>4</v>
      </c>
      <c r="P716">
        <f>_xlfn.DAYS(Table13[[#This Row],[Depart]],Table13[[#This Row],[Arrive]])</f>
        <v>1</v>
      </c>
    </row>
    <row r="717" spans="1:16" x14ac:dyDescent="0.25">
      <c r="A717" t="s">
        <v>416</v>
      </c>
      <c r="B717" t="s">
        <v>417</v>
      </c>
      <c r="C717" t="s">
        <v>2226</v>
      </c>
      <c r="D717" s="1">
        <v>44130</v>
      </c>
      <c r="E717" s="1">
        <v>44131</v>
      </c>
      <c r="F717" s="1">
        <v>44114</v>
      </c>
      <c r="G717" s="2">
        <v>0.5</v>
      </c>
      <c r="H717" s="2">
        <v>0.58333333333333337</v>
      </c>
      <c r="I717" t="s">
        <v>22</v>
      </c>
      <c r="J717" s="12" t="s">
        <v>18</v>
      </c>
      <c r="K717">
        <v>1</v>
      </c>
      <c r="L717">
        <v>0</v>
      </c>
      <c r="M717" t="s">
        <v>19</v>
      </c>
      <c r="N717" s="6">
        <v>85000</v>
      </c>
      <c r="O717">
        <f>Table13[[#This Row],[Adults]]+Table13[[#This Row],[Children]]</f>
        <v>1</v>
      </c>
      <c r="P717">
        <f>_xlfn.DAYS(Table13[[#This Row],[Depart]],Table13[[#This Row],[Arrive]])</f>
        <v>1</v>
      </c>
    </row>
    <row r="718" spans="1:16" x14ac:dyDescent="0.25">
      <c r="A718" t="s">
        <v>893</v>
      </c>
      <c r="B718" t="s">
        <v>894</v>
      </c>
      <c r="C718" t="s">
        <v>2226</v>
      </c>
      <c r="D718" s="1">
        <v>44130</v>
      </c>
      <c r="E718" s="1">
        <v>44133</v>
      </c>
      <c r="F718" s="1">
        <v>44118</v>
      </c>
      <c r="G718" s="2">
        <v>0.5</v>
      </c>
      <c r="H718" s="2">
        <v>0.58333333333333337</v>
      </c>
      <c r="I718" t="s">
        <v>22</v>
      </c>
      <c r="J718" s="12" t="s">
        <v>18</v>
      </c>
      <c r="K718">
        <v>1</v>
      </c>
      <c r="L718">
        <v>0</v>
      </c>
      <c r="M718" t="s">
        <v>19</v>
      </c>
      <c r="N718" s="6">
        <v>390000</v>
      </c>
      <c r="O718">
        <f>Table13[[#This Row],[Adults]]+Table13[[#This Row],[Children]]</f>
        <v>1</v>
      </c>
      <c r="P718">
        <f>_xlfn.DAYS(Table13[[#This Row],[Depart]],Table13[[#This Row],[Arrive]])</f>
        <v>3</v>
      </c>
    </row>
    <row r="719" spans="1:16" x14ac:dyDescent="0.25">
      <c r="A719" t="s">
        <v>561</v>
      </c>
      <c r="B719" t="s">
        <v>562</v>
      </c>
      <c r="C719" t="s">
        <v>2227</v>
      </c>
      <c r="D719" s="1">
        <v>44130</v>
      </c>
      <c r="E719" s="1">
        <v>44134</v>
      </c>
      <c r="F719" s="1">
        <v>44120</v>
      </c>
      <c r="G719" s="2">
        <v>0.58333333333333337</v>
      </c>
      <c r="H719" s="2">
        <v>0.45833333333333331</v>
      </c>
      <c r="I719" t="s">
        <v>22</v>
      </c>
      <c r="J719" s="12" t="s">
        <v>18</v>
      </c>
      <c r="K719">
        <v>5</v>
      </c>
      <c r="L719">
        <v>0</v>
      </c>
      <c r="M719" t="s">
        <v>19</v>
      </c>
      <c r="N719" s="6">
        <v>752.5</v>
      </c>
      <c r="O719">
        <f>Table13[[#This Row],[Adults]]+Table13[[#This Row],[Children]]</f>
        <v>5</v>
      </c>
      <c r="P719">
        <f>_xlfn.DAYS(Table13[[#This Row],[Depart]],Table13[[#This Row],[Arrive]])</f>
        <v>4</v>
      </c>
    </row>
    <row r="720" spans="1:16" x14ac:dyDescent="0.25">
      <c r="A720" t="s">
        <v>953</v>
      </c>
      <c r="B720" t="s">
        <v>954</v>
      </c>
      <c r="C720" t="s">
        <v>2227</v>
      </c>
      <c r="D720" s="1">
        <v>44130</v>
      </c>
      <c r="E720" s="1">
        <v>44132</v>
      </c>
      <c r="F720" s="1">
        <v>44130</v>
      </c>
      <c r="G720" s="2">
        <v>0.58333333333333337</v>
      </c>
      <c r="H720" s="2">
        <v>0.45833333333333331</v>
      </c>
      <c r="I720" t="s">
        <v>22</v>
      </c>
      <c r="J720" s="12" t="s">
        <v>23</v>
      </c>
      <c r="K720">
        <v>6</v>
      </c>
      <c r="L720">
        <v>0</v>
      </c>
      <c r="M720" t="s">
        <v>19</v>
      </c>
      <c r="N720" s="6">
        <v>427.85</v>
      </c>
      <c r="O720">
        <f>Table13[[#This Row],[Adults]]+Table13[[#This Row],[Children]]</f>
        <v>6</v>
      </c>
      <c r="P720">
        <f>_xlfn.DAYS(Table13[[#This Row],[Depart]],Table13[[#This Row],[Arrive]])</f>
        <v>2</v>
      </c>
    </row>
    <row r="721" spans="1:16" x14ac:dyDescent="0.25">
      <c r="A721" t="s">
        <v>741</v>
      </c>
      <c r="B721" t="s">
        <v>742</v>
      </c>
      <c r="C721" t="s">
        <v>2227</v>
      </c>
      <c r="D721" s="1">
        <v>44131</v>
      </c>
      <c r="E721" s="1">
        <v>44149</v>
      </c>
      <c r="F721" s="1">
        <v>44082</v>
      </c>
      <c r="G721" s="2">
        <v>0.58333333333333337</v>
      </c>
      <c r="H721" s="2">
        <v>0.45833333333333331</v>
      </c>
      <c r="I721" t="s">
        <v>26</v>
      </c>
      <c r="J721" s="12" t="s">
        <v>18</v>
      </c>
      <c r="K721">
        <v>1</v>
      </c>
      <c r="L721">
        <v>0</v>
      </c>
      <c r="M721" t="s">
        <v>19</v>
      </c>
      <c r="N721" s="6">
        <v>1962</v>
      </c>
      <c r="O721">
        <f>Table13[[#This Row],[Adults]]+Table13[[#This Row],[Children]]</f>
        <v>1</v>
      </c>
      <c r="P721">
        <f>_xlfn.DAYS(Table13[[#This Row],[Depart]],Table13[[#This Row],[Arrive]])</f>
        <v>18</v>
      </c>
    </row>
    <row r="722" spans="1:16" x14ac:dyDescent="0.25">
      <c r="A722" t="s">
        <v>883</v>
      </c>
      <c r="B722" t="s">
        <v>884</v>
      </c>
      <c r="C722" t="s">
        <v>2226</v>
      </c>
      <c r="D722" s="1">
        <v>44131</v>
      </c>
      <c r="E722" s="1">
        <v>44132</v>
      </c>
      <c r="F722" s="1">
        <v>44116</v>
      </c>
      <c r="G722" s="2">
        <v>0.5</v>
      </c>
      <c r="H722" s="2">
        <v>0.58333333333333337</v>
      </c>
      <c r="I722" t="s">
        <v>22</v>
      </c>
      <c r="J722" s="12" t="s">
        <v>18</v>
      </c>
      <c r="K722">
        <v>1</v>
      </c>
      <c r="L722">
        <v>0</v>
      </c>
      <c r="M722" t="s">
        <v>19</v>
      </c>
      <c r="N722" s="6">
        <v>130000</v>
      </c>
      <c r="O722">
        <f>Table13[[#This Row],[Adults]]+Table13[[#This Row],[Children]]</f>
        <v>1</v>
      </c>
      <c r="P722">
        <f>_xlfn.DAYS(Table13[[#This Row],[Depart]],Table13[[#This Row],[Arrive]])</f>
        <v>1</v>
      </c>
    </row>
    <row r="723" spans="1:16" x14ac:dyDescent="0.25">
      <c r="A723" t="s">
        <v>893</v>
      </c>
      <c r="B723" t="s">
        <v>894</v>
      </c>
      <c r="C723" t="s">
        <v>2226</v>
      </c>
      <c r="D723" s="1">
        <v>44131</v>
      </c>
      <c r="E723" s="1">
        <v>44134</v>
      </c>
      <c r="F723" s="1">
        <v>44118</v>
      </c>
      <c r="G723" s="2">
        <v>0.5</v>
      </c>
      <c r="H723" s="2">
        <v>0.58333333333333337</v>
      </c>
      <c r="I723" t="s">
        <v>22</v>
      </c>
      <c r="J723" s="12" t="s">
        <v>18</v>
      </c>
      <c r="K723">
        <v>1</v>
      </c>
      <c r="L723">
        <v>0</v>
      </c>
      <c r="M723" t="s">
        <v>19</v>
      </c>
      <c r="N723" s="6">
        <v>390000</v>
      </c>
      <c r="O723">
        <f>Table13[[#This Row],[Adults]]+Table13[[#This Row],[Children]]</f>
        <v>1</v>
      </c>
      <c r="P723">
        <f>_xlfn.DAYS(Table13[[#This Row],[Depart]],Table13[[#This Row],[Arrive]])</f>
        <v>3</v>
      </c>
    </row>
    <row r="724" spans="1:16" x14ac:dyDescent="0.25">
      <c r="A724" t="s">
        <v>296</v>
      </c>
      <c r="B724" t="s">
        <v>297</v>
      </c>
      <c r="C724" t="s">
        <v>2226</v>
      </c>
      <c r="D724" s="1">
        <v>44131</v>
      </c>
      <c r="E724" s="1">
        <v>44134</v>
      </c>
      <c r="F724" s="1">
        <v>44079</v>
      </c>
      <c r="G724" s="2">
        <v>0.33333333333333331</v>
      </c>
      <c r="H724" s="3">
        <v>1</v>
      </c>
      <c r="I724" t="s">
        <v>22</v>
      </c>
      <c r="J724" s="12" t="s">
        <v>18</v>
      </c>
      <c r="K724">
        <v>5</v>
      </c>
      <c r="L724">
        <v>0</v>
      </c>
      <c r="M724" t="s">
        <v>19</v>
      </c>
      <c r="N724" s="6">
        <v>354.75</v>
      </c>
      <c r="O724">
        <f>Table13[[#This Row],[Adults]]+Table13[[#This Row],[Children]]</f>
        <v>5</v>
      </c>
      <c r="P724">
        <f>_xlfn.DAYS(Table13[[#This Row],[Depart]],Table13[[#This Row],[Arrive]])</f>
        <v>3</v>
      </c>
    </row>
    <row r="725" spans="1:16" x14ac:dyDescent="0.25">
      <c r="A725" t="s">
        <v>296</v>
      </c>
      <c r="B725" t="s">
        <v>297</v>
      </c>
      <c r="C725" t="s">
        <v>2226</v>
      </c>
      <c r="D725" s="1">
        <v>44131</v>
      </c>
      <c r="E725" s="1">
        <v>44134</v>
      </c>
      <c r="F725" s="1">
        <v>44122</v>
      </c>
      <c r="G725" s="2">
        <v>0.5</v>
      </c>
      <c r="H725" s="2">
        <v>0.58333333333333337</v>
      </c>
      <c r="I725" t="s">
        <v>22</v>
      </c>
      <c r="J725" s="12" t="s">
        <v>18</v>
      </c>
      <c r="K725">
        <v>4</v>
      </c>
      <c r="L725">
        <v>0</v>
      </c>
      <c r="M725" t="s">
        <v>19</v>
      </c>
      <c r="N725" s="6">
        <v>387</v>
      </c>
      <c r="O725">
        <f>Table13[[#This Row],[Adults]]+Table13[[#This Row],[Children]]</f>
        <v>4</v>
      </c>
      <c r="P725">
        <f>_xlfn.DAYS(Table13[[#This Row],[Depart]],Table13[[#This Row],[Arrive]])</f>
        <v>3</v>
      </c>
    </row>
    <row r="726" spans="1:16" x14ac:dyDescent="0.25">
      <c r="A726" t="s">
        <v>641</v>
      </c>
      <c r="B726" t="s">
        <v>642</v>
      </c>
      <c r="C726" t="s">
        <v>2224</v>
      </c>
      <c r="D726" s="1">
        <v>44131</v>
      </c>
      <c r="E726" s="1">
        <v>44137</v>
      </c>
      <c r="F726" s="1">
        <v>44128</v>
      </c>
      <c r="G726" s="2">
        <v>0.33333333333333331</v>
      </c>
      <c r="H726" s="3">
        <v>1</v>
      </c>
      <c r="I726" t="s">
        <v>22</v>
      </c>
      <c r="J726" s="12" t="s">
        <v>23</v>
      </c>
      <c r="K726">
        <v>4</v>
      </c>
      <c r="L726">
        <v>0</v>
      </c>
      <c r="M726" t="s">
        <v>19</v>
      </c>
      <c r="N726" s="6">
        <v>774</v>
      </c>
      <c r="O726">
        <f>Table13[[#This Row],[Adults]]+Table13[[#This Row],[Children]]</f>
        <v>4</v>
      </c>
      <c r="P726">
        <f>_xlfn.DAYS(Table13[[#This Row],[Depart]],Table13[[#This Row],[Arrive]])</f>
        <v>6</v>
      </c>
    </row>
    <row r="727" spans="1:16" x14ac:dyDescent="0.25">
      <c r="A727" t="s">
        <v>260</v>
      </c>
      <c r="B727" t="s">
        <v>261</v>
      </c>
      <c r="C727" t="s">
        <v>2224</v>
      </c>
      <c r="D727" s="1">
        <v>44132</v>
      </c>
      <c r="E727" s="1">
        <v>44135</v>
      </c>
      <c r="F727" s="1">
        <v>43985</v>
      </c>
      <c r="G727" s="2">
        <v>0.33333333333333331</v>
      </c>
      <c r="H727" s="3">
        <v>1</v>
      </c>
      <c r="I727" t="s">
        <v>26</v>
      </c>
      <c r="J727" s="12" t="s">
        <v>18</v>
      </c>
      <c r="K727">
        <v>4</v>
      </c>
      <c r="L727">
        <v>0</v>
      </c>
      <c r="M727" t="s">
        <v>19</v>
      </c>
      <c r="N727" s="6">
        <v>319</v>
      </c>
      <c r="O727">
        <f>Table13[[#This Row],[Adults]]+Table13[[#This Row],[Children]]</f>
        <v>4</v>
      </c>
      <c r="P727">
        <f>_xlfn.DAYS(Table13[[#This Row],[Depart]],Table13[[#This Row],[Arrive]])</f>
        <v>3</v>
      </c>
    </row>
    <row r="728" spans="1:16" x14ac:dyDescent="0.25">
      <c r="A728" t="s">
        <v>893</v>
      </c>
      <c r="B728" t="s">
        <v>894</v>
      </c>
      <c r="C728" t="s">
        <v>2226</v>
      </c>
      <c r="D728" s="1">
        <v>44132</v>
      </c>
      <c r="E728" s="1">
        <v>44134</v>
      </c>
      <c r="F728" s="1">
        <v>44118</v>
      </c>
      <c r="G728" s="2">
        <v>0.5</v>
      </c>
      <c r="H728" s="2">
        <v>0.58333333333333337</v>
      </c>
      <c r="I728" t="s">
        <v>22</v>
      </c>
      <c r="J728" s="12" t="s">
        <v>18</v>
      </c>
      <c r="K728">
        <v>1</v>
      </c>
      <c r="L728">
        <v>0</v>
      </c>
      <c r="M728" t="s">
        <v>19</v>
      </c>
      <c r="N728" s="6">
        <v>260000</v>
      </c>
      <c r="O728">
        <f>Table13[[#This Row],[Adults]]+Table13[[#This Row],[Children]]</f>
        <v>1</v>
      </c>
      <c r="P728">
        <f>_xlfn.DAYS(Table13[[#This Row],[Depart]],Table13[[#This Row],[Arrive]])</f>
        <v>2</v>
      </c>
    </row>
    <row r="729" spans="1:16" x14ac:dyDescent="0.25">
      <c r="A729" t="s">
        <v>823</v>
      </c>
      <c r="B729" t="s">
        <v>824</v>
      </c>
      <c r="C729" t="s">
        <v>2227</v>
      </c>
      <c r="D729" s="1">
        <v>44132</v>
      </c>
      <c r="E729" s="1">
        <v>44134</v>
      </c>
      <c r="F729" s="1">
        <v>44130</v>
      </c>
      <c r="G729" s="2">
        <v>0.58333333333333337</v>
      </c>
      <c r="H729" s="2">
        <v>0.45833333333333331</v>
      </c>
      <c r="I729" t="s">
        <v>22</v>
      </c>
      <c r="J729" s="12" t="s">
        <v>18</v>
      </c>
      <c r="K729">
        <v>6</v>
      </c>
      <c r="L729">
        <v>0</v>
      </c>
      <c r="M729" t="s">
        <v>19</v>
      </c>
      <c r="N729" s="6">
        <v>427.85</v>
      </c>
      <c r="O729">
        <f>Table13[[#This Row],[Adults]]+Table13[[#This Row],[Children]]</f>
        <v>6</v>
      </c>
      <c r="P729">
        <f>_xlfn.DAYS(Table13[[#This Row],[Depart]],Table13[[#This Row],[Arrive]])</f>
        <v>2</v>
      </c>
    </row>
    <row r="730" spans="1:16" x14ac:dyDescent="0.25">
      <c r="A730" t="s">
        <v>957</v>
      </c>
      <c r="B730" t="s">
        <v>958</v>
      </c>
      <c r="C730" t="s">
        <v>2227</v>
      </c>
      <c r="D730" s="1">
        <v>44132</v>
      </c>
      <c r="E730" s="1">
        <v>44134</v>
      </c>
      <c r="F730" s="1">
        <v>44132</v>
      </c>
      <c r="G730" s="2">
        <v>0.58333333333333337</v>
      </c>
      <c r="H730" s="2">
        <v>0.45833333333333331</v>
      </c>
      <c r="I730" t="s">
        <v>22</v>
      </c>
      <c r="J730" s="12" t="s">
        <v>23</v>
      </c>
      <c r="K730">
        <v>6</v>
      </c>
      <c r="L730">
        <v>0</v>
      </c>
      <c r="M730" t="s">
        <v>19</v>
      </c>
      <c r="N730" s="6">
        <v>427.85</v>
      </c>
      <c r="O730">
        <f>Table13[[#This Row],[Adults]]+Table13[[#This Row],[Children]]</f>
        <v>6</v>
      </c>
      <c r="P730">
        <f>_xlfn.DAYS(Table13[[#This Row],[Depart]],Table13[[#This Row],[Arrive]])</f>
        <v>2</v>
      </c>
    </row>
    <row r="731" spans="1:16" x14ac:dyDescent="0.25">
      <c r="A731" t="s">
        <v>891</v>
      </c>
      <c r="B731" t="s">
        <v>892</v>
      </c>
      <c r="C731" t="s">
        <v>2223</v>
      </c>
      <c r="D731" s="1">
        <v>44133</v>
      </c>
      <c r="E731" s="1">
        <v>44137</v>
      </c>
      <c r="F731" s="1">
        <v>44130</v>
      </c>
      <c r="G731" s="2">
        <v>0.58333333333333337</v>
      </c>
      <c r="H731" s="2">
        <v>0.45833333333333331</v>
      </c>
      <c r="I731" t="s">
        <v>22</v>
      </c>
      <c r="J731" s="12" t="s">
        <v>23</v>
      </c>
      <c r="K731">
        <v>6</v>
      </c>
      <c r="L731">
        <v>0</v>
      </c>
      <c r="M731" t="s">
        <v>19</v>
      </c>
      <c r="N731" s="6">
        <v>516</v>
      </c>
      <c r="O731">
        <f>Table13[[#This Row],[Adults]]+Table13[[#This Row],[Children]]</f>
        <v>6</v>
      </c>
      <c r="P731">
        <f>_xlfn.DAYS(Table13[[#This Row],[Depart]],Table13[[#This Row],[Arrive]])</f>
        <v>4</v>
      </c>
    </row>
    <row r="732" spans="1:16" x14ac:dyDescent="0.25">
      <c r="A732" t="s">
        <v>983</v>
      </c>
      <c r="B732" t="s">
        <v>984</v>
      </c>
      <c r="C732" t="s">
        <v>2228</v>
      </c>
      <c r="D732" s="1">
        <v>44133</v>
      </c>
      <c r="E732" s="1">
        <v>44137</v>
      </c>
      <c r="F732" s="1">
        <v>44134</v>
      </c>
      <c r="G732" s="2">
        <v>0.58333333333333337</v>
      </c>
      <c r="H732" s="2">
        <v>0.45833333333333331</v>
      </c>
      <c r="I732" t="s">
        <v>22</v>
      </c>
      <c r="J732" s="12" t="s">
        <v>23</v>
      </c>
      <c r="K732">
        <v>5</v>
      </c>
      <c r="L732">
        <v>0</v>
      </c>
      <c r="M732" t="s">
        <v>19</v>
      </c>
      <c r="N732" s="6">
        <v>516</v>
      </c>
      <c r="O732">
        <f>Table13[[#This Row],[Adults]]+Table13[[#This Row],[Children]]</f>
        <v>5</v>
      </c>
      <c r="P732">
        <f>_xlfn.DAYS(Table13[[#This Row],[Depart]],Table13[[#This Row],[Arrive]])</f>
        <v>4</v>
      </c>
    </row>
    <row r="733" spans="1:16" x14ac:dyDescent="0.25">
      <c r="A733" t="s">
        <v>849</v>
      </c>
      <c r="B733" t="s">
        <v>850</v>
      </c>
      <c r="C733" t="s">
        <v>2229</v>
      </c>
      <c r="D733" s="1">
        <v>44134</v>
      </c>
      <c r="E733" s="1">
        <v>44136</v>
      </c>
      <c r="F733" s="1">
        <v>44107</v>
      </c>
      <c r="G733" s="2">
        <v>0.58333333333333337</v>
      </c>
      <c r="H733" s="2">
        <v>0.5</v>
      </c>
      <c r="I733" t="s">
        <v>26</v>
      </c>
      <c r="J733" s="12" t="s">
        <v>18</v>
      </c>
      <c r="K733">
        <v>5</v>
      </c>
      <c r="L733">
        <v>0</v>
      </c>
      <c r="M733" t="s">
        <v>19</v>
      </c>
      <c r="N733" s="6">
        <v>384</v>
      </c>
      <c r="O733">
        <f>Table13[[#This Row],[Adults]]+Table13[[#This Row],[Children]]</f>
        <v>5</v>
      </c>
      <c r="P733">
        <f>_xlfn.DAYS(Table13[[#This Row],[Depart]],Table13[[#This Row],[Arrive]])</f>
        <v>2</v>
      </c>
    </row>
    <row r="734" spans="1:16" x14ac:dyDescent="0.25">
      <c r="A734" t="s">
        <v>849</v>
      </c>
      <c r="B734" t="s">
        <v>850</v>
      </c>
      <c r="C734" t="s">
        <v>2227</v>
      </c>
      <c r="D734" s="1">
        <v>44134</v>
      </c>
      <c r="E734" s="1">
        <v>44136</v>
      </c>
      <c r="F734" s="1">
        <v>44109</v>
      </c>
      <c r="G734" s="2">
        <v>0.58333333333333337</v>
      </c>
      <c r="H734" s="2">
        <v>0.45833333333333331</v>
      </c>
      <c r="I734" t="s">
        <v>26</v>
      </c>
      <c r="J734" s="12" t="s">
        <v>18</v>
      </c>
      <c r="K734">
        <v>5</v>
      </c>
      <c r="L734">
        <v>0</v>
      </c>
      <c r="M734" t="s">
        <v>19</v>
      </c>
      <c r="N734" s="6">
        <v>384</v>
      </c>
      <c r="O734">
        <f>Table13[[#This Row],[Adults]]+Table13[[#This Row],[Children]]</f>
        <v>5</v>
      </c>
      <c r="P734">
        <f>_xlfn.DAYS(Table13[[#This Row],[Depart]],Table13[[#This Row],[Arrive]])</f>
        <v>2</v>
      </c>
    </row>
    <row r="735" spans="1:16" x14ac:dyDescent="0.25">
      <c r="A735" t="s">
        <v>895</v>
      </c>
      <c r="B735" t="s">
        <v>896</v>
      </c>
      <c r="C735" t="s">
        <v>2226</v>
      </c>
      <c r="D735" s="1">
        <v>44134</v>
      </c>
      <c r="E735" s="1">
        <v>44135</v>
      </c>
      <c r="F735" s="1">
        <v>44118</v>
      </c>
      <c r="G735" s="2">
        <v>0.5</v>
      </c>
      <c r="H735" s="2">
        <v>0.58333333333333337</v>
      </c>
      <c r="I735" t="s">
        <v>22</v>
      </c>
      <c r="J735" s="12" t="s">
        <v>18</v>
      </c>
      <c r="K735">
        <v>1</v>
      </c>
      <c r="L735">
        <v>0</v>
      </c>
      <c r="M735" t="s">
        <v>19</v>
      </c>
      <c r="N735" s="6">
        <v>130000</v>
      </c>
      <c r="O735">
        <f>Table13[[#This Row],[Adults]]+Table13[[#This Row],[Children]]</f>
        <v>1</v>
      </c>
      <c r="P735">
        <f>_xlfn.DAYS(Table13[[#This Row],[Depart]],Table13[[#This Row],[Arrive]])</f>
        <v>1</v>
      </c>
    </row>
    <row r="736" spans="1:16" x14ac:dyDescent="0.25">
      <c r="A736" t="s">
        <v>981</v>
      </c>
      <c r="B736" t="s">
        <v>982</v>
      </c>
      <c r="C736" t="s">
        <v>2227</v>
      </c>
      <c r="D736" s="1">
        <v>44134</v>
      </c>
      <c r="E736" s="1">
        <v>44137</v>
      </c>
      <c r="F736" s="1">
        <v>44119</v>
      </c>
      <c r="G736" s="2">
        <v>0.58333333333333337</v>
      </c>
      <c r="H736" s="2">
        <v>0.45833333333333331</v>
      </c>
      <c r="I736" t="s">
        <v>22</v>
      </c>
      <c r="J736" s="12" t="s">
        <v>23</v>
      </c>
      <c r="K736">
        <v>6</v>
      </c>
      <c r="L736">
        <v>0</v>
      </c>
      <c r="M736" t="s">
        <v>19</v>
      </c>
      <c r="N736" s="6">
        <v>641.77</v>
      </c>
      <c r="O736">
        <f>Table13[[#This Row],[Adults]]+Table13[[#This Row],[Children]]</f>
        <v>6</v>
      </c>
      <c r="P736">
        <f>_xlfn.DAYS(Table13[[#This Row],[Depart]],Table13[[#This Row],[Arrive]])</f>
        <v>3</v>
      </c>
    </row>
    <row r="737" spans="1:16" x14ac:dyDescent="0.25">
      <c r="A737" t="s">
        <v>855</v>
      </c>
      <c r="B737" t="s">
        <v>856</v>
      </c>
      <c r="C737" t="s">
        <v>2224</v>
      </c>
      <c r="D737" s="1">
        <v>44135</v>
      </c>
      <c r="E737" s="1">
        <v>44137</v>
      </c>
      <c r="F737" s="1">
        <v>44109</v>
      </c>
      <c r="G737" s="2">
        <v>0.33333333333333331</v>
      </c>
      <c r="H737" s="3">
        <v>1</v>
      </c>
      <c r="I737" t="s">
        <v>26</v>
      </c>
      <c r="J737" s="12" t="s">
        <v>18</v>
      </c>
      <c r="K737">
        <v>6</v>
      </c>
      <c r="L737">
        <v>0</v>
      </c>
      <c r="M737" t="s">
        <v>19</v>
      </c>
      <c r="N737" s="6">
        <v>238</v>
      </c>
      <c r="O737">
        <f>Table13[[#This Row],[Adults]]+Table13[[#This Row],[Children]]</f>
        <v>6</v>
      </c>
      <c r="P737">
        <f>_xlfn.DAYS(Table13[[#This Row],[Depart]],Table13[[#This Row],[Arrive]])</f>
        <v>2</v>
      </c>
    </row>
    <row r="738" spans="1:16" x14ac:dyDescent="0.25">
      <c r="A738" t="s">
        <v>849</v>
      </c>
      <c r="B738" t="s">
        <v>850</v>
      </c>
      <c r="C738" t="s">
        <v>2224</v>
      </c>
      <c r="D738" s="1">
        <v>44135</v>
      </c>
      <c r="E738" s="1">
        <v>44137</v>
      </c>
      <c r="F738" s="1">
        <v>44110</v>
      </c>
      <c r="G738" s="2">
        <v>0.33333333333333331</v>
      </c>
      <c r="H738" s="3">
        <v>1</v>
      </c>
      <c r="I738" t="s">
        <v>26</v>
      </c>
      <c r="J738" s="12" t="s">
        <v>18</v>
      </c>
      <c r="K738">
        <v>1</v>
      </c>
      <c r="L738">
        <v>0</v>
      </c>
      <c r="M738" t="s">
        <v>19</v>
      </c>
      <c r="N738" s="6">
        <v>239</v>
      </c>
      <c r="O738">
        <f>Table13[[#This Row],[Adults]]+Table13[[#This Row],[Children]]</f>
        <v>1</v>
      </c>
      <c r="P738">
        <f>_xlfn.DAYS(Table13[[#This Row],[Depart]],Table13[[#This Row],[Arrive]])</f>
        <v>2</v>
      </c>
    </row>
    <row r="739" spans="1:16" x14ac:dyDescent="0.25">
      <c r="A739" t="s">
        <v>284</v>
      </c>
      <c r="B739" t="s">
        <v>285</v>
      </c>
      <c r="C739" t="s">
        <v>2223</v>
      </c>
      <c r="D739" s="1">
        <v>44135</v>
      </c>
      <c r="E739" s="1">
        <v>44137</v>
      </c>
      <c r="F739" s="1">
        <v>44128</v>
      </c>
      <c r="G739" s="2">
        <v>0.58333333333333337</v>
      </c>
      <c r="H739" s="2">
        <v>0.45833333333333331</v>
      </c>
      <c r="I739" t="s">
        <v>22</v>
      </c>
      <c r="J739" s="12" t="s">
        <v>18</v>
      </c>
      <c r="K739">
        <v>6</v>
      </c>
      <c r="L739">
        <v>0</v>
      </c>
      <c r="M739" t="s">
        <v>19</v>
      </c>
      <c r="N739" s="6">
        <v>258</v>
      </c>
      <c r="O739">
        <f>Table13[[#This Row],[Adults]]+Table13[[#This Row],[Children]]</f>
        <v>6</v>
      </c>
      <c r="P739">
        <f>_xlfn.DAYS(Table13[[#This Row],[Depart]],Table13[[#This Row],[Arrive]])</f>
        <v>2</v>
      </c>
    </row>
    <row r="740" spans="1:16" x14ac:dyDescent="0.25">
      <c r="A740" t="s">
        <v>969</v>
      </c>
      <c r="B740" t="s">
        <v>970</v>
      </c>
      <c r="C740" t="s">
        <v>2225</v>
      </c>
      <c r="D740" s="1">
        <v>44135</v>
      </c>
      <c r="E740" s="1">
        <v>44136</v>
      </c>
      <c r="F740" s="1">
        <v>44123</v>
      </c>
      <c r="G740" s="2">
        <v>0.33333333333333331</v>
      </c>
      <c r="H740" s="3">
        <v>1</v>
      </c>
      <c r="I740" t="s">
        <v>22</v>
      </c>
      <c r="J740" s="12" t="s">
        <v>18</v>
      </c>
      <c r="K740">
        <v>3</v>
      </c>
      <c r="L740">
        <v>0</v>
      </c>
      <c r="M740" t="s">
        <v>19</v>
      </c>
      <c r="N740" s="6">
        <v>129</v>
      </c>
      <c r="O740">
        <f>Table13[[#This Row],[Adults]]+Table13[[#This Row],[Children]]</f>
        <v>3</v>
      </c>
      <c r="P740">
        <f>_xlfn.DAYS(Table13[[#This Row],[Depart]],Table13[[#This Row],[Arrive]])</f>
        <v>1</v>
      </c>
    </row>
    <row r="741" spans="1:16" x14ac:dyDescent="0.25">
      <c r="A741" t="s">
        <v>917</v>
      </c>
      <c r="B741" t="s">
        <v>918</v>
      </c>
      <c r="C741" t="s">
        <v>2226</v>
      </c>
      <c r="D741" s="1">
        <v>44137</v>
      </c>
      <c r="E741" s="1">
        <v>44140</v>
      </c>
      <c r="F741" s="1">
        <v>44122</v>
      </c>
      <c r="G741" s="2">
        <v>0.5</v>
      </c>
      <c r="H741" s="2">
        <v>0.58333333333333337</v>
      </c>
      <c r="I741" t="s">
        <v>22</v>
      </c>
      <c r="J741" s="12" t="s">
        <v>18</v>
      </c>
      <c r="K741">
        <v>1</v>
      </c>
      <c r="L741">
        <v>0</v>
      </c>
      <c r="M741" t="s">
        <v>19</v>
      </c>
      <c r="N741" s="6">
        <v>390000</v>
      </c>
      <c r="O741">
        <f>Table13[[#This Row],[Adults]]+Table13[[#This Row],[Children]]</f>
        <v>1</v>
      </c>
      <c r="P741">
        <f>_xlfn.DAYS(Table13[[#This Row],[Depart]],Table13[[#This Row],[Arrive]])</f>
        <v>3</v>
      </c>
    </row>
    <row r="742" spans="1:16" x14ac:dyDescent="0.25">
      <c r="A742" t="s">
        <v>913</v>
      </c>
      <c r="B742" t="s">
        <v>914</v>
      </c>
      <c r="C742" t="s">
        <v>2224</v>
      </c>
      <c r="D742" s="1">
        <v>44137</v>
      </c>
      <c r="E742" s="1">
        <v>44138</v>
      </c>
      <c r="F742" s="1">
        <v>44128</v>
      </c>
      <c r="G742" s="2">
        <v>0.33333333333333331</v>
      </c>
      <c r="H742" s="3">
        <v>1</v>
      </c>
      <c r="I742" t="s">
        <v>22</v>
      </c>
      <c r="J742" s="12" t="s">
        <v>23</v>
      </c>
      <c r="K742">
        <v>5</v>
      </c>
      <c r="L742">
        <v>0</v>
      </c>
      <c r="M742" t="s">
        <v>19</v>
      </c>
      <c r="N742" s="6">
        <v>129</v>
      </c>
      <c r="O742">
        <f>Table13[[#This Row],[Adults]]+Table13[[#This Row],[Children]]</f>
        <v>5</v>
      </c>
      <c r="P742">
        <f>_xlfn.DAYS(Table13[[#This Row],[Depart]],Table13[[#This Row],[Arrive]])</f>
        <v>1</v>
      </c>
    </row>
    <row r="743" spans="1:16" x14ac:dyDescent="0.25">
      <c r="A743" t="s">
        <v>709</v>
      </c>
      <c r="B743" t="s">
        <v>710</v>
      </c>
      <c r="C743" t="s">
        <v>2226</v>
      </c>
      <c r="D743" s="1">
        <v>44137</v>
      </c>
      <c r="E743" s="1">
        <v>44143</v>
      </c>
      <c r="F743" s="1">
        <v>44089</v>
      </c>
      <c r="G743" s="2">
        <v>0.33333333333333331</v>
      </c>
      <c r="H743" s="2">
        <v>0.58333333333333337</v>
      </c>
      <c r="I743" t="s">
        <v>22</v>
      </c>
      <c r="J743" s="12" t="s">
        <v>23</v>
      </c>
      <c r="K743">
        <v>4</v>
      </c>
      <c r="L743">
        <v>0</v>
      </c>
      <c r="M743" t="s">
        <v>19</v>
      </c>
      <c r="N743" s="6">
        <v>774</v>
      </c>
      <c r="O743">
        <f>Table13[[#This Row],[Adults]]+Table13[[#This Row],[Children]]</f>
        <v>4</v>
      </c>
      <c r="P743">
        <f>_xlfn.DAYS(Table13[[#This Row],[Depart]],Table13[[#This Row],[Arrive]])</f>
        <v>6</v>
      </c>
    </row>
    <row r="744" spans="1:16" x14ac:dyDescent="0.25">
      <c r="A744" t="s">
        <v>977</v>
      </c>
      <c r="B744" t="s">
        <v>978</v>
      </c>
      <c r="C744" t="s">
        <v>2223</v>
      </c>
      <c r="D744" s="1">
        <v>44137</v>
      </c>
      <c r="E744" s="1">
        <v>44138</v>
      </c>
      <c r="F744" s="1">
        <v>44134</v>
      </c>
      <c r="G744" s="2">
        <v>0.58333333333333337</v>
      </c>
      <c r="H744" s="2">
        <v>0.45833333333333331</v>
      </c>
      <c r="I744" t="s">
        <v>26</v>
      </c>
      <c r="J744" s="12" t="s">
        <v>18</v>
      </c>
      <c r="K744">
        <v>1</v>
      </c>
      <c r="L744">
        <v>0</v>
      </c>
      <c r="M744" t="s">
        <v>19</v>
      </c>
      <c r="N744" s="6">
        <v>119</v>
      </c>
      <c r="O744">
        <f>Table13[[#This Row],[Adults]]+Table13[[#This Row],[Children]]</f>
        <v>1</v>
      </c>
      <c r="P744">
        <f>_xlfn.DAYS(Table13[[#This Row],[Depart]],Table13[[#This Row],[Arrive]])</f>
        <v>1</v>
      </c>
    </row>
    <row r="745" spans="1:16" x14ac:dyDescent="0.25">
      <c r="A745" t="s">
        <v>641</v>
      </c>
      <c r="B745" t="s">
        <v>642</v>
      </c>
      <c r="C745" t="s">
        <v>2223</v>
      </c>
      <c r="D745" s="1">
        <v>44137</v>
      </c>
      <c r="E745" s="1">
        <v>44140</v>
      </c>
      <c r="F745" s="1">
        <v>44135</v>
      </c>
      <c r="G745" s="2">
        <v>0.58333333333333337</v>
      </c>
      <c r="H745" s="2">
        <v>0.45833333333333331</v>
      </c>
      <c r="I745" t="s">
        <v>22</v>
      </c>
      <c r="J745" s="12" t="s">
        <v>18</v>
      </c>
      <c r="K745">
        <v>4</v>
      </c>
      <c r="L745">
        <v>0</v>
      </c>
      <c r="M745" t="s">
        <v>19</v>
      </c>
      <c r="N745" s="6">
        <v>387</v>
      </c>
      <c r="O745">
        <f>Table13[[#This Row],[Adults]]+Table13[[#This Row],[Children]]</f>
        <v>4</v>
      </c>
      <c r="P745">
        <f>_xlfn.DAYS(Table13[[#This Row],[Depart]],Table13[[#This Row],[Arrive]])</f>
        <v>3</v>
      </c>
    </row>
    <row r="746" spans="1:16" x14ac:dyDescent="0.25">
      <c r="A746" t="s">
        <v>641</v>
      </c>
      <c r="B746" t="s">
        <v>642</v>
      </c>
      <c r="C746" t="s">
        <v>2223</v>
      </c>
      <c r="D746" s="1">
        <v>44137</v>
      </c>
      <c r="E746" s="1">
        <v>44148</v>
      </c>
      <c r="F746" s="1">
        <v>44135</v>
      </c>
      <c r="G746" s="2">
        <v>0.58333333333333337</v>
      </c>
      <c r="H746" s="2">
        <v>0.45833333333333331</v>
      </c>
      <c r="I746" t="s">
        <v>22</v>
      </c>
      <c r="J746" s="12" t="s">
        <v>23</v>
      </c>
      <c r="K746">
        <v>6</v>
      </c>
      <c r="L746">
        <v>0</v>
      </c>
      <c r="M746" t="s">
        <v>19</v>
      </c>
      <c r="N746" s="6">
        <v>1419</v>
      </c>
      <c r="O746">
        <f>Table13[[#This Row],[Adults]]+Table13[[#This Row],[Children]]</f>
        <v>6</v>
      </c>
      <c r="P746">
        <f>_xlfn.DAYS(Table13[[#This Row],[Depart]],Table13[[#This Row],[Arrive]])</f>
        <v>11</v>
      </c>
    </row>
    <row r="747" spans="1:16" x14ac:dyDescent="0.25">
      <c r="A747" t="s">
        <v>1005</v>
      </c>
      <c r="B747" t="s">
        <v>1006</v>
      </c>
      <c r="C747" t="s">
        <v>2227</v>
      </c>
      <c r="D747" s="1">
        <v>44137</v>
      </c>
      <c r="E747" s="1">
        <v>44138</v>
      </c>
      <c r="F747" s="1">
        <v>44134</v>
      </c>
      <c r="G747" s="2">
        <v>0.58333333333333337</v>
      </c>
      <c r="H747" s="2">
        <v>0.45833333333333331</v>
      </c>
      <c r="I747" t="s">
        <v>22</v>
      </c>
      <c r="J747" s="12" t="s">
        <v>23</v>
      </c>
      <c r="K747">
        <v>5</v>
      </c>
      <c r="L747">
        <v>0</v>
      </c>
      <c r="M747" t="s">
        <v>19</v>
      </c>
      <c r="N747" s="6">
        <v>213.93</v>
      </c>
      <c r="O747">
        <f>Table13[[#This Row],[Adults]]+Table13[[#This Row],[Children]]</f>
        <v>5</v>
      </c>
      <c r="P747">
        <f>_xlfn.DAYS(Table13[[#This Row],[Depart]],Table13[[#This Row],[Arrive]])</f>
        <v>1</v>
      </c>
    </row>
    <row r="748" spans="1:16" x14ac:dyDescent="0.25">
      <c r="A748" t="s">
        <v>971</v>
      </c>
      <c r="B748" t="s">
        <v>972</v>
      </c>
      <c r="C748" t="s">
        <v>2223</v>
      </c>
      <c r="D748" s="1">
        <v>44138</v>
      </c>
      <c r="E748" s="1">
        <v>44139</v>
      </c>
      <c r="F748" s="1">
        <v>44134</v>
      </c>
      <c r="G748" s="2">
        <v>0.58333333333333337</v>
      </c>
      <c r="H748" s="2">
        <v>0.45833333333333331</v>
      </c>
      <c r="I748" t="s">
        <v>26</v>
      </c>
      <c r="J748" s="12" t="s">
        <v>18</v>
      </c>
      <c r="K748">
        <v>4</v>
      </c>
      <c r="L748">
        <v>0</v>
      </c>
      <c r="M748" t="s">
        <v>19</v>
      </c>
      <c r="N748" s="6">
        <v>119</v>
      </c>
      <c r="O748">
        <f>Table13[[#This Row],[Adults]]+Table13[[#This Row],[Children]]</f>
        <v>4</v>
      </c>
      <c r="P748">
        <f>_xlfn.DAYS(Table13[[#This Row],[Depart]],Table13[[#This Row],[Arrive]])</f>
        <v>1</v>
      </c>
    </row>
    <row r="749" spans="1:16" x14ac:dyDescent="0.25">
      <c r="A749" t="s">
        <v>979</v>
      </c>
      <c r="B749" t="s">
        <v>980</v>
      </c>
      <c r="C749" t="s">
        <v>2224</v>
      </c>
      <c r="D749" s="1">
        <v>44138</v>
      </c>
      <c r="E749" s="1">
        <v>44140</v>
      </c>
      <c r="F749" s="1">
        <v>44135</v>
      </c>
      <c r="G749" s="2">
        <v>0.33333333333333331</v>
      </c>
      <c r="H749" s="3">
        <v>1</v>
      </c>
      <c r="I749" t="s">
        <v>26</v>
      </c>
      <c r="J749" s="12" t="s">
        <v>18</v>
      </c>
      <c r="K749">
        <v>1</v>
      </c>
      <c r="L749">
        <v>0</v>
      </c>
      <c r="M749" t="s">
        <v>19</v>
      </c>
      <c r="N749" s="6">
        <v>239</v>
      </c>
      <c r="O749">
        <f>Table13[[#This Row],[Adults]]+Table13[[#This Row],[Children]]</f>
        <v>1</v>
      </c>
      <c r="P749">
        <f>_xlfn.DAYS(Table13[[#This Row],[Depart]],Table13[[#This Row],[Arrive]])</f>
        <v>2</v>
      </c>
    </row>
    <row r="750" spans="1:16" x14ac:dyDescent="0.25">
      <c r="A750" t="s">
        <v>166</v>
      </c>
      <c r="B750" t="s">
        <v>167</v>
      </c>
      <c r="C750" t="s">
        <v>2224</v>
      </c>
      <c r="D750" s="1">
        <v>44138</v>
      </c>
      <c r="E750" s="1">
        <v>44139</v>
      </c>
      <c r="F750" s="1">
        <v>44136</v>
      </c>
      <c r="G750" s="2">
        <v>0.33333333333333331</v>
      </c>
      <c r="H750" s="3">
        <v>1</v>
      </c>
      <c r="I750" t="s">
        <v>22</v>
      </c>
      <c r="J750" s="12" t="s">
        <v>23</v>
      </c>
      <c r="K750">
        <v>6</v>
      </c>
      <c r="L750">
        <v>0</v>
      </c>
      <c r="M750" t="s">
        <v>19</v>
      </c>
      <c r="N750" s="6">
        <v>129</v>
      </c>
      <c r="O750">
        <f>Table13[[#This Row],[Adults]]+Table13[[#This Row],[Children]]</f>
        <v>6</v>
      </c>
      <c r="P750">
        <f>_xlfn.DAYS(Table13[[#This Row],[Depart]],Table13[[#This Row],[Arrive]])</f>
        <v>1</v>
      </c>
    </row>
    <row r="751" spans="1:16" x14ac:dyDescent="0.25">
      <c r="A751" t="s">
        <v>697</v>
      </c>
      <c r="B751" t="s">
        <v>698</v>
      </c>
      <c r="C751" t="s">
        <v>2227</v>
      </c>
      <c r="D751" s="1">
        <v>44138</v>
      </c>
      <c r="E751" s="1">
        <v>44140</v>
      </c>
      <c r="F751" s="1">
        <v>44137</v>
      </c>
      <c r="G751" s="2">
        <v>0.58333333333333337</v>
      </c>
      <c r="H751" s="2">
        <v>0.45833333333333331</v>
      </c>
      <c r="I751" t="s">
        <v>22</v>
      </c>
      <c r="J751" s="12" t="s">
        <v>23</v>
      </c>
      <c r="K751">
        <v>4</v>
      </c>
      <c r="L751">
        <v>0</v>
      </c>
      <c r="M751" t="s">
        <v>19</v>
      </c>
      <c r="N751" s="6">
        <v>427.85</v>
      </c>
      <c r="O751">
        <f>Table13[[#This Row],[Adults]]+Table13[[#This Row],[Children]]</f>
        <v>4</v>
      </c>
      <c r="P751">
        <f>_xlfn.DAYS(Table13[[#This Row],[Depart]],Table13[[#This Row],[Arrive]])</f>
        <v>2</v>
      </c>
    </row>
    <row r="752" spans="1:16" x14ac:dyDescent="0.25">
      <c r="A752" t="s">
        <v>446</v>
      </c>
      <c r="B752" t="s">
        <v>447</v>
      </c>
      <c r="C752" t="s">
        <v>2224</v>
      </c>
      <c r="D752" s="1">
        <v>44139</v>
      </c>
      <c r="E752" s="1">
        <v>44140</v>
      </c>
      <c r="F752" s="1">
        <v>44136</v>
      </c>
      <c r="G752" s="2">
        <v>0.33333333333333331</v>
      </c>
      <c r="H752" s="3">
        <v>1</v>
      </c>
      <c r="I752" t="s">
        <v>22</v>
      </c>
      <c r="J752" s="12" t="s">
        <v>23</v>
      </c>
      <c r="K752">
        <v>6</v>
      </c>
      <c r="L752">
        <v>0</v>
      </c>
      <c r="M752" t="s">
        <v>19</v>
      </c>
      <c r="N752" s="6">
        <v>129</v>
      </c>
      <c r="O752">
        <f>Table13[[#This Row],[Adults]]+Table13[[#This Row],[Children]]</f>
        <v>6</v>
      </c>
      <c r="P752">
        <f>_xlfn.DAYS(Table13[[#This Row],[Depart]],Table13[[#This Row],[Arrive]])</f>
        <v>1</v>
      </c>
    </row>
    <row r="753" spans="1:16" x14ac:dyDescent="0.25">
      <c r="A753" t="s">
        <v>583</v>
      </c>
      <c r="B753" t="s">
        <v>584</v>
      </c>
      <c r="C753" t="s">
        <v>2228</v>
      </c>
      <c r="D753" s="1">
        <v>44139</v>
      </c>
      <c r="E753" s="1">
        <v>44141</v>
      </c>
      <c r="F753" s="1">
        <v>44139</v>
      </c>
      <c r="G753" s="2">
        <v>0.58333333333333337</v>
      </c>
      <c r="H753" s="2">
        <v>0.45833333333333331</v>
      </c>
      <c r="I753" t="s">
        <v>22</v>
      </c>
      <c r="J753" s="12" t="s">
        <v>23</v>
      </c>
      <c r="K753">
        <v>4</v>
      </c>
      <c r="L753">
        <v>0</v>
      </c>
      <c r="M753" t="s">
        <v>19</v>
      </c>
      <c r="N753" s="6">
        <v>258</v>
      </c>
      <c r="O753">
        <f>Table13[[#This Row],[Adults]]+Table13[[#This Row],[Children]]</f>
        <v>4</v>
      </c>
      <c r="P753">
        <f>_xlfn.DAYS(Table13[[#This Row],[Depart]],Table13[[#This Row],[Arrive]])</f>
        <v>2</v>
      </c>
    </row>
    <row r="754" spans="1:16" x14ac:dyDescent="0.25">
      <c r="A754" t="s">
        <v>967</v>
      </c>
      <c r="B754" t="s">
        <v>968</v>
      </c>
      <c r="C754" t="s">
        <v>2224</v>
      </c>
      <c r="D754" s="1">
        <v>44140</v>
      </c>
      <c r="E754" s="1">
        <v>44141</v>
      </c>
      <c r="F754" s="1">
        <v>44113</v>
      </c>
      <c r="G754" s="2">
        <v>0.33333333333333331</v>
      </c>
      <c r="H754" s="3">
        <v>1</v>
      </c>
      <c r="I754" t="s">
        <v>22</v>
      </c>
      <c r="J754" s="12" t="s">
        <v>23</v>
      </c>
      <c r="K754">
        <v>4</v>
      </c>
      <c r="L754">
        <v>0</v>
      </c>
      <c r="M754" t="s">
        <v>19</v>
      </c>
      <c r="N754" s="6">
        <v>129</v>
      </c>
      <c r="O754">
        <f>Table13[[#This Row],[Adults]]+Table13[[#This Row],[Children]]</f>
        <v>4</v>
      </c>
      <c r="P754">
        <f>_xlfn.DAYS(Table13[[#This Row],[Depart]],Table13[[#This Row],[Arrive]])</f>
        <v>1</v>
      </c>
    </row>
    <row r="755" spans="1:16" x14ac:dyDescent="0.25">
      <c r="A755" t="s">
        <v>967</v>
      </c>
      <c r="B755" t="s">
        <v>968</v>
      </c>
      <c r="C755" t="s">
        <v>2223</v>
      </c>
      <c r="D755" s="1">
        <v>44140</v>
      </c>
      <c r="E755" s="1">
        <v>44141</v>
      </c>
      <c r="F755" s="1">
        <v>44113</v>
      </c>
      <c r="G755" s="2">
        <v>0.58333333333333337</v>
      </c>
      <c r="H755" s="2">
        <v>0.45833333333333331</v>
      </c>
      <c r="I755" t="s">
        <v>22</v>
      </c>
      <c r="J755" s="12" t="s">
        <v>18</v>
      </c>
      <c r="K755">
        <v>8</v>
      </c>
      <c r="L755">
        <v>0</v>
      </c>
      <c r="M755" t="s">
        <v>19</v>
      </c>
      <c r="N755" s="6">
        <v>172</v>
      </c>
      <c r="O755">
        <f>Table13[[#This Row],[Adults]]+Table13[[#This Row],[Children]]</f>
        <v>8</v>
      </c>
      <c r="P755">
        <f>_xlfn.DAYS(Table13[[#This Row],[Depart]],Table13[[#This Row],[Arrive]])</f>
        <v>1</v>
      </c>
    </row>
    <row r="756" spans="1:16" x14ac:dyDescent="0.25">
      <c r="A756" t="s">
        <v>543</v>
      </c>
      <c r="B756" t="s">
        <v>544</v>
      </c>
      <c r="C756" t="s">
        <v>2227</v>
      </c>
      <c r="D756" s="1">
        <v>44140</v>
      </c>
      <c r="E756" s="1">
        <v>44141</v>
      </c>
      <c r="F756" s="1">
        <v>44138</v>
      </c>
      <c r="G756" s="2">
        <v>0.58333333333333337</v>
      </c>
      <c r="H756" s="2">
        <v>0.45833333333333331</v>
      </c>
      <c r="I756" t="s">
        <v>22</v>
      </c>
      <c r="J756" s="12" t="s">
        <v>23</v>
      </c>
      <c r="K756">
        <v>6</v>
      </c>
      <c r="L756">
        <v>0</v>
      </c>
      <c r="M756" t="s">
        <v>19</v>
      </c>
      <c r="N756" s="6">
        <v>213.93</v>
      </c>
      <c r="O756">
        <f>Table13[[#This Row],[Adults]]+Table13[[#This Row],[Children]]</f>
        <v>6</v>
      </c>
      <c r="P756">
        <f>_xlfn.DAYS(Table13[[#This Row],[Depart]],Table13[[#This Row],[Arrive]])</f>
        <v>1</v>
      </c>
    </row>
    <row r="757" spans="1:16" x14ac:dyDescent="0.25">
      <c r="A757" t="s">
        <v>1005</v>
      </c>
      <c r="B757" t="s">
        <v>1006</v>
      </c>
      <c r="C757" t="s">
        <v>2228</v>
      </c>
      <c r="D757" s="1">
        <v>44140</v>
      </c>
      <c r="E757" s="1">
        <v>44141</v>
      </c>
      <c r="F757" s="1">
        <v>44110</v>
      </c>
      <c r="G757" s="2">
        <v>0.58333333333333337</v>
      </c>
      <c r="H757" s="2">
        <v>0.45833333333333331</v>
      </c>
      <c r="I757" t="s">
        <v>22</v>
      </c>
      <c r="J757" s="12" t="s">
        <v>18</v>
      </c>
      <c r="K757">
        <v>6</v>
      </c>
      <c r="L757">
        <v>0</v>
      </c>
      <c r="M757" t="s">
        <v>19</v>
      </c>
      <c r="N757" s="6">
        <v>129</v>
      </c>
      <c r="O757">
        <f>Table13[[#This Row],[Adults]]+Table13[[#This Row],[Children]]</f>
        <v>6</v>
      </c>
      <c r="P757">
        <f>_xlfn.DAYS(Table13[[#This Row],[Depart]],Table13[[#This Row],[Arrive]])</f>
        <v>1</v>
      </c>
    </row>
    <row r="758" spans="1:16" x14ac:dyDescent="0.25">
      <c r="A758" t="s">
        <v>847</v>
      </c>
      <c r="B758" t="s">
        <v>848</v>
      </c>
      <c r="C758" t="s">
        <v>2229</v>
      </c>
      <c r="D758" s="1">
        <v>44140</v>
      </c>
      <c r="E758" s="1">
        <v>44169</v>
      </c>
      <c r="F758" s="1">
        <v>44116</v>
      </c>
      <c r="G758" s="2">
        <v>0.58333333333333337</v>
      </c>
      <c r="H758" s="2">
        <v>0.5</v>
      </c>
      <c r="I758" t="s">
        <v>22</v>
      </c>
      <c r="J758" s="12" t="s">
        <v>23</v>
      </c>
      <c r="K758">
        <v>4</v>
      </c>
      <c r="L758">
        <v>0</v>
      </c>
      <c r="M758" t="s">
        <v>19</v>
      </c>
      <c r="N758" s="6">
        <v>6203.82</v>
      </c>
      <c r="O758">
        <f>Table13[[#This Row],[Adults]]+Table13[[#This Row],[Children]]</f>
        <v>4</v>
      </c>
      <c r="P758">
        <f>_xlfn.DAYS(Table13[[#This Row],[Depart]],Table13[[#This Row],[Arrive]])</f>
        <v>29</v>
      </c>
    </row>
    <row r="759" spans="1:16" x14ac:dyDescent="0.25">
      <c r="A759" t="s">
        <v>803</v>
      </c>
      <c r="B759" t="s">
        <v>804</v>
      </c>
      <c r="C759" t="s">
        <v>2225</v>
      </c>
      <c r="D759" s="1">
        <v>44141</v>
      </c>
      <c r="E759" s="1">
        <v>44143</v>
      </c>
      <c r="F759" s="1">
        <v>44096</v>
      </c>
      <c r="G759" s="2">
        <v>0.33333333333333331</v>
      </c>
      <c r="H759" s="3">
        <v>1</v>
      </c>
      <c r="I759" t="s">
        <v>22</v>
      </c>
      <c r="J759" s="12" t="s">
        <v>18</v>
      </c>
      <c r="K759">
        <v>4</v>
      </c>
      <c r="L759">
        <v>0</v>
      </c>
      <c r="M759" t="s">
        <v>19</v>
      </c>
      <c r="N759" s="6">
        <v>258</v>
      </c>
      <c r="O759">
        <f>Table13[[#This Row],[Adults]]+Table13[[#This Row],[Children]]</f>
        <v>4</v>
      </c>
      <c r="P759">
        <f>_xlfn.DAYS(Table13[[#This Row],[Depart]],Table13[[#This Row],[Arrive]])</f>
        <v>2</v>
      </c>
    </row>
    <row r="760" spans="1:16" x14ac:dyDescent="0.25">
      <c r="A760" t="s">
        <v>939</v>
      </c>
      <c r="B760" t="s">
        <v>940</v>
      </c>
      <c r="C760" t="s">
        <v>2227</v>
      </c>
      <c r="D760" s="1">
        <v>44141</v>
      </c>
      <c r="E760" s="1">
        <v>44143</v>
      </c>
      <c r="F760" s="1">
        <v>44126</v>
      </c>
      <c r="G760" s="2">
        <v>0.58333333333333337</v>
      </c>
      <c r="H760" s="2">
        <v>0.45833333333333331</v>
      </c>
      <c r="I760" t="s">
        <v>26</v>
      </c>
      <c r="J760" s="12" t="s">
        <v>23</v>
      </c>
      <c r="K760">
        <v>7</v>
      </c>
      <c r="L760">
        <v>0</v>
      </c>
      <c r="M760" t="s">
        <v>19</v>
      </c>
      <c r="N760" s="6">
        <v>449.35</v>
      </c>
      <c r="O760">
        <f>Table13[[#This Row],[Adults]]+Table13[[#This Row],[Children]]</f>
        <v>7</v>
      </c>
      <c r="P760">
        <f>_xlfn.DAYS(Table13[[#This Row],[Depart]],Table13[[#This Row],[Arrive]])</f>
        <v>2</v>
      </c>
    </row>
    <row r="761" spans="1:16" x14ac:dyDescent="0.25">
      <c r="A761" t="s">
        <v>803</v>
      </c>
      <c r="B761" t="s">
        <v>804</v>
      </c>
      <c r="C761" t="s">
        <v>2228</v>
      </c>
      <c r="D761" s="1">
        <v>44141</v>
      </c>
      <c r="E761" s="1">
        <v>44143</v>
      </c>
      <c r="F761" s="1">
        <v>44096</v>
      </c>
      <c r="G761" s="2">
        <v>0.58333333333333337</v>
      </c>
      <c r="H761" s="2">
        <v>0.45833333333333331</v>
      </c>
      <c r="I761" t="s">
        <v>22</v>
      </c>
      <c r="J761" s="12" t="s">
        <v>18</v>
      </c>
      <c r="K761">
        <v>4</v>
      </c>
      <c r="L761">
        <v>0</v>
      </c>
      <c r="M761" t="s">
        <v>19</v>
      </c>
      <c r="N761" s="6">
        <v>258</v>
      </c>
      <c r="O761">
        <f>Table13[[#This Row],[Adults]]+Table13[[#This Row],[Children]]</f>
        <v>4</v>
      </c>
      <c r="P761">
        <f>_xlfn.DAYS(Table13[[#This Row],[Depart]],Table13[[#This Row],[Arrive]])</f>
        <v>2</v>
      </c>
    </row>
    <row r="762" spans="1:16" x14ac:dyDescent="0.25">
      <c r="A762" t="s">
        <v>1023</v>
      </c>
      <c r="B762" t="s">
        <v>1024</v>
      </c>
      <c r="C762" t="s">
        <v>2228</v>
      </c>
      <c r="D762" s="1">
        <v>44141</v>
      </c>
      <c r="E762" s="1">
        <v>44142</v>
      </c>
      <c r="F762" s="1">
        <v>44135</v>
      </c>
      <c r="G762" s="2">
        <v>0.58333333333333337</v>
      </c>
      <c r="H762" s="2">
        <v>0.45833333333333331</v>
      </c>
      <c r="I762" t="s">
        <v>22</v>
      </c>
      <c r="J762" s="12" t="s">
        <v>18</v>
      </c>
      <c r="K762">
        <v>6</v>
      </c>
      <c r="L762">
        <v>0</v>
      </c>
      <c r="M762" t="s">
        <v>19</v>
      </c>
      <c r="N762" s="6">
        <v>129</v>
      </c>
      <c r="O762">
        <f>Table13[[#This Row],[Adults]]+Table13[[#This Row],[Children]]</f>
        <v>6</v>
      </c>
      <c r="P762">
        <f>_xlfn.DAYS(Table13[[#This Row],[Depart]],Table13[[#This Row],[Arrive]])</f>
        <v>1</v>
      </c>
    </row>
    <row r="763" spans="1:16" x14ac:dyDescent="0.25">
      <c r="A763" t="s">
        <v>621</v>
      </c>
      <c r="B763" t="s">
        <v>622</v>
      </c>
      <c r="C763" t="s">
        <v>2228</v>
      </c>
      <c r="D763" s="1">
        <v>44141</v>
      </c>
      <c r="E763" s="1">
        <v>44143</v>
      </c>
      <c r="F763" s="1">
        <v>44138</v>
      </c>
      <c r="G763" s="2">
        <v>0.58333333333333337</v>
      </c>
      <c r="H763" s="2">
        <v>0.45833333333333331</v>
      </c>
      <c r="I763" t="s">
        <v>22</v>
      </c>
      <c r="J763" s="12" t="s">
        <v>23</v>
      </c>
      <c r="K763">
        <v>6</v>
      </c>
      <c r="L763">
        <v>0</v>
      </c>
      <c r="M763" t="s">
        <v>19</v>
      </c>
      <c r="N763" s="6">
        <v>258</v>
      </c>
      <c r="O763">
        <f>Table13[[#This Row],[Adults]]+Table13[[#This Row],[Children]]</f>
        <v>6</v>
      </c>
      <c r="P763">
        <f>_xlfn.DAYS(Table13[[#This Row],[Depart]],Table13[[#This Row],[Arrive]])</f>
        <v>2</v>
      </c>
    </row>
    <row r="764" spans="1:16" x14ac:dyDescent="0.25">
      <c r="A764" t="s">
        <v>985</v>
      </c>
      <c r="B764" t="s">
        <v>986</v>
      </c>
      <c r="C764" t="s">
        <v>2228</v>
      </c>
      <c r="D764" s="1">
        <v>44142</v>
      </c>
      <c r="E764" s="1">
        <v>44143</v>
      </c>
      <c r="F764" s="1">
        <v>44135</v>
      </c>
      <c r="G764" s="2">
        <v>0.58333333333333337</v>
      </c>
      <c r="H764" s="2">
        <v>0.45833333333333331</v>
      </c>
      <c r="I764" t="s">
        <v>22</v>
      </c>
      <c r="J764" s="12" t="s">
        <v>18</v>
      </c>
      <c r="K764">
        <v>8</v>
      </c>
      <c r="L764">
        <v>0</v>
      </c>
      <c r="M764" t="s">
        <v>19</v>
      </c>
      <c r="N764" s="6">
        <v>161.25</v>
      </c>
      <c r="O764">
        <f>Table13[[#This Row],[Adults]]+Table13[[#This Row],[Children]]</f>
        <v>8</v>
      </c>
      <c r="P764">
        <f>_xlfn.DAYS(Table13[[#This Row],[Depart]],Table13[[#This Row],[Arrive]])</f>
        <v>1</v>
      </c>
    </row>
    <row r="765" spans="1:16" x14ac:dyDescent="0.25">
      <c r="A765" t="s">
        <v>963</v>
      </c>
      <c r="B765" t="s">
        <v>964</v>
      </c>
      <c r="C765" t="s">
        <v>2223</v>
      </c>
      <c r="D765" s="1">
        <v>44143</v>
      </c>
      <c r="E765" s="1">
        <v>44144</v>
      </c>
      <c r="F765" s="1">
        <v>44134</v>
      </c>
      <c r="G765" s="2">
        <v>0.58333333333333337</v>
      </c>
      <c r="H765" s="2">
        <v>0.45833333333333331</v>
      </c>
      <c r="I765" t="s">
        <v>26</v>
      </c>
      <c r="J765" s="12" t="s">
        <v>18</v>
      </c>
      <c r="K765">
        <v>1</v>
      </c>
      <c r="L765">
        <v>0</v>
      </c>
      <c r="M765" t="s">
        <v>19</v>
      </c>
      <c r="N765" s="6">
        <v>120</v>
      </c>
      <c r="O765">
        <f>Table13[[#This Row],[Adults]]+Table13[[#This Row],[Children]]</f>
        <v>1</v>
      </c>
      <c r="P765">
        <f>_xlfn.DAYS(Table13[[#This Row],[Depart]],Table13[[#This Row],[Arrive]])</f>
        <v>1</v>
      </c>
    </row>
    <row r="766" spans="1:16" x14ac:dyDescent="0.25">
      <c r="A766" t="s">
        <v>985</v>
      </c>
      <c r="B766" t="s">
        <v>986</v>
      </c>
      <c r="C766" t="s">
        <v>2226</v>
      </c>
      <c r="D766" s="1">
        <v>44143</v>
      </c>
      <c r="E766" s="1">
        <v>44146</v>
      </c>
      <c r="F766" s="1">
        <v>44135</v>
      </c>
      <c r="G766" s="2">
        <v>0.5</v>
      </c>
      <c r="H766" s="2">
        <v>0.58333333333333337</v>
      </c>
      <c r="I766" t="s">
        <v>22</v>
      </c>
      <c r="J766" s="12" t="s">
        <v>18</v>
      </c>
      <c r="K766">
        <v>8</v>
      </c>
      <c r="L766">
        <v>0</v>
      </c>
      <c r="M766" t="s">
        <v>19</v>
      </c>
      <c r="N766" s="6">
        <v>516</v>
      </c>
      <c r="O766">
        <f>Table13[[#This Row],[Adults]]+Table13[[#This Row],[Children]]</f>
        <v>8</v>
      </c>
      <c r="P766">
        <f>_xlfn.DAYS(Table13[[#This Row],[Depart]],Table13[[#This Row],[Arrive]])</f>
        <v>3</v>
      </c>
    </row>
    <row r="767" spans="1:16" x14ac:dyDescent="0.25">
      <c r="A767" t="s">
        <v>621</v>
      </c>
      <c r="B767" t="s">
        <v>622</v>
      </c>
      <c r="C767" t="s">
        <v>2226</v>
      </c>
      <c r="D767" s="1">
        <v>44143</v>
      </c>
      <c r="E767" s="1">
        <v>44144</v>
      </c>
      <c r="F767" s="1">
        <v>44138</v>
      </c>
      <c r="G767" s="2">
        <v>0.5</v>
      </c>
      <c r="H767" s="2">
        <v>0.58333333333333337</v>
      </c>
      <c r="I767" t="s">
        <v>22</v>
      </c>
      <c r="J767" s="12" t="s">
        <v>23</v>
      </c>
      <c r="K767">
        <v>5</v>
      </c>
      <c r="L767">
        <v>0</v>
      </c>
      <c r="M767" t="s">
        <v>19</v>
      </c>
      <c r="N767" s="6">
        <v>129</v>
      </c>
      <c r="O767">
        <f>Table13[[#This Row],[Adults]]+Table13[[#This Row],[Children]]</f>
        <v>5</v>
      </c>
      <c r="P767">
        <f>_xlfn.DAYS(Table13[[#This Row],[Depart]],Table13[[#This Row],[Arrive]])</f>
        <v>1</v>
      </c>
    </row>
    <row r="768" spans="1:16" x14ac:dyDescent="0.25">
      <c r="A768" t="s">
        <v>1089</v>
      </c>
      <c r="B768" t="s">
        <v>1090</v>
      </c>
      <c r="C768" t="s">
        <v>2227</v>
      </c>
      <c r="D768" s="1">
        <v>44143</v>
      </c>
      <c r="E768" s="1">
        <v>44144</v>
      </c>
      <c r="F768" s="1">
        <v>44131</v>
      </c>
      <c r="G768" s="2">
        <v>0.58333333333333337</v>
      </c>
      <c r="H768" s="2">
        <v>0.45833333333333331</v>
      </c>
      <c r="I768" t="s">
        <v>22</v>
      </c>
      <c r="J768" s="12" t="s">
        <v>23</v>
      </c>
      <c r="K768">
        <v>6</v>
      </c>
      <c r="L768">
        <v>0</v>
      </c>
      <c r="M768" t="s">
        <v>19</v>
      </c>
      <c r="N768" s="6">
        <v>213.93</v>
      </c>
      <c r="O768">
        <f>Table13[[#This Row],[Adults]]+Table13[[#This Row],[Children]]</f>
        <v>6</v>
      </c>
      <c r="P768">
        <f>_xlfn.DAYS(Table13[[#This Row],[Depart]],Table13[[#This Row],[Arrive]])</f>
        <v>1</v>
      </c>
    </row>
    <row r="769" spans="1:16" x14ac:dyDescent="0.25">
      <c r="A769" t="s">
        <v>985</v>
      </c>
      <c r="B769" t="s">
        <v>986</v>
      </c>
      <c r="C769" t="s">
        <v>2228</v>
      </c>
      <c r="D769" s="1">
        <v>44144</v>
      </c>
      <c r="E769" s="1">
        <v>44146</v>
      </c>
      <c r="F769" s="1">
        <v>44135</v>
      </c>
      <c r="G769" s="2">
        <v>0.58333333333333337</v>
      </c>
      <c r="H769" s="2">
        <v>0.45833333333333331</v>
      </c>
      <c r="I769" t="s">
        <v>22</v>
      </c>
      <c r="J769" s="12" t="s">
        <v>18</v>
      </c>
      <c r="K769">
        <v>7</v>
      </c>
      <c r="L769">
        <v>0</v>
      </c>
      <c r="M769" t="s">
        <v>19</v>
      </c>
      <c r="N769" s="6">
        <v>290.25</v>
      </c>
      <c r="O769">
        <f>Table13[[#This Row],[Adults]]+Table13[[#This Row],[Children]]</f>
        <v>7</v>
      </c>
      <c r="P769">
        <f>_xlfn.DAYS(Table13[[#This Row],[Depart]],Table13[[#This Row],[Arrive]])</f>
        <v>2</v>
      </c>
    </row>
    <row r="770" spans="1:16" x14ac:dyDescent="0.25">
      <c r="A770" t="s">
        <v>1017</v>
      </c>
      <c r="B770" t="s">
        <v>1018</v>
      </c>
      <c r="C770" t="s">
        <v>2228</v>
      </c>
      <c r="D770" s="1">
        <v>44144</v>
      </c>
      <c r="E770" s="1">
        <v>44145</v>
      </c>
      <c r="F770" s="1">
        <v>44141</v>
      </c>
      <c r="G770" s="2">
        <v>0.58333333333333337</v>
      </c>
      <c r="H770" s="2">
        <v>0.45833333333333331</v>
      </c>
      <c r="I770" t="s">
        <v>22</v>
      </c>
      <c r="J770" s="12" t="s">
        <v>23</v>
      </c>
      <c r="K770">
        <v>4</v>
      </c>
      <c r="L770">
        <v>0</v>
      </c>
      <c r="M770" t="s">
        <v>19</v>
      </c>
      <c r="N770" s="6">
        <v>129</v>
      </c>
      <c r="O770">
        <f>Table13[[#This Row],[Adults]]+Table13[[#This Row],[Children]]</f>
        <v>4</v>
      </c>
      <c r="P770">
        <f>_xlfn.DAYS(Table13[[#This Row],[Depart]],Table13[[#This Row],[Arrive]])</f>
        <v>1</v>
      </c>
    </row>
    <row r="771" spans="1:16" x14ac:dyDescent="0.25">
      <c r="A771" t="s">
        <v>1005</v>
      </c>
      <c r="B771" t="s">
        <v>1006</v>
      </c>
      <c r="C771" t="s">
        <v>2227</v>
      </c>
      <c r="D771" s="1">
        <v>44144</v>
      </c>
      <c r="E771" s="1">
        <v>44146</v>
      </c>
      <c r="F771" s="1">
        <v>44138</v>
      </c>
      <c r="G771" s="2">
        <v>0.58333333333333337</v>
      </c>
      <c r="H771" s="2">
        <v>0.45833333333333331</v>
      </c>
      <c r="I771" t="s">
        <v>22</v>
      </c>
      <c r="J771" s="12" t="s">
        <v>18</v>
      </c>
      <c r="K771">
        <v>3</v>
      </c>
      <c r="L771">
        <v>0</v>
      </c>
      <c r="M771" t="s">
        <v>19</v>
      </c>
      <c r="N771" s="6">
        <v>427.85</v>
      </c>
      <c r="O771">
        <f>Table13[[#This Row],[Adults]]+Table13[[#This Row],[Children]]</f>
        <v>3</v>
      </c>
      <c r="P771">
        <f>_xlfn.DAYS(Table13[[#This Row],[Depart]],Table13[[#This Row],[Arrive]])</f>
        <v>2</v>
      </c>
    </row>
    <row r="772" spans="1:16" x14ac:dyDescent="0.25">
      <c r="A772" t="s">
        <v>1021</v>
      </c>
      <c r="B772" t="s">
        <v>1022</v>
      </c>
      <c r="C772" t="s">
        <v>2227</v>
      </c>
      <c r="D772" s="1">
        <v>44144</v>
      </c>
      <c r="E772" s="1">
        <v>44149</v>
      </c>
      <c r="F772" s="1">
        <v>44141</v>
      </c>
      <c r="G772" s="2">
        <v>0.58333333333333337</v>
      </c>
      <c r="H772" s="2">
        <v>0.45833333333333331</v>
      </c>
      <c r="I772" t="s">
        <v>22</v>
      </c>
      <c r="J772" s="12" t="s">
        <v>23</v>
      </c>
      <c r="K772">
        <v>5</v>
      </c>
      <c r="L772">
        <v>0</v>
      </c>
      <c r="M772" t="s">
        <v>19</v>
      </c>
      <c r="N772" s="6">
        <v>1069.6199999999999</v>
      </c>
      <c r="O772">
        <f>Table13[[#This Row],[Adults]]+Table13[[#This Row],[Children]]</f>
        <v>5</v>
      </c>
      <c r="P772">
        <f>_xlfn.DAYS(Table13[[#This Row],[Depart]],Table13[[#This Row],[Arrive]])</f>
        <v>5</v>
      </c>
    </row>
    <row r="773" spans="1:16" x14ac:dyDescent="0.25">
      <c r="A773" t="s">
        <v>1047</v>
      </c>
      <c r="B773" t="s">
        <v>1048</v>
      </c>
      <c r="C773" t="s">
        <v>2226</v>
      </c>
      <c r="D773" s="1">
        <v>44144</v>
      </c>
      <c r="E773" s="1">
        <v>44148</v>
      </c>
      <c r="F773" s="1">
        <v>44144</v>
      </c>
      <c r="G773" s="2">
        <v>0.5</v>
      </c>
      <c r="H773" s="2">
        <v>0.58333333333333337</v>
      </c>
      <c r="I773" t="s">
        <v>22</v>
      </c>
      <c r="J773" s="12" t="s">
        <v>23</v>
      </c>
      <c r="K773">
        <v>6</v>
      </c>
      <c r="L773">
        <v>0</v>
      </c>
      <c r="M773" t="s">
        <v>19</v>
      </c>
      <c r="N773" s="6">
        <v>516</v>
      </c>
      <c r="O773">
        <f>Table13[[#This Row],[Adults]]+Table13[[#This Row],[Children]]</f>
        <v>6</v>
      </c>
      <c r="P773">
        <f>_xlfn.DAYS(Table13[[#This Row],[Depart]],Table13[[#This Row],[Arrive]])</f>
        <v>4</v>
      </c>
    </row>
    <row r="774" spans="1:16" x14ac:dyDescent="0.25">
      <c r="A774" t="s">
        <v>667</v>
      </c>
      <c r="B774" t="s">
        <v>668</v>
      </c>
      <c r="C774" t="s">
        <v>2227</v>
      </c>
      <c r="D774" s="1">
        <v>44145</v>
      </c>
      <c r="E774" s="1">
        <v>44146</v>
      </c>
      <c r="F774" s="1">
        <v>44091</v>
      </c>
      <c r="G774" s="2">
        <v>0.58333333333333337</v>
      </c>
      <c r="H774" s="2">
        <v>0.45833333333333331</v>
      </c>
      <c r="I774" t="s">
        <v>22</v>
      </c>
      <c r="J774" s="12" t="s">
        <v>18</v>
      </c>
      <c r="K774">
        <v>5</v>
      </c>
      <c r="L774">
        <v>0</v>
      </c>
      <c r="M774" t="s">
        <v>19</v>
      </c>
      <c r="N774" s="6">
        <v>188.12</v>
      </c>
      <c r="O774">
        <f>Table13[[#This Row],[Adults]]+Table13[[#This Row],[Children]]</f>
        <v>5</v>
      </c>
      <c r="P774">
        <f>_xlfn.DAYS(Table13[[#This Row],[Depart]],Table13[[#This Row],[Arrive]])</f>
        <v>1</v>
      </c>
    </row>
    <row r="775" spans="1:16" x14ac:dyDescent="0.25">
      <c r="A775" t="s">
        <v>1057</v>
      </c>
      <c r="B775" t="s">
        <v>1058</v>
      </c>
      <c r="C775" t="s">
        <v>2228</v>
      </c>
      <c r="D775" s="1">
        <v>44145</v>
      </c>
      <c r="E775" s="1">
        <v>44148</v>
      </c>
      <c r="F775" s="1">
        <v>44148</v>
      </c>
      <c r="G775" s="2">
        <v>0.58333333333333337</v>
      </c>
      <c r="H775" s="2">
        <v>0.45833333333333331</v>
      </c>
      <c r="I775" t="s">
        <v>22</v>
      </c>
      <c r="J775" s="12" t="s">
        <v>18</v>
      </c>
      <c r="K775">
        <v>5</v>
      </c>
      <c r="L775">
        <v>0</v>
      </c>
      <c r="M775" t="s">
        <v>19</v>
      </c>
      <c r="N775" s="6">
        <v>387</v>
      </c>
      <c r="O775">
        <f>Table13[[#This Row],[Adults]]+Table13[[#This Row],[Children]]</f>
        <v>5</v>
      </c>
      <c r="P775">
        <f>_xlfn.DAYS(Table13[[#This Row],[Depart]],Table13[[#This Row],[Arrive]])</f>
        <v>3</v>
      </c>
    </row>
    <row r="776" spans="1:16" x14ac:dyDescent="0.25">
      <c r="A776" t="s">
        <v>739</v>
      </c>
      <c r="B776" t="s">
        <v>740</v>
      </c>
      <c r="C776" t="s">
        <v>2223</v>
      </c>
      <c r="D776" s="1">
        <v>44146</v>
      </c>
      <c r="E776" s="1">
        <v>44153</v>
      </c>
      <c r="F776" s="1">
        <v>44114</v>
      </c>
      <c r="G776" s="2">
        <v>0.58333333333333337</v>
      </c>
      <c r="H776" s="2">
        <v>0.45833333333333331</v>
      </c>
      <c r="I776" t="s">
        <v>26</v>
      </c>
      <c r="J776" s="12" t="s">
        <v>18</v>
      </c>
      <c r="K776">
        <v>1</v>
      </c>
      <c r="L776">
        <v>0</v>
      </c>
      <c r="M776" t="s">
        <v>19</v>
      </c>
      <c r="N776" s="6">
        <v>794</v>
      </c>
      <c r="O776">
        <f>Table13[[#This Row],[Adults]]+Table13[[#This Row],[Children]]</f>
        <v>1</v>
      </c>
      <c r="P776">
        <f>_xlfn.DAYS(Table13[[#This Row],[Depart]],Table13[[#This Row],[Arrive]])</f>
        <v>7</v>
      </c>
    </row>
    <row r="777" spans="1:16" x14ac:dyDescent="0.25">
      <c r="A777" t="s">
        <v>893</v>
      </c>
      <c r="B777" t="s">
        <v>894</v>
      </c>
      <c r="C777" t="s">
        <v>2226</v>
      </c>
      <c r="D777" s="1">
        <v>44146</v>
      </c>
      <c r="E777" s="1">
        <v>44176</v>
      </c>
      <c r="F777" s="1">
        <v>44132</v>
      </c>
      <c r="G777" s="2">
        <v>0.5</v>
      </c>
      <c r="H777" s="2">
        <v>0.58333333333333337</v>
      </c>
      <c r="I777" t="s">
        <v>22</v>
      </c>
      <c r="J777" s="12" t="s">
        <v>18</v>
      </c>
      <c r="K777">
        <v>1</v>
      </c>
      <c r="L777">
        <v>0</v>
      </c>
      <c r="M777" t="s">
        <v>19</v>
      </c>
      <c r="N777" s="6">
        <v>130000</v>
      </c>
      <c r="O777">
        <f>Table13[[#This Row],[Adults]]+Table13[[#This Row],[Children]]</f>
        <v>1</v>
      </c>
      <c r="P777">
        <f>_xlfn.DAYS(Table13[[#This Row],[Depart]],Table13[[#This Row],[Arrive]])</f>
        <v>30</v>
      </c>
    </row>
    <row r="778" spans="1:16" x14ac:dyDescent="0.25">
      <c r="A778" t="s">
        <v>989</v>
      </c>
      <c r="B778" t="s">
        <v>990</v>
      </c>
      <c r="C778" t="s">
        <v>2222</v>
      </c>
      <c r="D778" s="1">
        <v>44146</v>
      </c>
      <c r="E778" s="1">
        <v>44148</v>
      </c>
      <c r="F778" s="1">
        <v>44131</v>
      </c>
      <c r="G778" s="2">
        <v>0.45833333333333331</v>
      </c>
      <c r="H778" s="2">
        <v>0.41666666666666669</v>
      </c>
      <c r="I778" t="s">
        <v>22</v>
      </c>
      <c r="J778" s="12" t="s">
        <v>18</v>
      </c>
      <c r="K778">
        <v>6</v>
      </c>
      <c r="L778">
        <v>0</v>
      </c>
      <c r="M778" t="s">
        <v>19</v>
      </c>
      <c r="N778" s="6">
        <v>0</v>
      </c>
      <c r="O778">
        <f>Table13[[#This Row],[Adults]]+Table13[[#This Row],[Children]]</f>
        <v>6</v>
      </c>
      <c r="P778">
        <f>_xlfn.DAYS(Table13[[#This Row],[Depart]],Table13[[#This Row],[Arrive]])</f>
        <v>2</v>
      </c>
    </row>
    <row r="779" spans="1:16" x14ac:dyDescent="0.25">
      <c r="A779" t="s">
        <v>995</v>
      </c>
      <c r="B779" t="s">
        <v>996</v>
      </c>
      <c r="C779" t="s">
        <v>2226</v>
      </c>
      <c r="D779" s="1">
        <v>44146</v>
      </c>
      <c r="E779" s="1">
        <v>44176</v>
      </c>
      <c r="F779" s="1">
        <v>44139</v>
      </c>
      <c r="G779" s="2">
        <v>0.5</v>
      </c>
      <c r="H779" s="2">
        <v>0.58333333333333337</v>
      </c>
      <c r="I779" t="s">
        <v>22</v>
      </c>
      <c r="J779" s="12" t="s">
        <v>18</v>
      </c>
      <c r="K779">
        <v>1</v>
      </c>
      <c r="L779">
        <v>0</v>
      </c>
      <c r="M779" t="s">
        <v>19</v>
      </c>
      <c r="N779" s="6">
        <v>130000</v>
      </c>
      <c r="O779">
        <f>Table13[[#This Row],[Adults]]+Table13[[#This Row],[Children]]</f>
        <v>1</v>
      </c>
      <c r="P779">
        <f>_xlfn.DAYS(Table13[[#This Row],[Depart]],Table13[[#This Row],[Arrive]])</f>
        <v>30</v>
      </c>
    </row>
    <row r="780" spans="1:16" x14ac:dyDescent="0.25">
      <c r="A780" t="s">
        <v>1019</v>
      </c>
      <c r="B780" t="s">
        <v>1020</v>
      </c>
      <c r="C780" t="s">
        <v>2227</v>
      </c>
      <c r="D780" s="1">
        <v>44146</v>
      </c>
      <c r="E780" s="1">
        <v>44147</v>
      </c>
      <c r="F780" s="1">
        <v>44140</v>
      </c>
      <c r="G780" s="2">
        <v>0.58333333333333337</v>
      </c>
      <c r="H780" s="2">
        <v>0.45833333333333331</v>
      </c>
      <c r="I780" t="s">
        <v>22</v>
      </c>
      <c r="J780" s="12" t="s">
        <v>18</v>
      </c>
      <c r="K780">
        <v>6</v>
      </c>
      <c r="L780">
        <v>0</v>
      </c>
      <c r="M780" t="s">
        <v>19</v>
      </c>
      <c r="N780" s="6">
        <v>119.33</v>
      </c>
      <c r="O780">
        <f>Table13[[#This Row],[Adults]]+Table13[[#This Row],[Children]]</f>
        <v>6</v>
      </c>
      <c r="P780">
        <f>_xlfn.DAYS(Table13[[#This Row],[Depart]],Table13[[#This Row],[Arrive]])</f>
        <v>1</v>
      </c>
    </row>
    <row r="781" spans="1:16" x14ac:dyDescent="0.25">
      <c r="A781" t="s">
        <v>989</v>
      </c>
      <c r="B781" t="s">
        <v>990</v>
      </c>
      <c r="C781" t="s">
        <v>2226</v>
      </c>
      <c r="D781" s="1">
        <v>44146</v>
      </c>
      <c r="E781" s="1">
        <v>44148</v>
      </c>
      <c r="F781" s="1">
        <v>44134</v>
      </c>
      <c r="G781" s="2">
        <v>0.5</v>
      </c>
      <c r="H781" s="2">
        <v>0.58333333333333337</v>
      </c>
      <c r="I781" t="s">
        <v>22</v>
      </c>
      <c r="J781" s="12" t="s">
        <v>18</v>
      </c>
      <c r="K781">
        <v>7</v>
      </c>
      <c r="L781">
        <v>0</v>
      </c>
      <c r="M781" t="s">
        <v>19</v>
      </c>
      <c r="N781" s="6">
        <v>301</v>
      </c>
      <c r="O781">
        <f>Table13[[#This Row],[Adults]]+Table13[[#This Row],[Children]]</f>
        <v>7</v>
      </c>
      <c r="P781">
        <f>_xlfn.DAYS(Table13[[#This Row],[Depart]],Table13[[#This Row],[Arrive]])</f>
        <v>2</v>
      </c>
    </row>
    <row r="782" spans="1:16" x14ac:dyDescent="0.25">
      <c r="A782" t="s">
        <v>989</v>
      </c>
      <c r="B782" t="s">
        <v>990</v>
      </c>
      <c r="C782" t="s">
        <v>2228</v>
      </c>
      <c r="D782" s="1">
        <v>44146</v>
      </c>
      <c r="E782" s="1">
        <v>44148</v>
      </c>
      <c r="F782" s="1">
        <v>44131</v>
      </c>
      <c r="G782" s="2">
        <v>0.58333333333333337</v>
      </c>
      <c r="H782" s="2">
        <v>0.45833333333333331</v>
      </c>
      <c r="I782" t="s">
        <v>22</v>
      </c>
      <c r="J782" s="12" t="s">
        <v>18</v>
      </c>
      <c r="K782">
        <v>6</v>
      </c>
      <c r="L782">
        <v>0</v>
      </c>
      <c r="M782" t="s">
        <v>19</v>
      </c>
      <c r="N782" s="6">
        <v>258</v>
      </c>
      <c r="O782">
        <f>Table13[[#This Row],[Adults]]+Table13[[#This Row],[Children]]</f>
        <v>6</v>
      </c>
      <c r="P782">
        <f>_xlfn.DAYS(Table13[[#This Row],[Depart]],Table13[[#This Row],[Arrive]])</f>
        <v>2</v>
      </c>
    </row>
    <row r="783" spans="1:16" x14ac:dyDescent="0.25">
      <c r="A783" t="s">
        <v>897</v>
      </c>
      <c r="B783" t="s">
        <v>898</v>
      </c>
      <c r="C783" t="s">
        <v>2228</v>
      </c>
      <c r="D783" s="1">
        <v>44148</v>
      </c>
      <c r="E783" s="1">
        <v>44151</v>
      </c>
      <c r="F783" s="1">
        <v>44137</v>
      </c>
      <c r="G783" s="2">
        <v>0.58333333333333337</v>
      </c>
      <c r="H783" s="2">
        <v>0.45833333333333331</v>
      </c>
      <c r="I783" t="s">
        <v>22</v>
      </c>
      <c r="J783" s="12" t="s">
        <v>18</v>
      </c>
      <c r="K783">
        <v>4</v>
      </c>
      <c r="L783">
        <v>0</v>
      </c>
      <c r="M783" t="s">
        <v>19</v>
      </c>
      <c r="N783" s="6">
        <v>387</v>
      </c>
      <c r="O783">
        <f>Table13[[#This Row],[Adults]]+Table13[[#This Row],[Children]]</f>
        <v>4</v>
      </c>
      <c r="P783">
        <f>_xlfn.DAYS(Table13[[#This Row],[Depart]],Table13[[#This Row],[Arrive]])</f>
        <v>3</v>
      </c>
    </row>
    <row r="784" spans="1:16" x14ac:dyDescent="0.25">
      <c r="A784" t="s">
        <v>1005</v>
      </c>
      <c r="B784" t="s">
        <v>1006</v>
      </c>
      <c r="C784" t="s">
        <v>2228</v>
      </c>
      <c r="D784" s="1">
        <v>44148</v>
      </c>
      <c r="E784" s="1">
        <v>44149</v>
      </c>
      <c r="F784" s="1">
        <v>44139</v>
      </c>
      <c r="G784" s="2">
        <v>0.58333333333333337</v>
      </c>
      <c r="H784" s="2">
        <v>0.45833333333333331</v>
      </c>
      <c r="I784" t="s">
        <v>22</v>
      </c>
      <c r="J784" s="12" t="s">
        <v>18</v>
      </c>
      <c r="K784">
        <v>2</v>
      </c>
      <c r="L784">
        <v>0</v>
      </c>
      <c r="M784" t="s">
        <v>19</v>
      </c>
      <c r="N784" s="6">
        <v>129</v>
      </c>
      <c r="O784">
        <f>Table13[[#This Row],[Adults]]+Table13[[#This Row],[Children]]</f>
        <v>2</v>
      </c>
      <c r="P784">
        <f>_xlfn.DAYS(Table13[[#This Row],[Depart]],Table13[[#This Row],[Arrive]])</f>
        <v>1</v>
      </c>
    </row>
    <row r="785" spans="1:16" x14ac:dyDescent="0.25">
      <c r="A785" t="s">
        <v>1047</v>
      </c>
      <c r="B785" t="s">
        <v>1048</v>
      </c>
      <c r="C785" t="s">
        <v>2228</v>
      </c>
      <c r="D785" s="1">
        <v>44148</v>
      </c>
      <c r="E785" s="1">
        <v>44149</v>
      </c>
      <c r="F785" s="1">
        <v>44147</v>
      </c>
      <c r="G785" s="2">
        <v>0.58333333333333337</v>
      </c>
      <c r="H785" s="2">
        <v>0.45833333333333331</v>
      </c>
      <c r="I785" t="s">
        <v>22</v>
      </c>
      <c r="J785" s="12" t="s">
        <v>23</v>
      </c>
      <c r="K785">
        <v>6</v>
      </c>
      <c r="L785">
        <v>0</v>
      </c>
      <c r="M785" t="s">
        <v>19</v>
      </c>
      <c r="N785" s="6">
        <v>129</v>
      </c>
      <c r="O785">
        <f>Table13[[#This Row],[Adults]]+Table13[[#This Row],[Children]]</f>
        <v>6</v>
      </c>
      <c r="P785">
        <f>_xlfn.DAYS(Table13[[#This Row],[Depart]],Table13[[#This Row],[Arrive]])</f>
        <v>1</v>
      </c>
    </row>
    <row r="786" spans="1:16" x14ac:dyDescent="0.25">
      <c r="A786" t="s">
        <v>142</v>
      </c>
      <c r="B786" t="s">
        <v>143</v>
      </c>
      <c r="C786" t="s">
        <v>2223</v>
      </c>
      <c r="D786" s="1">
        <v>44148</v>
      </c>
      <c r="E786" s="1">
        <v>44151</v>
      </c>
      <c r="F786" s="1">
        <v>44117</v>
      </c>
      <c r="G786" s="2">
        <v>0.58333333333333337</v>
      </c>
      <c r="H786" s="2">
        <v>0.45833333333333331</v>
      </c>
      <c r="I786" t="s">
        <v>22</v>
      </c>
      <c r="J786" s="12" t="s">
        <v>18</v>
      </c>
      <c r="K786">
        <v>5</v>
      </c>
      <c r="L786">
        <v>0</v>
      </c>
      <c r="M786" t="s">
        <v>19</v>
      </c>
      <c r="N786" s="6">
        <v>387</v>
      </c>
      <c r="O786">
        <f>Table13[[#This Row],[Adults]]+Table13[[#This Row],[Children]]</f>
        <v>5</v>
      </c>
      <c r="P786">
        <f>_xlfn.DAYS(Table13[[#This Row],[Depart]],Table13[[#This Row],[Arrive]])</f>
        <v>3</v>
      </c>
    </row>
    <row r="787" spans="1:16" x14ac:dyDescent="0.25">
      <c r="A787" t="s">
        <v>885</v>
      </c>
      <c r="B787" t="s">
        <v>886</v>
      </c>
      <c r="C787" t="s">
        <v>2223</v>
      </c>
      <c r="D787" s="1">
        <v>44149</v>
      </c>
      <c r="E787" s="1">
        <v>44150</v>
      </c>
      <c r="F787" s="1">
        <v>44116</v>
      </c>
      <c r="G787" s="2">
        <v>0.58333333333333337</v>
      </c>
      <c r="H787" s="2">
        <v>0.45833333333333331</v>
      </c>
      <c r="I787" t="s">
        <v>26</v>
      </c>
      <c r="J787" s="12" t="s">
        <v>18</v>
      </c>
      <c r="K787">
        <v>1</v>
      </c>
      <c r="L787">
        <v>0</v>
      </c>
      <c r="M787" t="s">
        <v>19</v>
      </c>
      <c r="N787" s="6">
        <v>117</v>
      </c>
      <c r="O787">
        <f>Table13[[#This Row],[Adults]]+Table13[[#This Row],[Children]]</f>
        <v>1</v>
      </c>
      <c r="P787">
        <f>_xlfn.DAYS(Table13[[#This Row],[Depart]],Table13[[#This Row],[Arrive]])</f>
        <v>1</v>
      </c>
    </row>
    <row r="788" spans="1:16" x14ac:dyDescent="0.25">
      <c r="A788" t="s">
        <v>599</v>
      </c>
      <c r="B788" t="s">
        <v>600</v>
      </c>
      <c r="C788" t="s">
        <v>2227</v>
      </c>
      <c r="D788" s="1">
        <v>44149</v>
      </c>
      <c r="E788" s="1">
        <v>44151</v>
      </c>
      <c r="F788" s="1">
        <v>44121</v>
      </c>
      <c r="G788" s="2">
        <v>0.58333333333333337</v>
      </c>
      <c r="H788" s="2">
        <v>0.45833333333333331</v>
      </c>
      <c r="I788" t="s">
        <v>22</v>
      </c>
      <c r="J788" s="12" t="s">
        <v>23</v>
      </c>
      <c r="K788">
        <v>6</v>
      </c>
      <c r="L788">
        <v>0</v>
      </c>
      <c r="M788" t="s">
        <v>19</v>
      </c>
      <c r="N788" s="6">
        <v>376.25</v>
      </c>
      <c r="O788">
        <f>Table13[[#This Row],[Adults]]+Table13[[#This Row],[Children]]</f>
        <v>6</v>
      </c>
      <c r="P788">
        <f>_xlfn.DAYS(Table13[[#This Row],[Depart]],Table13[[#This Row],[Arrive]])</f>
        <v>2</v>
      </c>
    </row>
    <row r="789" spans="1:16" x14ac:dyDescent="0.25">
      <c r="A789" t="s">
        <v>1039</v>
      </c>
      <c r="B789" t="s">
        <v>1040</v>
      </c>
      <c r="C789" t="s">
        <v>2228</v>
      </c>
      <c r="D789" s="1">
        <v>44149</v>
      </c>
      <c r="E789" s="1">
        <v>44151</v>
      </c>
      <c r="F789" s="1">
        <v>44145</v>
      </c>
      <c r="G789" s="2">
        <v>0.58333333333333337</v>
      </c>
      <c r="H789" s="2">
        <v>0.45833333333333331</v>
      </c>
      <c r="I789" t="s">
        <v>22</v>
      </c>
      <c r="J789" s="12" t="s">
        <v>23</v>
      </c>
      <c r="K789">
        <v>5</v>
      </c>
      <c r="L789">
        <v>0</v>
      </c>
      <c r="M789" t="s">
        <v>19</v>
      </c>
      <c r="N789" s="6">
        <v>258</v>
      </c>
      <c r="O789">
        <f>Table13[[#This Row],[Adults]]+Table13[[#This Row],[Children]]</f>
        <v>5</v>
      </c>
      <c r="P789">
        <f>_xlfn.DAYS(Table13[[#This Row],[Depart]],Table13[[#This Row],[Arrive]])</f>
        <v>2</v>
      </c>
    </row>
    <row r="790" spans="1:16" x14ac:dyDescent="0.25">
      <c r="A790" t="s">
        <v>1005</v>
      </c>
      <c r="B790" t="s">
        <v>1006</v>
      </c>
      <c r="C790" t="s">
        <v>2222</v>
      </c>
      <c r="D790" s="1">
        <v>44151</v>
      </c>
      <c r="E790" s="1">
        <v>44153</v>
      </c>
      <c r="F790" s="1">
        <v>44142</v>
      </c>
      <c r="G790" s="2">
        <v>0.45833333333333331</v>
      </c>
      <c r="H790" s="2">
        <v>0.41666666666666669</v>
      </c>
      <c r="I790" t="s">
        <v>22</v>
      </c>
      <c r="J790" s="12" t="s">
        <v>18</v>
      </c>
      <c r="K790">
        <v>6</v>
      </c>
      <c r="L790">
        <v>0</v>
      </c>
      <c r="M790" t="s">
        <v>19</v>
      </c>
      <c r="N790" s="6">
        <v>240</v>
      </c>
      <c r="O790">
        <f>Table13[[#This Row],[Adults]]+Table13[[#This Row],[Children]]</f>
        <v>6</v>
      </c>
      <c r="P790">
        <f>_xlfn.DAYS(Table13[[#This Row],[Depart]],Table13[[#This Row],[Arrive]])</f>
        <v>2</v>
      </c>
    </row>
    <row r="791" spans="1:16" x14ac:dyDescent="0.25">
      <c r="A791" t="s">
        <v>1039</v>
      </c>
      <c r="B791" t="s">
        <v>1040</v>
      </c>
      <c r="C791" t="s">
        <v>2227</v>
      </c>
      <c r="D791" s="1">
        <v>44151</v>
      </c>
      <c r="E791" s="1">
        <v>44152</v>
      </c>
      <c r="F791" s="1">
        <v>44145</v>
      </c>
      <c r="G791" s="2">
        <v>0.58333333333333337</v>
      </c>
      <c r="H791" s="2">
        <v>0.45833333333333331</v>
      </c>
      <c r="I791" t="s">
        <v>22</v>
      </c>
      <c r="J791" s="12" t="s">
        <v>23</v>
      </c>
      <c r="K791">
        <v>5</v>
      </c>
      <c r="L791">
        <v>0</v>
      </c>
      <c r="M791" t="s">
        <v>19</v>
      </c>
      <c r="N791" s="6">
        <v>213.93</v>
      </c>
      <c r="O791">
        <f>Table13[[#This Row],[Adults]]+Table13[[#This Row],[Children]]</f>
        <v>5</v>
      </c>
      <c r="P791">
        <f>_xlfn.DAYS(Table13[[#This Row],[Depart]],Table13[[#This Row],[Arrive]])</f>
        <v>1</v>
      </c>
    </row>
    <row r="792" spans="1:16" x14ac:dyDescent="0.25">
      <c r="A792" t="s">
        <v>1103</v>
      </c>
      <c r="B792" t="s">
        <v>1104</v>
      </c>
      <c r="C792" t="s">
        <v>2223</v>
      </c>
      <c r="D792" s="1">
        <v>44151</v>
      </c>
      <c r="E792" s="1">
        <v>44152</v>
      </c>
      <c r="F792" s="1">
        <v>44148</v>
      </c>
      <c r="G792" s="2">
        <v>0.58333333333333337</v>
      </c>
      <c r="H792" s="2">
        <v>0.45833333333333331</v>
      </c>
      <c r="I792" t="s">
        <v>22</v>
      </c>
      <c r="J792" s="12" t="s">
        <v>23</v>
      </c>
      <c r="K792">
        <v>4</v>
      </c>
      <c r="L792">
        <v>0</v>
      </c>
      <c r="M792" t="s">
        <v>19</v>
      </c>
      <c r="N792" s="6">
        <v>129</v>
      </c>
      <c r="O792">
        <f>Table13[[#This Row],[Adults]]+Table13[[#This Row],[Children]]</f>
        <v>4</v>
      </c>
      <c r="P792">
        <f>_xlfn.DAYS(Table13[[#This Row],[Depart]],Table13[[#This Row],[Arrive]])</f>
        <v>1</v>
      </c>
    </row>
    <row r="793" spans="1:16" x14ac:dyDescent="0.25">
      <c r="A793" t="s">
        <v>1005</v>
      </c>
      <c r="B793" t="s">
        <v>1006</v>
      </c>
      <c r="C793" t="s">
        <v>2222</v>
      </c>
      <c r="D793" s="1">
        <v>44151</v>
      </c>
      <c r="E793" s="1">
        <v>44154</v>
      </c>
      <c r="F793" s="1">
        <v>44143</v>
      </c>
      <c r="G793" s="2">
        <v>0.45833333333333331</v>
      </c>
      <c r="H793" s="2">
        <v>0.41666666666666669</v>
      </c>
      <c r="I793" t="s">
        <v>22</v>
      </c>
      <c r="J793" s="12" t="s">
        <v>23</v>
      </c>
      <c r="K793">
        <v>5</v>
      </c>
      <c r="L793">
        <v>0</v>
      </c>
      <c r="M793" t="s">
        <v>19</v>
      </c>
      <c r="N793" s="6">
        <v>387</v>
      </c>
      <c r="O793">
        <f>Table13[[#This Row],[Adults]]+Table13[[#This Row],[Children]]</f>
        <v>5</v>
      </c>
      <c r="P793">
        <f>_xlfn.DAYS(Table13[[#This Row],[Depart]],Table13[[#This Row],[Arrive]])</f>
        <v>3</v>
      </c>
    </row>
    <row r="794" spans="1:16" x14ac:dyDescent="0.25">
      <c r="A794" t="s">
        <v>284</v>
      </c>
      <c r="B794" t="s">
        <v>285</v>
      </c>
      <c r="C794" t="s">
        <v>2227</v>
      </c>
      <c r="D794" s="1">
        <v>44152</v>
      </c>
      <c r="E794" s="1">
        <v>44155</v>
      </c>
      <c r="F794" s="1">
        <v>44128</v>
      </c>
      <c r="G794" s="2">
        <v>0.58333333333333337</v>
      </c>
      <c r="H794" s="2">
        <v>0.45833333333333331</v>
      </c>
      <c r="I794" t="s">
        <v>22</v>
      </c>
      <c r="J794" s="12" t="s">
        <v>23</v>
      </c>
      <c r="K794">
        <v>4</v>
      </c>
      <c r="L794">
        <v>0</v>
      </c>
      <c r="M794" t="s">
        <v>19</v>
      </c>
      <c r="N794" s="6">
        <v>641.77</v>
      </c>
      <c r="O794">
        <f>Table13[[#This Row],[Adults]]+Table13[[#This Row],[Children]]</f>
        <v>4</v>
      </c>
      <c r="P794">
        <f>_xlfn.DAYS(Table13[[#This Row],[Depart]],Table13[[#This Row],[Arrive]])</f>
        <v>3</v>
      </c>
    </row>
    <row r="795" spans="1:16" x14ac:dyDescent="0.25">
      <c r="A795" t="s">
        <v>561</v>
      </c>
      <c r="B795" t="s">
        <v>562</v>
      </c>
      <c r="C795" t="s">
        <v>2223</v>
      </c>
      <c r="D795" s="1">
        <v>44152</v>
      </c>
      <c r="E795" s="1">
        <v>44153</v>
      </c>
      <c r="F795" s="1">
        <v>44159</v>
      </c>
      <c r="G795" s="2">
        <v>0.58333333333333337</v>
      </c>
      <c r="H795" s="2">
        <v>0.45833333333333331</v>
      </c>
      <c r="I795" t="s">
        <v>22</v>
      </c>
      <c r="J795" s="12" t="s">
        <v>23</v>
      </c>
      <c r="K795">
        <v>4</v>
      </c>
      <c r="L795">
        <v>0</v>
      </c>
      <c r="M795" t="s">
        <v>19</v>
      </c>
      <c r="N795" s="6">
        <v>129</v>
      </c>
      <c r="O795">
        <f>Table13[[#This Row],[Adults]]+Table13[[#This Row],[Children]]</f>
        <v>4</v>
      </c>
      <c r="P795">
        <f>_xlfn.DAYS(Table13[[#This Row],[Depart]],Table13[[#This Row],[Arrive]])</f>
        <v>1</v>
      </c>
    </row>
    <row r="796" spans="1:16" x14ac:dyDescent="0.25">
      <c r="A796" t="s">
        <v>488</v>
      </c>
      <c r="B796" t="s">
        <v>489</v>
      </c>
      <c r="C796" t="s">
        <v>2223</v>
      </c>
      <c r="D796" s="1">
        <v>44153</v>
      </c>
      <c r="E796" s="1">
        <v>44157</v>
      </c>
      <c r="F796" s="1">
        <v>44031</v>
      </c>
      <c r="G796" s="2">
        <v>0.58333333333333337</v>
      </c>
      <c r="H796" s="2">
        <v>0.45833333333333331</v>
      </c>
      <c r="I796" t="s">
        <v>26</v>
      </c>
      <c r="J796" s="12" t="s">
        <v>18</v>
      </c>
      <c r="K796">
        <v>1</v>
      </c>
      <c r="L796">
        <v>0</v>
      </c>
      <c r="M796" t="s">
        <v>19</v>
      </c>
      <c r="N796" s="6">
        <v>573</v>
      </c>
      <c r="O796">
        <f>Table13[[#This Row],[Adults]]+Table13[[#This Row],[Children]]</f>
        <v>1</v>
      </c>
      <c r="P796">
        <f>_xlfn.DAYS(Table13[[#This Row],[Depart]],Table13[[#This Row],[Arrive]])</f>
        <v>4</v>
      </c>
    </row>
    <row r="797" spans="1:16" x14ac:dyDescent="0.25">
      <c r="A797" t="s">
        <v>1005</v>
      </c>
      <c r="B797" t="s">
        <v>1006</v>
      </c>
      <c r="C797" t="s">
        <v>2226</v>
      </c>
      <c r="D797" s="1">
        <v>44153</v>
      </c>
      <c r="E797" s="1">
        <v>44154</v>
      </c>
      <c r="F797" s="1">
        <v>44153</v>
      </c>
      <c r="G797" s="2">
        <v>0.5</v>
      </c>
      <c r="H797" s="2">
        <v>0.58333333333333337</v>
      </c>
      <c r="I797" t="s">
        <v>22</v>
      </c>
      <c r="J797" s="12" t="s">
        <v>23</v>
      </c>
      <c r="K797">
        <v>4</v>
      </c>
      <c r="L797">
        <v>0</v>
      </c>
      <c r="M797" t="s">
        <v>19</v>
      </c>
      <c r="N797" s="6">
        <v>129</v>
      </c>
      <c r="O797">
        <f>Table13[[#This Row],[Adults]]+Table13[[#This Row],[Children]]</f>
        <v>4</v>
      </c>
      <c r="P797">
        <f>_xlfn.DAYS(Table13[[#This Row],[Depart]],Table13[[#This Row],[Arrive]])</f>
        <v>1</v>
      </c>
    </row>
    <row r="798" spans="1:16" x14ac:dyDescent="0.25">
      <c r="A798" t="s">
        <v>416</v>
      </c>
      <c r="B798" t="s">
        <v>417</v>
      </c>
      <c r="C798" t="s">
        <v>2228</v>
      </c>
      <c r="D798" s="1">
        <v>44153</v>
      </c>
      <c r="E798" s="1">
        <v>44154</v>
      </c>
      <c r="F798" s="1">
        <v>44142</v>
      </c>
      <c r="G798" s="2">
        <v>0.58333333333333337</v>
      </c>
      <c r="H798" s="2">
        <v>0.45833333333333331</v>
      </c>
      <c r="I798" t="s">
        <v>22</v>
      </c>
      <c r="J798" s="12" t="s">
        <v>18</v>
      </c>
      <c r="K798">
        <v>5</v>
      </c>
      <c r="L798">
        <v>0</v>
      </c>
      <c r="M798" t="s">
        <v>19</v>
      </c>
      <c r="N798" s="6">
        <v>129</v>
      </c>
      <c r="O798">
        <f>Table13[[#This Row],[Adults]]+Table13[[#This Row],[Children]]</f>
        <v>5</v>
      </c>
      <c r="P798">
        <f>_xlfn.DAYS(Table13[[#This Row],[Depart]],Table13[[#This Row],[Arrive]])</f>
        <v>1</v>
      </c>
    </row>
    <row r="799" spans="1:16" x14ac:dyDescent="0.25">
      <c r="A799" t="s">
        <v>1005</v>
      </c>
      <c r="B799" t="s">
        <v>1006</v>
      </c>
      <c r="C799" t="s">
        <v>2222</v>
      </c>
      <c r="D799" s="1">
        <v>44153</v>
      </c>
      <c r="E799" s="1">
        <v>44154</v>
      </c>
      <c r="F799" s="1">
        <v>44148</v>
      </c>
      <c r="G799" s="2">
        <v>0.45833333333333331</v>
      </c>
      <c r="H799" s="2">
        <v>0.41666666666666669</v>
      </c>
      <c r="I799" t="s">
        <v>22</v>
      </c>
      <c r="J799" s="12" t="s">
        <v>18</v>
      </c>
      <c r="K799">
        <v>5</v>
      </c>
      <c r="L799">
        <v>0</v>
      </c>
      <c r="M799" t="s">
        <v>19</v>
      </c>
      <c r="N799" s="6">
        <v>120</v>
      </c>
      <c r="O799">
        <f>Table13[[#This Row],[Adults]]+Table13[[#This Row],[Children]]</f>
        <v>5</v>
      </c>
      <c r="P799">
        <f>_xlfn.DAYS(Table13[[#This Row],[Depart]],Table13[[#This Row],[Arrive]])</f>
        <v>1</v>
      </c>
    </row>
    <row r="800" spans="1:16" x14ac:dyDescent="0.25">
      <c r="A800" t="s">
        <v>875</v>
      </c>
      <c r="B800" t="s">
        <v>876</v>
      </c>
      <c r="C800" t="s">
        <v>2222</v>
      </c>
      <c r="D800" s="1">
        <v>44154</v>
      </c>
      <c r="E800" s="1">
        <v>44159</v>
      </c>
      <c r="F800" s="1">
        <v>44142</v>
      </c>
      <c r="G800" s="2">
        <v>0.45833333333333331</v>
      </c>
      <c r="H800" s="2">
        <v>0.41666666666666669</v>
      </c>
      <c r="I800" t="s">
        <v>22</v>
      </c>
      <c r="J800" s="12" t="s">
        <v>18</v>
      </c>
      <c r="K800">
        <v>5</v>
      </c>
      <c r="L800">
        <v>0</v>
      </c>
      <c r="M800" t="s">
        <v>19</v>
      </c>
      <c r="N800" s="6">
        <v>600</v>
      </c>
      <c r="O800">
        <f>Table13[[#This Row],[Adults]]+Table13[[#This Row],[Children]]</f>
        <v>5</v>
      </c>
      <c r="P800">
        <f>_xlfn.DAYS(Table13[[#This Row],[Depart]],Table13[[#This Row],[Arrive]])</f>
        <v>5</v>
      </c>
    </row>
    <row r="801" spans="1:16" x14ac:dyDescent="0.25">
      <c r="A801" t="s">
        <v>875</v>
      </c>
      <c r="B801" t="s">
        <v>876</v>
      </c>
      <c r="C801" t="s">
        <v>2222</v>
      </c>
      <c r="D801" s="1">
        <v>44154</v>
      </c>
      <c r="E801" s="1">
        <v>44159</v>
      </c>
      <c r="F801" s="1">
        <v>44143</v>
      </c>
      <c r="G801" s="2">
        <v>0.45833333333333331</v>
      </c>
      <c r="H801" s="2">
        <v>0.41666666666666669</v>
      </c>
      <c r="I801" t="s">
        <v>22</v>
      </c>
      <c r="J801" s="12" t="s">
        <v>23</v>
      </c>
      <c r="K801">
        <v>6</v>
      </c>
      <c r="L801">
        <v>0</v>
      </c>
      <c r="M801" t="s">
        <v>19</v>
      </c>
      <c r="N801" s="6">
        <v>600</v>
      </c>
      <c r="O801">
        <f>Table13[[#This Row],[Adults]]+Table13[[#This Row],[Children]]</f>
        <v>6</v>
      </c>
      <c r="P801">
        <f>_xlfn.DAYS(Table13[[#This Row],[Depart]],Table13[[#This Row],[Arrive]])</f>
        <v>5</v>
      </c>
    </row>
    <row r="802" spans="1:16" x14ac:dyDescent="0.25">
      <c r="A802" t="s">
        <v>583</v>
      </c>
      <c r="B802" t="s">
        <v>584</v>
      </c>
      <c r="C802" t="s">
        <v>2228</v>
      </c>
      <c r="D802" s="1">
        <v>44154</v>
      </c>
      <c r="E802" s="1">
        <v>44155</v>
      </c>
      <c r="F802" s="1">
        <v>44151</v>
      </c>
      <c r="G802" s="2">
        <v>0.58333333333333337</v>
      </c>
      <c r="H802" s="2">
        <v>0.45833333333333331</v>
      </c>
      <c r="I802" t="s">
        <v>22</v>
      </c>
      <c r="J802" s="12" t="s">
        <v>18</v>
      </c>
      <c r="K802">
        <v>2</v>
      </c>
      <c r="L802">
        <v>0</v>
      </c>
      <c r="M802" t="s">
        <v>19</v>
      </c>
      <c r="N802" s="6">
        <v>129</v>
      </c>
      <c r="O802">
        <f>Table13[[#This Row],[Adults]]+Table13[[#This Row],[Children]]</f>
        <v>2</v>
      </c>
      <c r="P802">
        <f>_xlfn.DAYS(Table13[[#This Row],[Depart]],Table13[[#This Row],[Arrive]])</f>
        <v>1</v>
      </c>
    </row>
    <row r="803" spans="1:16" x14ac:dyDescent="0.25">
      <c r="A803" t="s">
        <v>1067</v>
      </c>
      <c r="B803" t="s">
        <v>1068</v>
      </c>
      <c r="C803" t="s">
        <v>2228</v>
      </c>
      <c r="D803" s="1">
        <v>44154</v>
      </c>
      <c r="E803" s="1">
        <v>44155</v>
      </c>
      <c r="F803" s="1">
        <v>44151</v>
      </c>
      <c r="G803" s="2">
        <v>0.58333333333333337</v>
      </c>
      <c r="H803" s="2">
        <v>0.45833333333333331</v>
      </c>
      <c r="I803" t="s">
        <v>22</v>
      </c>
      <c r="J803" s="12" t="s">
        <v>23</v>
      </c>
      <c r="K803">
        <v>2</v>
      </c>
      <c r="L803">
        <v>0</v>
      </c>
      <c r="M803" t="s">
        <v>19</v>
      </c>
      <c r="N803" s="6">
        <v>129</v>
      </c>
      <c r="O803">
        <f>Table13[[#This Row],[Adults]]+Table13[[#This Row],[Children]]</f>
        <v>2</v>
      </c>
      <c r="P803">
        <f>_xlfn.DAYS(Table13[[#This Row],[Depart]],Table13[[#This Row],[Arrive]])</f>
        <v>1</v>
      </c>
    </row>
    <row r="804" spans="1:16" x14ac:dyDescent="0.25">
      <c r="A804" t="s">
        <v>1005</v>
      </c>
      <c r="B804" t="s">
        <v>1006</v>
      </c>
      <c r="C804" t="s">
        <v>2223</v>
      </c>
      <c r="D804" s="1">
        <v>44154</v>
      </c>
      <c r="E804" s="1">
        <v>44155</v>
      </c>
      <c r="F804" s="1">
        <v>44154</v>
      </c>
      <c r="G804" s="2">
        <v>0.58333333333333337</v>
      </c>
      <c r="H804" s="2">
        <v>0.45833333333333331</v>
      </c>
      <c r="I804" t="s">
        <v>22</v>
      </c>
      <c r="J804" s="12" t="s">
        <v>23</v>
      </c>
      <c r="K804">
        <v>3</v>
      </c>
      <c r="L804">
        <v>0</v>
      </c>
      <c r="M804" t="s">
        <v>19</v>
      </c>
      <c r="N804" s="6">
        <v>129</v>
      </c>
      <c r="O804">
        <f>Table13[[#This Row],[Adults]]+Table13[[#This Row],[Children]]</f>
        <v>3</v>
      </c>
      <c r="P804">
        <f>_xlfn.DAYS(Table13[[#This Row],[Depart]],Table13[[#This Row],[Arrive]])</f>
        <v>1</v>
      </c>
    </row>
    <row r="805" spans="1:16" x14ac:dyDescent="0.25">
      <c r="A805" t="s">
        <v>316</v>
      </c>
      <c r="B805" t="s">
        <v>317</v>
      </c>
      <c r="C805" t="s">
        <v>2223</v>
      </c>
      <c r="D805" s="1">
        <v>44155</v>
      </c>
      <c r="E805" s="1">
        <v>44156</v>
      </c>
      <c r="F805" s="1">
        <v>44129</v>
      </c>
      <c r="G805" s="2">
        <v>0.58333333333333337</v>
      </c>
      <c r="H805" s="2">
        <v>0.45833333333333331</v>
      </c>
      <c r="I805" t="s">
        <v>22</v>
      </c>
      <c r="J805" s="12" t="s">
        <v>23</v>
      </c>
      <c r="K805">
        <v>4</v>
      </c>
      <c r="L805">
        <v>0</v>
      </c>
      <c r="M805" t="s">
        <v>19</v>
      </c>
      <c r="N805" s="6">
        <v>129</v>
      </c>
      <c r="O805">
        <f>Table13[[#This Row],[Adults]]+Table13[[#This Row],[Children]]</f>
        <v>4</v>
      </c>
      <c r="P805">
        <f>_xlfn.DAYS(Table13[[#This Row],[Depart]],Table13[[#This Row],[Arrive]])</f>
        <v>1</v>
      </c>
    </row>
    <row r="806" spans="1:16" x14ac:dyDescent="0.25">
      <c r="A806" t="s">
        <v>941</v>
      </c>
      <c r="B806" t="s">
        <v>942</v>
      </c>
      <c r="C806" t="s">
        <v>2227</v>
      </c>
      <c r="D806" s="1">
        <v>44155</v>
      </c>
      <c r="E806" s="1">
        <v>44156</v>
      </c>
      <c r="F806" s="1">
        <v>44128</v>
      </c>
      <c r="G806" s="2">
        <v>0.58333333333333337</v>
      </c>
      <c r="H806" s="2">
        <v>0.45833333333333331</v>
      </c>
      <c r="I806" t="s">
        <v>22</v>
      </c>
      <c r="J806" s="12" t="s">
        <v>18</v>
      </c>
      <c r="K806">
        <v>6</v>
      </c>
      <c r="L806">
        <v>0</v>
      </c>
      <c r="M806" t="s">
        <v>19</v>
      </c>
      <c r="N806" s="6">
        <v>213.93</v>
      </c>
      <c r="O806">
        <f>Table13[[#This Row],[Adults]]+Table13[[#This Row],[Children]]</f>
        <v>6</v>
      </c>
      <c r="P806">
        <f>_xlfn.DAYS(Table13[[#This Row],[Depart]],Table13[[#This Row],[Arrive]])</f>
        <v>1</v>
      </c>
    </row>
    <row r="807" spans="1:16" x14ac:dyDescent="0.25">
      <c r="A807" t="s">
        <v>577</v>
      </c>
      <c r="B807" t="s">
        <v>578</v>
      </c>
      <c r="C807" t="s">
        <v>2228</v>
      </c>
      <c r="D807" s="1">
        <v>44155</v>
      </c>
      <c r="E807" s="1">
        <v>44156</v>
      </c>
      <c r="F807" s="1">
        <v>44153</v>
      </c>
      <c r="G807" s="2">
        <v>0.58333333333333337</v>
      </c>
      <c r="H807" s="2">
        <v>0.45833333333333331</v>
      </c>
      <c r="I807" t="s">
        <v>22</v>
      </c>
      <c r="J807" s="12" t="s">
        <v>18</v>
      </c>
      <c r="K807">
        <v>5</v>
      </c>
      <c r="L807">
        <v>0</v>
      </c>
      <c r="M807" t="s">
        <v>19</v>
      </c>
      <c r="N807" s="6">
        <v>129</v>
      </c>
      <c r="O807">
        <f>Table13[[#This Row],[Adults]]+Table13[[#This Row],[Children]]</f>
        <v>5</v>
      </c>
      <c r="P807">
        <f>_xlfn.DAYS(Table13[[#This Row],[Depart]],Table13[[#This Row],[Arrive]])</f>
        <v>1</v>
      </c>
    </row>
    <row r="808" spans="1:16" x14ac:dyDescent="0.25">
      <c r="A808" t="s">
        <v>1021</v>
      </c>
      <c r="B808" t="s">
        <v>1022</v>
      </c>
      <c r="C808" t="s">
        <v>2227</v>
      </c>
      <c r="D808" s="1">
        <v>44155</v>
      </c>
      <c r="E808" s="1">
        <v>44157</v>
      </c>
      <c r="F808" s="1">
        <v>44150</v>
      </c>
      <c r="G808" s="2">
        <v>0.58333333333333337</v>
      </c>
      <c r="H808" s="2">
        <v>0.45833333333333331</v>
      </c>
      <c r="I808" t="s">
        <v>22</v>
      </c>
      <c r="J808" s="12" t="s">
        <v>23</v>
      </c>
      <c r="K808">
        <v>3</v>
      </c>
      <c r="L808">
        <v>0</v>
      </c>
      <c r="M808" t="s">
        <v>19</v>
      </c>
      <c r="N808" s="6">
        <v>427.85</v>
      </c>
      <c r="O808">
        <f>Table13[[#This Row],[Adults]]+Table13[[#This Row],[Children]]</f>
        <v>3</v>
      </c>
      <c r="P808">
        <f>_xlfn.DAYS(Table13[[#This Row],[Depart]],Table13[[#This Row],[Arrive]])</f>
        <v>2</v>
      </c>
    </row>
    <row r="809" spans="1:16" x14ac:dyDescent="0.25">
      <c r="A809" t="s">
        <v>869</v>
      </c>
      <c r="B809" t="s">
        <v>870</v>
      </c>
      <c r="C809" t="s">
        <v>2223</v>
      </c>
      <c r="D809" s="1">
        <v>44156</v>
      </c>
      <c r="E809" s="1">
        <v>44158</v>
      </c>
      <c r="F809" s="1">
        <v>44109</v>
      </c>
      <c r="G809" s="2">
        <v>0.58333333333333337</v>
      </c>
      <c r="H809" s="2">
        <v>0.45833333333333331</v>
      </c>
      <c r="I809" t="s">
        <v>26</v>
      </c>
      <c r="J809" s="12" t="s">
        <v>18</v>
      </c>
      <c r="K809">
        <v>2</v>
      </c>
      <c r="L809">
        <v>0</v>
      </c>
      <c r="M809" t="s">
        <v>19</v>
      </c>
      <c r="N809" s="6">
        <v>234</v>
      </c>
      <c r="O809">
        <f>Table13[[#This Row],[Adults]]+Table13[[#This Row],[Children]]</f>
        <v>2</v>
      </c>
      <c r="P809">
        <f>_xlfn.DAYS(Table13[[#This Row],[Depart]],Table13[[#This Row],[Arrive]])</f>
        <v>2</v>
      </c>
    </row>
    <row r="810" spans="1:16" x14ac:dyDescent="0.25">
      <c r="A810" t="s">
        <v>889</v>
      </c>
      <c r="B810" t="s">
        <v>890</v>
      </c>
      <c r="C810" t="s">
        <v>2223</v>
      </c>
      <c r="D810" s="1">
        <v>44156</v>
      </c>
      <c r="E810" s="1">
        <v>44157</v>
      </c>
      <c r="F810" s="1">
        <v>44117</v>
      </c>
      <c r="G810" s="2">
        <v>0.58333333333333337</v>
      </c>
      <c r="H810" s="2">
        <v>0.45833333333333331</v>
      </c>
      <c r="I810" t="s">
        <v>26</v>
      </c>
      <c r="J810" s="12" t="s">
        <v>18</v>
      </c>
      <c r="K810">
        <v>6</v>
      </c>
      <c r="L810">
        <v>0</v>
      </c>
      <c r="M810" t="s">
        <v>19</v>
      </c>
      <c r="N810" s="6">
        <v>117</v>
      </c>
      <c r="O810">
        <f>Table13[[#This Row],[Adults]]+Table13[[#This Row],[Children]]</f>
        <v>6</v>
      </c>
      <c r="P810">
        <f>_xlfn.DAYS(Table13[[#This Row],[Depart]],Table13[[#This Row],[Arrive]])</f>
        <v>1</v>
      </c>
    </row>
    <row r="811" spans="1:16" x14ac:dyDescent="0.25">
      <c r="A811" t="s">
        <v>905</v>
      </c>
      <c r="B811" t="s">
        <v>906</v>
      </c>
      <c r="C811" t="s">
        <v>2226</v>
      </c>
      <c r="D811" s="1">
        <v>44157</v>
      </c>
      <c r="E811" s="1">
        <v>44158</v>
      </c>
      <c r="F811" s="1">
        <v>44120</v>
      </c>
      <c r="G811" s="2">
        <v>0.5</v>
      </c>
      <c r="H811" s="2">
        <v>0.58333333333333337</v>
      </c>
      <c r="I811" t="s">
        <v>22</v>
      </c>
      <c r="J811" s="12" t="s">
        <v>18</v>
      </c>
      <c r="K811">
        <v>10</v>
      </c>
      <c r="L811">
        <v>0</v>
      </c>
      <c r="M811" t="s">
        <v>19</v>
      </c>
      <c r="N811" s="6">
        <v>85000</v>
      </c>
      <c r="O811">
        <f>Table13[[#This Row],[Adults]]+Table13[[#This Row],[Children]]</f>
        <v>10</v>
      </c>
      <c r="P811">
        <f>_xlfn.DAYS(Table13[[#This Row],[Depart]],Table13[[#This Row],[Arrive]])</f>
        <v>1</v>
      </c>
    </row>
    <row r="812" spans="1:16" x14ac:dyDescent="0.25">
      <c r="A812" t="s">
        <v>911</v>
      </c>
      <c r="B812" t="s">
        <v>912</v>
      </c>
      <c r="C812" t="s">
        <v>2226</v>
      </c>
      <c r="D812" s="1">
        <v>44157</v>
      </c>
      <c r="E812" s="1">
        <v>44160</v>
      </c>
      <c r="F812" s="1">
        <v>44121</v>
      </c>
      <c r="G812" s="2">
        <v>0.5</v>
      </c>
      <c r="H812" s="2">
        <v>0.58333333333333337</v>
      </c>
      <c r="I812" t="s">
        <v>22</v>
      </c>
      <c r="J812" s="12" t="s">
        <v>18</v>
      </c>
      <c r="K812">
        <v>1</v>
      </c>
      <c r="L812">
        <v>0</v>
      </c>
      <c r="M812" t="s">
        <v>19</v>
      </c>
      <c r="N812" s="6">
        <v>390000</v>
      </c>
      <c r="O812">
        <f>Table13[[#This Row],[Adults]]+Table13[[#This Row],[Children]]</f>
        <v>1</v>
      </c>
      <c r="P812">
        <f>_xlfn.DAYS(Table13[[#This Row],[Depart]],Table13[[#This Row],[Arrive]])</f>
        <v>3</v>
      </c>
    </row>
    <row r="813" spans="1:16" x14ac:dyDescent="0.25">
      <c r="A813" t="s">
        <v>1025</v>
      </c>
      <c r="B813" t="s">
        <v>1026</v>
      </c>
      <c r="C813" t="s">
        <v>2226</v>
      </c>
      <c r="D813" s="1">
        <v>44157</v>
      </c>
      <c r="E813" s="1">
        <v>44158</v>
      </c>
      <c r="F813" s="1">
        <v>44141</v>
      </c>
      <c r="G813" s="2">
        <v>0.5</v>
      </c>
      <c r="H813" s="2">
        <v>0.58333333333333337</v>
      </c>
      <c r="I813" t="s">
        <v>22</v>
      </c>
      <c r="J813" s="12" t="s">
        <v>18</v>
      </c>
      <c r="K813">
        <v>1</v>
      </c>
      <c r="L813">
        <v>0</v>
      </c>
      <c r="M813" t="s">
        <v>19</v>
      </c>
      <c r="N813" s="6">
        <v>130000</v>
      </c>
      <c r="O813">
        <f>Table13[[#This Row],[Adults]]+Table13[[#This Row],[Children]]</f>
        <v>1</v>
      </c>
      <c r="P813">
        <f>_xlfn.DAYS(Table13[[#This Row],[Depart]],Table13[[#This Row],[Arrive]])</f>
        <v>1</v>
      </c>
    </row>
    <row r="814" spans="1:16" x14ac:dyDescent="0.25">
      <c r="A814" t="s">
        <v>472</v>
      </c>
      <c r="B814" t="s">
        <v>473</v>
      </c>
      <c r="C814" t="s">
        <v>2227</v>
      </c>
      <c r="D814" s="1">
        <v>44157</v>
      </c>
      <c r="E814" s="1">
        <v>44158</v>
      </c>
      <c r="F814" s="1">
        <v>44128</v>
      </c>
      <c r="G814" s="2">
        <v>0.58333333333333337</v>
      </c>
      <c r="H814" s="2">
        <v>0.45833333333333331</v>
      </c>
      <c r="I814" t="s">
        <v>22</v>
      </c>
      <c r="J814" s="12" t="s">
        <v>18</v>
      </c>
      <c r="K814">
        <v>4</v>
      </c>
      <c r="L814">
        <v>0</v>
      </c>
      <c r="M814" t="s">
        <v>19</v>
      </c>
      <c r="N814" s="6">
        <v>213.93</v>
      </c>
      <c r="O814">
        <f>Table13[[#This Row],[Adults]]+Table13[[#This Row],[Children]]</f>
        <v>4</v>
      </c>
      <c r="P814">
        <f>_xlfn.DAYS(Table13[[#This Row],[Depart]],Table13[[#This Row],[Arrive]])</f>
        <v>1</v>
      </c>
    </row>
    <row r="815" spans="1:16" x14ac:dyDescent="0.25">
      <c r="A815" t="s">
        <v>472</v>
      </c>
      <c r="B815" t="s">
        <v>473</v>
      </c>
      <c r="C815" t="s">
        <v>2223</v>
      </c>
      <c r="D815" s="1">
        <v>44157</v>
      </c>
      <c r="E815" s="1">
        <v>44158</v>
      </c>
      <c r="F815" s="1">
        <v>44150</v>
      </c>
      <c r="G815" s="2">
        <v>0.58333333333333337</v>
      </c>
      <c r="H815" s="2">
        <v>0.45833333333333331</v>
      </c>
      <c r="I815" t="s">
        <v>22</v>
      </c>
      <c r="J815" s="12" t="s">
        <v>18</v>
      </c>
      <c r="K815">
        <v>3</v>
      </c>
      <c r="L815">
        <v>0</v>
      </c>
      <c r="M815" t="s">
        <v>19</v>
      </c>
      <c r="N815" s="6">
        <v>129</v>
      </c>
      <c r="O815">
        <f>Table13[[#This Row],[Adults]]+Table13[[#This Row],[Children]]</f>
        <v>3</v>
      </c>
      <c r="P815">
        <f>_xlfn.DAYS(Table13[[#This Row],[Depart]],Table13[[#This Row],[Arrive]])</f>
        <v>1</v>
      </c>
    </row>
    <row r="816" spans="1:16" x14ac:dyDescent="0.25">
      <c r="A816" t="s">
        <v>1063</v>
      </c>
      <c r="B816" t="s">
        <v>1064</v>
      </c>
      <c r="C816" t="s">
        <v>2223</v>
      </c>
      <c r="D816" s="1">
        <v>44157</v>
      </c>
      <c r="E816" s="1">
        <v>44159</v>
      </c>
      <c r="F816" s="1">
        <v>44151</v>
      </c>
      <c r="G816" s="2">
        <v>0.58333333333333337</v>
      </c>
      <c r="H816" s="2">
        <v>0.45833333333333331</v>
      </c>
      <c r="I816" t="s">
        <v>22</v>
      </c>
      <c r="J816" s="12" t="s">
        <v>23</v>
      </c>
      <c r="K816">
        <v>5</v>
      </c>
      <c r="L816">
        <v>0</v>
      </c>
      <c r="M816" t="s">
        <v>19</v>
      </c>
      <c r="N816" s="6">
        <v>258</v>
      </c>
      <c r="O816">
        <f>Table13[[#This Row],[Adults]]+Table13[[#This Row],[Children]]</f>
        <v>5</v>
      </c>
      <c r="P816">
        <f>_xlfn.DAYS(Table13[[#This Row],[Depart]],Table13[[#This Row],[Arrive]])</f>
        <v>2</v>
      </c>
    </row>
    <row r="817" spans="1:16" x14ac:dyDescent="0.25">
      <c r="A817" t="s">
        <v>1095</v>
      </c>
      <c r="B817" t="s">
        <v>1096</v>
      </c>
      <c r="C817" t="s">
        <v>2227</v>
      </c>
      <c r="D817" s="1">
        <v>44157</v>
      </c>
      <c r="E817" s="1">
        <v>44160</v>
      </c>
      <c r="F817" s="1">
        <v>44158</v>
      </c>
      <c r="G817" s="2">
        <v>0.58333333333333337</v>
      </c>
      <c r="H817" s="2">
        <v>0.45833333333333331</v>
      </c>
      <c r="I817" t="s">
        <v>22</v>
      </c>
      <c r="J817" s="12" t="s">
        <v>23</v>
      </c>
      <c r="K817">
        <v>4</v>
      </c>
      <c r="L817">
        <v>0</v>
      </c>
      <c r="M817" t="s">
        <v>19</v>
      </c>
      <c r="N817" s="6">
        <v>641.78</v>
      </c>
      <c r="O817">
        <f>Table13[[#This Row],[Adults]]+Table13[[#This Row],[Children]]</f>
        <v>4</v>
      </c>
      <c r="P817">
        <f>_xlfn.DAYS(Table13[[#This Row],[Depart]],Table13[[#This Row],[Arrive]])</f>
        <v>3</v>
      </c>
    </row>
    <row r="818" spans="1:16" x14ac:dyDescent="0.25">
      <c r="A818" t="s">
        <v>1063</v>
      </c>
      <c r="B818" t="s">
        <v>1064</v>
      </c>
      <c r="C818" t="s">
        <v>2226</v>
      </c>
      <c r="D818" s="1">
        <v>44158</v>
      </c>
      <c r="E818" s="1">
        <v>44160</v>
      </c>
      <c r="F818" s="1">
        <v>44151</v>
      </c>
      <c r="G818" s="2">
        <v>0.5</v>
      </c>
      <c r="H818" s="2">
        <v>0.58333333333333337</v>
      </c>
      <c r="I818" t="s">
        <v>22</v>
      </c>
      <c r="J818" s="12" t="s">
        <v>18</v>
      </c>
      <c r="K818">
        <v>3</v>
      </c>
      <c r="L818">
        <v>0</v>
      </c>
      <c r="M818" t="s">
        <v>19</v>
      </c>
      <c r="N818" s="6">
        <v>170000</v>
      </c>
      <c r="O818">
        <f>Table13[[#This Row],[Adults]]+Table13[[#This Row],[Children]]</f>
        <v>3</v>
      </c>
      <c r="P818">
        <f>_xlfn.DAYS(Table13[[#This Row],[Depart]],Table13[[#This Row],[Arrive]])</f>
        <v>2</v>
      </c>
    </row>
    <row r="819" spans="1:16" x14ac:dyDescent="0.25">
      <c r="A819" t="s">
        <v>1063</v>
      </c>
      <c r="B819" t="s">
        <v>1064</v>
      </c>
      <c r="C819" t="s">
        <v>2226</v>
      </c>
      <c r="D819" s="1">
        <v>44158</v>
      </c>
      <c r="E819" s="1">
        <v>44160</v>
      </c>
      <c r="F819" s="1">
        <v>44151</v>
      </c>
      <c r="G819" s="2">
        <v>0.5</v>
      </c>
      <c r="H819" s="2">
        <v>0.58333333333333337</v>
      </c>
      <c r="I819" t="s">
        <v>22</v>
      </c>
      <c r="J819" s="12" t="s">
        <v>18</v>
      </c>
      <c r="K819">
        <v>3</v>
      </c>
      <c r="L819">
        <v>0</v>
      </c>
      <c r="M819" t="s">
        <v>19</v>
      </c>
      <c r="N819" s="6">
        <v>170000</v>
      </c>
      <c r="O819">
        <f>Table13[[#This Row],[Adults]]+Table13[[#This Row],[Children]]</f>
        <v>3</v>
      </c>
      <c r="P819">
        <f>_xlfn.DAYS(Table13[[#This Row],[Depart]],Table13[[#This Row],[Arrive]])</f>
        <v>2</v>
      </c>
    </row>
    <row r="820" spans="1:16" x14ac:dyDescent="0.25">
      <c r="A820" t="s">
        <v>1061</v>
      </c>
      <c r="B820" t="s">
        <v>1062</v>
      </c>
      <c r="C820" t="s">
        <v>2226</v>
      </c>
      <c r="D820" s="1">
        <v>44159</v>
      </c>
      <c r="E820" s="1">
        <v>44162</v>
      </c>
      <c r="F820" s="1">
        <v>44149</v>
      </c>
      <c r="G820" s="2">
        <v>0.5</v>
      </c>
      <c r="H820" s="2">
        <v>0.58333333333333337</v>
      </c>
      <c r="I820" t="s">
        <v>22</v>
      </c>
      <c r="J820" s="12" t="s">
        <v>18</v>
      </c>
      <c r="K820">
        <v>2</v>
      </c>
      <c r="L820">
        <v>0</v>
      </c>
      <c r="M820" t="s">
        <v>19</v>
      </c>
      <c r="N820" s="6">
        <v>255000</v>
      </c>
      <c r="O820">
        <f>Table13[[#This Row],[Adults]]+Table13[[#This Row],[Children]]</f>
        <v>2</v>
      </c>
      <c r="P820">
        <f>_xlfn.DAYS(Table13[[#This Row],[Depart]],Table13[[#This Row],[Arrive]])</f>
        <v>3</v>
      </c>
    </row>
    <row r="821" spans="1:16" x14ac:dyDescent="0.25">
      <c r="A821" t="s">
        <v>583</v>
      </c>
      <c r="B821" t="s">
        <v>584</v>
      </c>
      <c r="C821" t="s">
        <v>2223</v>
      </c>
      <c r="D821" s="1">
        <v>44159</v>
      </c>
      <c r="E821" s="1">
        <v>44161</v>
      </c>
      <c r="F821" s="1">
        <v>44157</v>
      </c>
      <c r="G821" s="2">
        <v>0.58333333333333337</v>
      </c>
      <c r="H821" s="2">
        <v>0.45833333333333331</v>
      </c>
      <c r="I821" t="s">
        <v>22</v>
      </c>
      <c r="J821" s="12" t="s">
        <v>18</v>
      </c>
      <c r="K821">
        <v>5</v>
      </c>
      <c r="L821">
        <v>0</v>
      </c>
      <c r="M821" t="s">
        <v>19</v>
      </c>
      <c r="N821" s="6">
        <v>258</v>
      </c>
      <c r="O821">
        <f>Table13[[#This Row],[Adults]]+Table13[[#This Row],[Children]]</f>
        <v>5</v>
      </c>
      <c r="P821">
        <f>_xlfn.DAYS(Table13[[#This Row],[Depart]],Table13[[#This Row],[Arrive]])</f>
        <v>2</v>
      </c>
    </row>
    <row r="822" spans="1:16" x14ac:dyDescent="0.25">
      <c r="A822" t="s">
        <v>871</v>
      </c>
      <c r="B822" t="s">
        <v>872</v>
      </c>
      <c r="C822" t="s">
        <v>2226</v>
      </c>
      <c r="D822" s="1">
        <v>44159</v>
      </c>
      <c r="E822" s="1">
        <v>44160</v>
      </c>
      <c r="F822" s="1">
        <v>44158</v>
      </c>
      <c r="G822" s="2">
        <v>0.5</v>
      </c>
      <c r="H822" s="2">
        <v>0.58333333333333337</v>
      </c>
      <c r="I822" t="s">
        <v>22</v>
      </c>
      <c r="J822" s="12" t="s">
        <v>18</v>
      </c>
      <c r="K822">
        <v>1</v>
      </c>
      <c r="L822">
        <v>0</v>
      </c>
      <c r="M822" t="s">
        <v>19</v>
      </c>
      <c r="N822" s="6">
        <v>85000</v>
      </c>
      <c r="O822">
        <f>Table13[[#This Row],[Adults]]+Table13[[#This Row],[Children]]</f>
        <v>1</v>
      </c>
      <c r="P822">
        <f>_xlfn.DAYS(Table13[[#This Row],[Depart]],Table13[[#This Row],[Arrive]])</f>
        <v>1</v>
      </c>
    </row>
    <row r="823" spans="1:16" x14ac:dyDescent="0.25">
      <c r="A823" t="s">
        <v>1101</v>
      </c>
      <c r="B823" t="s">
        <v>1102</v>
      </c>
      <c r="C823" t="s">
        <v>2223</v>
      </c>
      <c r="D823" s="1">
        <v>44159</v>
      </c>
      <c r="E823" s="1">
        <v>44161</v>
      </c>
      <c r="F823" s="1">
        <v>44159</v>
      </c>
      <c r="G823" s="2">
        <v>0.58333333333333337</v>
      </c>
      <c r="H823" s="2">
        <v>0.45833333333333331</v>
      </c>
      <c r="I823" t="s">
        <v>22</v>
      </c>
      <c r="J823" s="12" t="s">
        <v>23</v>
      </c>
      <c r="K823">
        <v>6</v>
      </c>
      <c r="L823">
        <v>0</v>
      </c>
      <c r="M823" t="s">
        <v>19</v>
      </c>
      <c r="N823" s="6">
        <v>258</v>
      </c>
      <c r="O823">
        <f>Table13[[#This Row],[Adults]]+Table13[[#This Row],[Children]]</f>
        <v>6</v>
      </c>
      <c r="P823">
        <f>_xlfn.DAYS(Table13[[#This Row],[Depart]],Table13[[#This Row],[Arrive]])</f>
        <v>2</v>
      </c>
    </row>
    <row r="824" spans="1:16" x14ac:dyDescent="0.25">
      <c r="A824" t="s">
        <v>416</v>
      </c>
      <c r="B824" t="s">
        <v>417</v>
      </c>
      <c r="C824" t="s">
        <v>2226</v>
      </c>
      <c r="D824" s="1">
        <v>44160</v>
      </c>
      <c r="E824" s="1">
        <v>44161</v>
      </c>
      <c r="F824" s="1">
        <v>44144</v>
      </c>
      <c r="G824" s="2">
        <v>0.5</v>
      </c>
      <c r="H824" s="2">
        <v>0.58333333333333337</v>
      </c>
      <c r="I824" t="s">
        <v>22</v>
      </c>
      <c r="J824" s="12" t="s">
        <v>18</v>
      </c>
      <c r="K824">
        <v>1</v>
      </c>
      <c r="L824">
        <v>0</v>
      </c>
      <c r="M824" t="s">
        <v>19</v>
      </c>
      <c r="N824" s="6">
        <v>130000</v>
      </c>
      <c r="O824">
        <f>Table13[[#This Row],[Adults]]+Table13[[#This Row],[Children]]</f>
        <v>1</v>
      </c>
      <c r="P824">
        <f>_xlfn.DAYS(Table13[[#This Row],[Depart]],Table13[[#This Row],[Arrive]])</f>
        <v>1</v>
      </c>
    </row>
    <row r="825" spans="1:16" x14ac:dyDescent="0.25">
      <c r="A825" t="s">
        <v>1073</v>
      </c>
      <c r="B825" t="s">
        <v>1074</v>
      </c>
      <c r="C825" t="s">
        <v>2226</v>
      </c>
      <c r="D825" s="1">
        <v>44160</v>
      </c>
      <c r="E825" s="1">
        <v>44162</v>
      </c>
      <c r="F825" s="1">
        <v>44152</v>
      </c>
      <c r="G825" s="2">
        <v>0.5</v>
      </c>
      <c r="H825" s="2">
        <v>0.58333333333333337</v>
      </c>
      <c r="I825" t="s">
        <v>22</v>
      </c>
      <c r="J825" s="12" t="s">
        <v>18</v>
      </c>
      <c r="K825">
        <v>3</v>
      </c>
      <c r="L825">
        <v>0</v>
      </c>
      <c r="M825" t="s">
        <v>19</v>
      </c>
      <c r="N825" s="6">
        <v>170000</v>
      </c>
      <c r="O825">
        <f>Table13[[#This Row],[Adults]]+Table13[[#This Row],[Children]]</f>
        <v>3</v>
      </c>
      <c r="P825">
        <f>_xlfn.DAYS(Table13[[#This Row],[Depart]],Table13[[#This Row],[Arrive]])</f>
        <v>2</v>
      </c>
    </row>
    <row r="826" spans="1:16" x14ac:dyDescent="0.25">
      <c r="A826" t="s">
        <v>1073</v>
      </c>
      <c r="B826" t="s">
        <v>1074</v>
      </c>
      <c r="C826" t="s">
        <v>2226</v>
      </c>
      <c r="D826" s="1">
        <v>44160</v>
      </c>
      <c r="E826" s="1">
        <v>44162</v>
      </c>
      <c r="F826" s="1">
        <v>44155</v>
      </c>
      <c r="G826" s="2">
        <v>0.5</v>
      </c>
      <c r="H826" s="2">
        <v>0.58333333333333337</v>
      </c>
      <c r="I826" t="s">
        <v>22</v>
      </c>
      <c r="J826" s="12" t="s">
        <v>18</v>
      </c>
      <c r="K826">
        <v>3</v>
      </c>
      <c r="L826">
        <v>0</v>
      </c>
      <c r="M826" t="s">
        <v>19</v>
      </c>
      <c r="N826" s="6">
        <v>170000</v>
      </c>
      <c r="O826">
        <f>Table13[[#This Row],[Adults]]+Table13[[#This Row],[Children]]</f>
        <v>3</v>
      </c>
      <c r="P826">
        <f>_xlfn.DAYS(Table13[[#This Row],[Depart]],Table13[[#This Row],[Arrive]])</f>
        <v>2</v>
      </c>
    </row>
    <row r="827" spans="1:16" x14ac:dyDescent="0.25">
      <c r="A827" t="s">
        <v>1091</v>
      </c>
      <c r="B827" t="s">
        <v>1092</v>
      </c>
      <c r="C827" t="s">
        <v>2223</v>
      </c>
      <c r="D827" s="1">
        <v>44160</v>
      </c>
      <c r="E827" s="1">
        <v>44161</v>
      </c>
      <c r="F827" s="1">
        <v>44157</v>
      </c>
      <c r="G827" s="2">
        <v>0.58333333333333337</v>
      </c>
      <c r="H827" s="2">
        <v>0.45833333333333331</v>
      </c>
      <c r="I827" t="s">
        <v>26</v>
      </c>
      <c r="J827" s="12" t="s">
        <v>18</v>
      </c>
      <c r="K827">
        <v>2</v>
      </c>
      <c r="L827">
        <v>0</v>
      </c>
      <c r="M827" t="s">
        <v>19</v>
      </c>
      <c r="N827" s="6">
        <v>119</v>
      </c>
      <c r="O827">
        <f>Table13[[#This Row],[Adults]]+Table13[[#This Row],[Children]]</f>
        <v>2</v>
      </c>
      <c r="P827">
        <f>_xlfn.DAYS(Table13[[#This Row],[Depart]],Table13[[#This Row],[Arrive]])</f>
        <v>1</v>
      </c>
    </row>
    <row r="828" spans="1:16" x14ac:dyDescent="0.25">
      <c r="A828" t="s">
        <v>1097</v>
      </c>
      <c r="B828" t="s">
        <v>1098</v>
      </c>
      <c r="C828" t="s">
        <v>2227</v>
      </c>
      <c r="D828" s="1">
        <v>44160</v>
      </c>
      <c r="E828" s="1">
        <v>44162</v>
      </c>
      <c r="F828" s="1">
        <v>44158</v>
      </c>
      <c r="G828" s="2">
        <v>0.58333333333333337</v>
      </c>
      <c r="H828" s="2">
        <v>0.45833333333333331</v>
      </c>
      <c r="I828" t="s">
        <v>22</v>
      </c>
      <c r="J828" s="12" t="s">
        <v>23</v>
      </c>
      <c r="K828">
        <v>5</v>
      </c>
      <c r="L828">
        <v>0</v>
      </c>
      <c r="M828" t="s">
        <v>19</v>
      </c>
      <c r="N828" s="6">
        <v>427.85</v>
      </c>
      <c r="O828">
        <f>Table13[[#This Row],[Adults]]+Table13[[#This Row],[Children]]</f>
        <v>5</v>
      </c>
      <c r="P828">
        <f>_xlfn.DAYS(Table13[[#This Row],[Depart]],Table13[[#This Row],[Arrive]])</f>
        <v>2</v>
      </c>
    </row>
    <row r="829" spans="1:16" x14ac:dyDescent="0.25">
      <c r="A829" t="s">
        <v>416</v>
      </c>
      <c r="B829" t="s">
        <v>417</v>
      </c>
      <c r="C829" t="s">
        <v>2227</v>
      </c>
      <c r="D829" s="1">
        <v>44161</v>
      </c>
      <c r="E829" s="1">
        <v>44165</v>
      </c>
      <c r="F829" s="1">
        <v>44088</v>
      </c>
      <c r="G829" s="2">
        <v>0.58333333333333337</v>
      </c>
      <c r="H829" s="2">
        <v>0.45833333333333331</v>
      </c>
      <c r="I829" t="s">
        <v>22</v>
      </c>
      <c r="J829" s="12" t="s">
        <v>18</v>
      </c>
      <c r="K829">
        <v>2</v>
      </c>
      <c r="L829">
        <v>0</v>
      </c>
      <c r="M829" t="s">
        <v>19</v>
      </c>
      <c r="N829" s="6">
        <v>752.5</v>
      </c>
      <c r="O829">
        <f>Table13[[#This Row],[Adults]]+Table13[[#This Row],[Children]]</f>
        <v>2</v>
      </c>
      <c r="P829">
        <f>_xlfn.DAYS(Table13[[#This Row],[Depart]],Table13[[#This Row],[Arrive]])</f>
        <v>4</v>
      </c>
    </row>
    <row r="830" spans="1:16" x14ac:dyDescent="0.25">
      <c r="A830" t="s">
        <v>322</v>
      </c>
      <c r="B830" t="s">
        <v>323</v>
      </c>
      <c r="C830" t="s">
        <v>2223</v>
      </c>
      <c r="D830" s="1">
        <v>44161</v>
      </c>
      <c r="E830" s="1">
        <v>44163</v>
      </c>
      <c r="F830" s="1">
        <v>44144</v>
      </c>
      <c r="G830" s="2">
        <v>0.58333333333333337</v>
      </c>
      <c r="H830" s="2">
        <v>0.45833333333333331</v>
      </c>
      <c r="I830" t="s">
        <v>26</v>
      </c>
      <c r="J830" s="12" t="s">
        <v>18</v>
      </c>
      <c r="K830">
        <v>1</v>
      </c>
      <c r="L830">
        <v>0</v>
      </c>
      <c r="M830" t="s">
        <v>19</v>
      </c>
      <c r="N830" s="6">
        <v>241</v>
      </c>
      <c r="O830">
        <f>Table13[[#This Row],[Adults]]+Table13[[#This Row],[Children]]</f>
        <v>1</v>
      </c>
      <c r="P830">
        <f>_xlfn.DAYS(Table13[[#This Row],[Depart]],Table13[[#This Row],[Arrive]])</f>
        <v>2</v>
      </c>
    </row>
    <row r="831" spans="1:16" x14ac:dyDescent="0.25">
      <c r="A831" t="s">
        <v>1079</v>
      </c>
      <c r="B831" t="s">
        <v>1080</v>
      </c>
      <c r="C831" t="s">
        <v>2223</v>
      </c>
      <c r="D831" s="1">
        <v>44161</v>
      </c>
      <c r="E831" s="1">
        <v>44163</v>
      </c>
      <c r="F831" s="1">
        <v>44152</v>
      </c>
      <c r="G831" s="2">
        <v>0.58333333333333337</v>
      </c>
      <c r="H831" s="2">
        <v>0.45833333333333331</v>
      </c>
      <c r="I831" t="s">
        <v>22</v>
      </c>
      <c r="J831" s="12" t="s">
        <v>23</v>
      </c>
      <c r="K831">
        <v>6</v>
      </c>
      <c r="L831">
        <v>0</v>
      </c>
      <c r="M831" t="s">
        <v>19</v>
      </c>
      <c r="N831" s="6">
        <v>258</v>
      </c>
      <c r="O831">
        <f>Table13[[#This Row],[Adults]]+Table13[[#This Row],[Children]]</f>
        <v>6</v>
      </c>
      <c r="P831">
        <f>_xlfn.DAYS(Table13[[#This Row],[Depart]],Table13[[#This Row],[Arrive]])</f>
        <v>2</v>
      </c>
    </row>
    <row r="832" spans="1:16" x14ac:dyDescent="0.25">
      <c r="A832" t="s">
        <v>1037</v>
      </c>
      <c r="B832" t="s">
        <v>1038</v>
      </c>
      <c r="C832" t="s">
        <v>2223</v>
      </c>
      <c r="D832" s="1">
        <v>44162</v>
      </c>
      <c r="E832" s="1">
        <v>44163</v>
      </c>
      <c r="F832" s="1">
        <v>44144</v>
      </c>
      <c r="G832" s="2">
        <v>0.58333333333333337</v>
      </c>
      <c r="H832" s="2">
        <v>0.45833333333333331</v>
      </c>
      <c r="I832" t="s">
        <v>26</v>
      </c>
      <c r="J832" s="12" t="s">
        <v>18</v>
      </c>
      <c r="K832">
        <v>6</v>
      </c>
      <c r="L832">
        <v>0</v>
      </c>
      <c r="M832" t="s">
        <v>19</v>
      </c>
      <c r="N832" s="6">
        <v>120</v>
      </c>
      <c r="O832">
        <f>Table13[[#This Row],[Adults]]+Table13[[#This Row],[Children]]</f>
        <v>6</v>
      </c>
      <c r="P832">
        <f>_xlfn.DAYS(Table13[[#This Row],[Depart]],Table13[[#This Row],[Arrive]])</f>
        <v>1</v>
      </c>
    </row>
    <row r="833" spans="1:16" x14ac:dyDescent="0.25">
      <c r="A833" t="s">
        <v>1021</v>
      </c>
      <c r="B833" t="s">
        <v>1022</v>
      </c>
      <c r="C833" t="s">
        <v>2227</v>
      </c>
      <c r="D833" s="1">
        <v>44162</v>
      </c>
      <c r="E833" s="1">
        <v>44163</v>
      </c>
      <c r="F833" s="1">
        <v>44138</v>
      </c>
      <c r="G833" s="2">
        <v>0.58333333333333337</v>
      </c>
      <c r="H833" s="2">
        <v>0.45833333333333331</v>
      </c>
      <c r="I833" t="s">
        <v>22</v>
      </c>
      <c r="J833" s="12" t="s">
        <v>23</v>
      </c>
      <c r="K833">
        <v>4</v>
      </c>
      <c r="L833">
        <v>0</v>
      </c>
      <c r="M833" t="s">
        <v>19</v>
      </c>
      <c r="N833" s="6">
        <v>213.93</v>
      </c>
      <c r="O833">
        <f>Table13[[#This Row],[Adults]]+Table13[[#This Row],[Children]]</f>
        <v>4</v>
      </c>
      <c r="P833">
        <f>_xlfn.DAYS(Table13[[#This Row],[Depart]],Table13[[#This Row],[Arrive]])</f>
        <v>1</v>
      </c>
    </row>
    <row r="834" spans="1:16" x14ac:dyDescent="0.25">
      <c r="A834" t="s">
        <v>246</v>
      </c>
      <c r="B834" t="s">
        <v>247</v>
      </c>
      <c r="C834" t="s">
        <v>2226</v>
      </c>
      <c r="D834" s="1">
        <v>44163</v>
      </c>
      <c r="E834" s="1">
        <v>44165</v>
      </c>
      <c r="F834" s="1">
        <v>43980</v>
      </c>
      <c r="G834" s="2">
        <v>0.33333333333333331</v>
      </c>
      <c r="H834" s="3">
        <v>1</v>
      </c>
      <c r="I834" t="s">
        <v>26</v>
      </c>
      <c r="J834" s="12" t="s">
        <v>18</v>
      </c>
      <c r="K834">
        <v>5</v>
      </c>
      <c r="L834">
        <v>0</v>
      </c>
      <c r="M834" t="s">
        <v>19</v>
      </c>
      <c r="N834" s="6">
        <v>213</v>
      </c>
      <c r="O834">
        <f>Table13[[#This Row],[Adults]]+Table13[[#This Row],[Children]]</f>
        <v>5</v>
      </c>
      <c r="P834">
        <f>_xlfn.DAYS(Table13[[#This Row],[Depart]],Table13[[#This Row],[Arrive]])</f>
        <v>2</v>
      </c>
    </row>
    <row r="835" spans="1:16" x14ac:dyDescent="0.25">
      <c r="A835" t="s">
        <v>1003</v>
      </c>
      <c r="B835" t="s">
        <v>1004</v>
      </c>
      <c r="C835" t="s">
        <v>2226</v>
      </c>
      <c r="D835" s="1">
        <v>44163</v>
      </c>
      <c r="E835" s="1">
        <v>44164</v>
      </c>
      <c r="F835" s="1">
        <v>44139</v>
      </c>
      <c r="G835" s="2">
        <v>0.5</v>
      </c>
      <c r="H835" s="2">
        <v>0.58333333333333337</v>
      </c>
      <c r="I835" t="s">
        <v>22</v>
      </c>
      <c r="J835" s="12" t="s">
        <v>18</v>
      </c>
      <c r="K835">
        <v>8</v>
      </c>
      <c r="L835">
        <v>0</v>
      </c>
      <c r="M835" t="s">
        <v>19</v>
      </c>
      <c r="N835" s="6">
        <v>130000</v>
      </c>
      <c r="O835">
        <f>Table13[[#This Row],[Adults]]+Table13[[#This Row],[Children]]</f>
        <v>8</v>
      </c>
      <c r="P835">
        <f>_xlfn.DAYS(Table13[[#This Row],[Depart]],Table13[[#This Row],[Arrive]])</f>
        <v>1</v>
      </c>
    </row>
    <row r="836" spans="1:16" x14ac:dyDescent="0.25">
      <c r="A836" t="s">
        <v>1027</v>
      </c>
      <c r="B836" t="s">
        <v>1028</v>
      </c>
      <c r="C836" t="s">
        <v>2226</v>
      </c>
      <c r="D836" s="1">
        <v>44163</v>
      </c>
      <c r="E836" s="1">
        <v>44165</v>
      </c>
      <c r="F836" s="1">
        <v>44142</v>
      </c>
      <c r="G836" s="2">
        <v>0.5</v>
      </c>
      <c r="H836" s="2">
        <v>0.58333333333333337</v>
      </c>
      <c r="I836" t="s">
        <v>22</v>
      </c>
      <c r="J836" s="12" t="s">
        <v>18</v>
      </c>
      <c r="K836">
        <v>8</v>
      </c>
      <c r="L836">
        <v>0</v>
      </c>
      <c r="M836" t="s">
        <v>19</v>
      </c>
      <c r="N836" s="6">
        <v>260000</v>
      </c>
      <c r="O836">
        <f>Table13[[#This Row],[Adults]]+Table13[[#This Row],[Children]]</f>
        <v>8</v>
      </c>
      <c r="P836">
        <f>_xlfn.DAYS(Table13[[#This Row],[Depart]],Table13[[#This Row],[Arrive]])</f>
        <v>2</v>
      </c>
    </row>
    <row r="837" spans="1:16" x14ac:dyDescent="0.25">
      <c r="A837" t="s">
        <v>1027</v>
      </c>
      <c r="B837" t="s">
        <v>1028</v>
      </c>
      <c r="C837" t="s">
        <v>2226</v>
      </c>
      <c r="D837" s="1">
        <v>44163</v>
      </c>
      <c r="E837" s="1">
        <v>44165</v>
      </c>
      <c r="F837" s="1">
        <v>44142</v>
      </c>
      <c r="G837" s="2">
        <v>0.5</v>
      </c>
      <c r="H837" s="2">
        <v>0.58333333333333337</v>
      </c>
      <c r="I837" t="s">
        <v>22</v>
      </c>
      <c r="J837" s="12" t="s">
        <v>18</v>
      </c>
      <c r="K837">
        <v>8</v>
      </c>
      <c r="L837">
        <v>0</v>
      </c>
      <c r="M837" t="s">
        <v>19</v>
      </c>
      <c r="N837" s="6">
        <v>260000</v>
      </c>
      <c r="O837">
        <f>Table13[[#This Row],[Adults]]+Table13[[#This Row],[Children]]</f>
        <v>8</v>
      </c>
      <c r="P837">
        <f>_xlfn.DAYS(Table13[[#This Row],[Depart]],Table13[[#This Row],[Arrive]])</f>
        <v>2</v>
      </c>
    </row>
    <row r="838" spans="1:16" x14ac:dyDescent="0.25">
      <c r="A838" t="s">
        <v>1027</v>
      </c>
      <c r="B838" t="s">
        <v>1028</v>
      </c>
      <c r="C838" t="s">
        <v>2227</v>
      </c>
      <c r="D838" s="1">
        <v>44163</v>
      </c>
      <c r="E838" s="1">
        <v>44165</v>
      </c>
      <c r="F838" s="1">
        <v>44142</v>
      </c>
      <c r="G838" s="2">
        <v>0.58333333333333337</v>
      </c>
      <c r="H838" s="2">
        <v>0.45833333333333331</v>
      </c>
      <c r="I838" t="s">
        <v>22</v>
      </c>
      <c r="J838" s="12" t="s">
        <v>23</v>
      </c>
      <c r="K838">
        <v>8</v>
      </c>
      <c r="L838">
        <v>0</v>
      </c>
      <c r="M838" t="s">
        <v>19</v>
      </c>
      <c r="N838" s="6">
        <v>470.85</v>
      </c>
      <c r="O838">
        <f>Table13[[#This Row],[Adults]]+Table13[[#This Row],[Children]]</f>
        <v>8</v>
      </c>
      <c r="P838">
        <f>_xlfn.DAYS(Table13[[#This Row],[Depart]],Table13[[#This Row],[Arrive]])</f>
        <v>2</v>
      </c>
    </row>
    <row r="839" spans="1:16" x14ac:dyDescent="0.25">
      <c r="A839" t="s">
        <v>991</v>
      </c>
      <c r="B839" t="s">
        <v>992</v>
      </c>
      <c r="C839" t="s">
        <v>2223</v>
      </c>
      <c r="D839" s="1">
        <v>44164</v>
      </c>
      <c r="E839" s="1">
        <v>44165</v>
      </c>
      <c r="F839" s="1">
        <v>44138</v>
      </c>
      <c r="G839" s="2">
        <v>0.58333333333333337</v>
      </c>
      <c r="H839" s="2">
        <v>0.45833333333333331</v>
      </c>
      <c r="I839" t="s">
        <v>26</v>
      </c>
      <c r="J839" s="12" t="s">
        <v>18</v>
      </c>
      <c r="K839">
        <v>1</v>
      </c>
      <c r="L839">
        <v>0</v>
      </c>
      <c r="M839" t="s">
        <v>19</v>
      </c>
      <c r="N839" s="6">
        <v>120</v>
      </c>
      <c r="O839">
        <f>Table13[[#This Row],[Adults]]+Table13[[#This Row],[Children]]</f>
        <v>1</v>
      </c>
      <c r="P839">
        <f>_xlfn.DAYS(Table13[[#This Row],[Depart]],Table13[[#This Row],[Arrive]])</f>
        <v>1</v>
      </c>
    </row>
    <row r="840" spans="1:16" x14ac:dyDescent="0.25">
      <c r="A840" t="s">
        <v>1009</v>
      </c>
      <c r="B840" t="s">
        <v>1010</v>
      </c>
      <c r="C840" t="s">
        <v>2226</v>
      </c>
      <c r="D840" s="1">
        <v>44164</v>
      </c>
      <c r="E840" s="1">
        <v>44165</v>
      </c>
      <c r="F840" s="1">
        <v>44140</v>
      </c>
      <c r="G840" s="2">
        <v>0.5</v>
      </c>
      <c r="H840" s="2">
        <v>0.58333333333333337</v>
      </c>
      <c r="I840" t="s">
        <v>22</v>
      </c>
      <c r="J840" s="12" t="s">
        <v>18</v>
      </c>
      <c r="K840">
        <v>10</v>
      </c>
      <c r="L840">
        <v>0</v>
      </c>
      <c r="M840" t="s">
        <v>19</v>
      </c>
      <c r="N840" s="6">
        <v>75000</v>
      </c>
      <c r="O840">
        <f>Table13[[#This Row],[Adults]]+Table13[[#This Row],[Children]]</f>
        <v>10</v>
      </c>
      <c r="P840">
        <f>_xlfn.DAYS(Table13[[#This Row],[Depart]],Table13[[#This Row],[Arrive]])</f>
        <v>1</v>
      </c>
    </row>
    <row r="841" spans="1:16" x14ac:dyDescent="0.25">
      <c r="A841" t="s">
        <v>1009</v>
      </c>
      <c r="B841" t="s">
        <v>1010</v>
      </c>
      <c r="C841" t="s">
        <v>2226</v>
      </c>
      <c r="D841" s="1">
        <v>44164</v>
      </c>
      <c r="E841" s="1">
        <v>44165</v>
      </c>
      <c r="F841" s="1">
        <v>44140</v>
      </c>
      <c r="G841" s="2">
        <v>0.5</v>
      </c>
      <c r="H841" s="2">
        <v>0.58333333333333337</v>
      </c>
      <c r="I841" t="s">
        <v>22</v>
      </c>
      <c r="J841" s="12" t="s">
        <v>18</v>
      </c>
      <c r="K841">
        <v>10</v>
      </c>
      <c r="L841">
        <v>0</v>
      </c>
      <c r="M841" t="s">
        <v>19</v>
      </c>
      <c r="N841" s="6">
        <v>75000</v>
      </c>
      <c r="O841">
        <f>Table13[[#This Row],[Adults]]+Table13[[#This Row],[Children]]</f>
        <v>10</v>
      </c>
      <c r="P841">
        <f>_xlfn.DAYS(Table13[[#This Row],[Depart]],Table13[[#This Row],[Arrive]])</f>
        <v>1</v>
      </c>
    </row>
    <row r="842" spans="1:16" x14ac:dyDescent="0.25">
      <c r="A842" t="s">
        <v>1031</v>
      </c>
      <c r="B842" t="s">
        <v>1032</v>
      </c>
      <c r="C842" t="s">
        <v>2223</v>
      </c>
      <c r="D842" s="1">
        <v>44165</v>
      </c>
      <c r="E842" s="1">
        <v>44167</v>
      </c>
      <c r="F842" s="1">
        <v>44144</v>
      </c>
      <c r="G842" s="2">
        <v>0.58333333333333337</v>
      </c>
      <c r="H842" s="2">
        <v>0.45833333333333331</v>
      </c>
      <c r="I842" t="s">
        <v>26</v>
      </c>
      <c r="J842" s="12" t="s">
        <v>18</v>
      </c>
      <c r="K842">
        <v>4</v>
      </c>
      <c r="L842">
        <v>0</v>
      </c>
      <c r="M842" t="s">
        <v>19</v>
      </c>
      <c r="N842" s="6">
        <v>241</v>
      </c>
      <c r="O842">
        <f>Table13[[#This Row],[Adults]]+Table13[[#This Row],[Children]]</f>
        <v>4</v>
      </c>
      <c r="P842">
        <f>_xlfn.DAYS(Table13[[#This Row],[Depart]],Table13[[#This Row],[Arrive]])</f>
        <v>2</v>
      </c>
    </row>
    <row r="843" spans="1:16" x14ac:dyDescent="0.25">
      <c r="A843" t="s">
        <v>1099</v>
      </c>
      <c r="B843" t="s">
        <v>1100</v>
      </c>
      <c r="C843" t="s">
        <v>2226</v>
      </c>
      <c r="D843" s="1">
        <v>44165</v>
      </c>
      <c r="E843" s="1">
        <v>44166</v>
      </c>
      <c r="F843" s="1">
        <v>44158</v>
      </c>
      <c r="G843" s="2">
        <v>0.5</v>
      </c>
      <c r="H843" s="2">
        <v>0.58333333333333337</v>
      </c>
      <c r="I843" t="s">
        <v>22</v>
      </c>
      <c r="J843" s="12" t="s">
        <v>18</v>
      </c>
      <c r="K843">
        <v>4</v>
      </c>
      <c r="L843">
        <v>0</v>
      </c>
      <c r="M843" t="s">
        <v>19</v>
      </c>
      <c r="N843" s="6">
        <v>130000</v>
      </c>
      <c r="O843">
        <f>Table13[[#This Row],[Adults]]+Table13[[#This Row],[Children]]</f>
        <v>4</v>
      </c>
      <c r="P843">
        <f>_xlfn.DAYS(Table13[[#This Row],[Depart]],Table13[[#This Row],[Arrive]])</f>
        <v>1</v>
      </c>
    </row>
    <row r="844" spans="1:16" x14ac:dyDescent="0.25">
      <c r="A844" t="s">
        <v>1133</v>
      </c>
      <c r="B844" t="s">
        <v>1134</v>
      </c>
      <c r="C844" t="s">
        <v>2224</v>
      </c>
      <c r="D844" s="1">
        <v>44165</v>
      </c>
      <c r="E844" s="1">
        <v>44166</v>
      </c>
      <c r="F844" s="1">
        <v>44165</v>
      </c>
      <c r="G844" s="2">
        <v>0.33333333333333331</v>
      </c>
      <c r="H844" s="3">
        <v>1</v>
      </c>
      <c r="I844" t="s">
        <v>22</v>
      </c>
      <c r="J844" s="12" t="s">
        <v>23</v>
      </c>
      <c r="K844">
        <v>3</v>
      </c>
      <c r="L844">
        <v>0</v>
      </c>
      <c r="M844" t="s">
        <v>19</v>
      </c>
      <c r="N844" s="6">
        <v>129</v>
      </c>
      <c r="O844">
        <f>Table13[[#This Row],[Adults]]+Table13[[#This Row],[Children]]</f>
        <v>3</v>
      </c>
      <c r="P844">
        <f>_xlfn.DAYS(Table13[[#This Row],[Depart]],Table13[[#This Row],[Arrive]])</f>
        <v>1</v>
      </c>
    </row>
    <row r="845" spans="1:16" x14ac:dyDescent="0.25">
      <c r="A845" t="s">
        <v>1137</v>
      </c>
      <c r="B845" t="s">
        <v>1138</v>
      </c>
      <c r="C845" t="s">
        <v>2227</v>
      </c>
      <c r="D845" s="1">
        <v>44165</v>
      </c>
      <c r="E845" s="1">
        <v>44169</v>
      </c>
      <c r="F845" s="1">
        <v>44165</v>
      </c>
      <c r="G845" s="2">
        <v>0.58333333333333337</v>
      </c>
      <c r="H845" s="2">
        <v>0.45833333333333331</v>
      </c>
      <c r="I845" t="s">
        <v>22</v>
      </c>
      <c r="J845" s="12" t="s">
        <v>23</v>
      </c>
      <c r="K845">
        <v>4</v>
      </c>
      <c r="L845">
        <v>0</v>
      </c>
      <c r="M845" t="s">
        <v>19</v>
      </c>
      <c r="N845" s="6">
        <v>855.7</v>
      </c>
      <c r="O845">
        <f>Table13[[#This Row],[Adults]]+Table13[[#This Row],[Children]]</f>
        <v>4</v>
      </c>
      <c r="P845">
        <f>_xlfn.DAYS(Table13[[#This Row],[Depart]],Table13[[#This Row],[Arrive]])</f>
        <v>4</v>
      </c>
    </row>
    <row r="846" spans="1:16" x14ac:dyDescent="0.25">
      <c r="A846" t="s">
        <v>1065</v>
      </c>
      <c r="B846" t="s">
        <v>1066</v>
      </c>
      <c r="C846" t="s">
        <v>2224</v>
      </c>
      <c r="D846" s="1">
        <v>44166</v>
      </c>
      <c r="E846" s="1">
        <v>44168</v>
      </c>
      <c r="F846" s="1">
        <v>44151</v>
      </c>
      <c r="G846" s="2">
        <v>0.33333333333333331</v>
      </c>
      <c r="H846" s="3">
        <v>1</v>
      </c>
      <c r="I846" t="s">
        <v>26</v>
      </c>
      <c r="J846" s="12" t="s">
        <v>18</v>
      </c>
      <c r="K846">
        <v>1</v>
      </c>
      <c r="L846">
        <v>0</v>
      </c>
      <c r="M846" t="s">
        <v>19</v>
      </c>
      <c r="N846" s="6">
        <v>241</v>
      </c>
      <c r="O846">
        <f>Table13[[#This Row],[Adults]]+Table13[[#This Row],[Children]]</f>
        <v>1</v>
      </c>
      <c r="P846">
        <f>_xlfn.DAYS(Table13[[#This Row],[Depart]],Table13[[#This Row],[Arrive]])</f>
        <v>2</v>
      </c>
    </row>
    <row r="847" spans="1:16" x14ac:dyDescent="0.25">
      <c r="A847" t="s">
        <v>1077</v>
      </c>
      <c r="B847" t="s">
        <v>1078</v>
      </c>
      <c r="C847" t="s">
        <v>2226</v>
      </c>
      <c r="D847" s="1">
        <v>44166</v>
      </c>
      <c r="E847" s="1">
        <v>44167</v>
      </c>
      <c r="F847" s="1">
        <v>44153</v>
      </c>
      <c r="G847" s="2">
        <v>0.5</v>
      </c>
      <c r="H847" s="2">
        <v>0.58333333333333337</v>
      </c>
      <c r="I847" t="s">
        <v>22</v>
      </c>
      <c r="J847" s="12" t="s">
        <v>18</v>
      </c>
      <c r="K847">
        <v>8</v>
      </c>
      <c r="L847">
        <v>0</v>
      </c>
      <c r="M847" t="s">
        <v>19</v>
      </c>
      <c r="N847" s="6">
        <v>130000</v>
      </c>
      <c r="O847">
        <f>Table13[[#This Row],[Adults]]+Table13[[#This Row],[Children]]</f>
        <v>8</v>
      </c>
      <c r="P847">
        <f>_xlfn.DAYS(Table13[[#This Row],[Depart]],Table13[[#This Row],[Arrive]])</f>
        <v>1</v>
      </c>
    </row>
    <row r="848" spans="1:16" x14ac:dyDescent="0.25">
      <c r="A848" t="s">
        <v>1099</v>
      </c>
      <c r="B848" t="s">
        <v>1100</v>
      </c>
      <c r="C848" t="s">
        <v>2226</v>
      </c>
      <c r="D848" s="1">
        <v>44166</v>
      </c>
      <c r="E848" s="1">
        <v>44167</v>
      </c>
      <c r="F848" s="1">
        <v>44158</v>
      </c>
      <c r="G848" s="2">
        <v>0.5</v>
      </c>
      <c r="H848" s="2">
        <v>0.58333333333333337</v>
      </c>
      <c r="I848" t="s">
        <v>22</v>
      </c>
      <c r="J848" s="12" t="s">
        <v>18</v>
      </c>
      <c r="K848">
        <v>2</v>
      </c>
      <c r="L848">
        <v>0</v>
      </c>
      <c r="M848" t="s">
        <v>19</v>
      </c>
      <c r="N848" s="6">
        <v>75000</v>
      </c>
      <c r="O848">
        <f>Table13[[#This Row],[Adults]]+Table13[[#This Row],[Children]]</f>
        <v>2</v>
      </c>
      <c r="P848">
        <f>_xlfn.DAYS(Table13[[#This Row],[Depart]],Table13[[#This Row],[Arrive]])</f>
        <v>1</v>
      </c>
    </row>
    <row r="849" spans="1:16" x14ac:dyDescent="0.25">
      <c r="A849" t="s">
        <v>1151</v>
      </c>
      <c r="B849" t="s">
        <v>1152</v>
      </c>
      <c r="C849" t="s">
        <v>2224</v>
      </c>
      <c r="D849" s="1">
        <v>44166</v>
      </c>
      <c r="E849" s="1">
        <v>44168</v>
      </c>
      <c r="F849" s="1">
        <v>44160</v>
      </c>
      <c r="G849" s="2">
        <v>0.33333333333333331</v>
      </c>
      <c r="H849" s="3">
        <v>1</v>
      </c>
      <c r="I849" t="s">
        <v>22</v>
      </c>
      <c r="J849" s="12" t="s">
        <v>18</v>
      </c>
      <c r="K849">
        <v>5</v>
      </c>
      <c r="L849">
        <v>0</v>
      </c>
      <c r="M849" t="s">
        <v>19</v>
      </c>
      <c r="N849" s="6">
        <v>258</v>
      </c>
      <c r="O849">
        <f>Table13[[#This Row],[Adults]]+Table13[[#This Row],[Children]]</f>
        <v>5</v>
      </c>
      <c r="P849">
        <f>_xlfn.DAYS(Table13[[#This Row],[Depart]],Table13[[#This Row],[Arrive]])</f>
        <v>2</v>
      </c>
    </row>
    <row r="850" spans="1:16" x14ac:dyDescent="0.25">
      <c r="A850" t="s">
        <v>915</v>
      </c>
      <c r="B850" t="s">
        <v>916</v>
      </c>
      <c r="C850" t="s">
        <v>2226</v>
      </c>
      <c r="D850" s="1">
        <v>44167</v>
      </c>
      <c r="E850" s="1">
        <v>44170</v>
      </c>
      <c r="F850" s="1">
        <v>44121</v>
      </c>
      <c r="G850" s="2">
        <v>0.5</v>
      </c>
      <c r="H850" s="2">
        <v>0.58333333333333337</v>
      </c>
      <c r="I850" t="s">
        <v>22</v>
      </c>
      <c r="J850" s="12" t="s">
        <v>18</v>
      </c>
      <c r="K850">
        <v>1</v>
      </c>
      <c r="L850">
        <v>0</v>
      </c>
      <c r="M850" t="s">
        <v>19</v>
      </c>
      <c r="N850" s="6">
        <v>255000</v>
      </c>
      <c r="O850">
        <f>Table13[[#This Row],[Adults]]+Table13[[#This Row],[Children]]</f>
        <v>1</v>
      </c>
      <c r="P850">
        <f>_xlfn.DAYS(Table13[[#This Row],[Depart]],Table13[[#This Row],[Arrive]])</f>
        <v>3</v>
      </c>
    </row>
    <row r="851" spans="1:16" x14ac:dyDescent="0.25">
      <c r="A851" t="s">
        <v>927</v>
      </c>
      <c r="B851" t="s">
        <v>928</v>
      </c>
      <c r="C851" t="s">
        <v>2224</v>
      </c>
      <c r="D851" s="1">
        <v>44167</v>
      </c>
      <c r="E851" s="1">
        <v>44175</v>
      </c>
      <c r="F851" s="1">
        <v>44124</v>
      </c>
      <c r="G851" s="2">
        <v>0.33333333333333331</v>
      </c>
      <c r="H851" s="3">
        <v>1</v>
      </c>
      <c r="I851" t="s">
        <v>26</v>
      </c>
      <c r="J851" s="12" t="s">
        <v>18</v>
      </c>
      <c r="K851">
        <v>6</v>
      </c>
      <c r="L851">
        <v>0</v>
      </c>
      <c r="M851" t="s">
        <v>19</v>
      </c>
      <c r="N851" s="6">
        <v>916</v>
      </c>
      <c r="O851">
        <f>Table13[[#This Row],[Adults]]+Table13[[#This Row],[Children]]</f>
        <v>6</v>
      </c>
      <c r="P851">
        <f>_xlfn.DAYS(Table13[[#This Row],[Depart]],Table13[[#This Row],[Arrive]])</f>
        <v>8</v>
      </c>
    </row>
    <row r="852" spans="1:16" x14ac:dyDescent="0.25">
      <c r="A852" t="s">
        <v>1139</v>
      </c>
      <c r="B852" t="s">
        <v>1140</v>
      </c>
      <c r="C852" t="s">
        <v>2226</v>
      </c>
      <c r="D852" s="1">
        <v>44168</v>
      </c>
      <c r="E852" s="1">
        <v>44172</v>
      </c>
      <c r="F852" s="1">
        <v>44165</v>
      </c>
      <c r="G852" s="2">
        <v>0.5</v>
      </c>
      <c r="H852" s="2">
        <v>0.58333333333333337</v>
      </c>
      <c r="I852" t="s">
        <v>22</v>
      </c>
      <c r="J852" s="12" t="s">
        <v>18</v>
      </c>
      <c r="K852">
        <v>2</v>
      </c>
      <c r="L852">
        <v>0</v>
      </c>
      <c r="M852" t="s">
        <v>19</v>
      </c>
      <c r="N852" s="6">
        <v>0</v>
      </c>
      <c r="O852">
        <f>Table13[[#This Row],[Adults]]+Table13[[#This Row],[Children]]</f>
        <v>2</v>
      </c>
      <c r="P852">
        <f>_xlfn.DAYS(Table13[[#This Row],[Depart]],Table13[[#This Row],[Arrive]])</f>
        <v>4</v>
      </c>
    </row>
    <row r="853" spans="1:16" x14ac:dyDescent="0.25">
      <c r="A853" t="s">
        <v>1159</v>
      </c>
      <c r="B853" t="s">
        <v>1160</v>
      </c>
      <c r="C853" t="s">
        <v>2224</v>
      </c>
      <c r="D853" s="1">
        <v>44168</v>
      </c>
      <c r="E853" s="1">
        <v>44169</v>
      </c>
      <c r="F853" s="1">
        <v>44168</v>
      </c>
      <c r="G853" s="2">
        <v>0.33333333333333331</v>
      </c>
      <c r="H853" s="3">
        <v>1</v>
      </c>
      <c r="I853" t="s">
        <v>22</v>
      </c>
      <c r="J853" s="12" t="s">
        <v>18</v>
      </c>
      <c r="K853">
        <v>2</v>
      </c>
      <c r="L853">
        <v>0</v>
      </c>
      <c r="M853" t="s">
        <v>19</v>
      </c>
      <c r="N853" s="6">
        <v>129</v>
      </c>
      <c r="O853">
        <f>Table13[[#This Row],[Adults]]+Table13[[#This Row],[Children]]</f>
        <v>2</v>
      </c>
      <c r="P853">
        <f>_xlfn.DAYS(Table13[[#This Row],[Depart]],Table13[[#This Row],[Arrive]])</f>
        <v>1</v>
      </c>
    </row>
    <row r="854" spans="1:16" x14ac:dyDescent="0.25">
      <c r="A854" t="s">
        <v>1159</v>
      </c>
      <c r="B854" t="s">
        <v>1160</v>
      </c>
      <c r="C854" t="s">
        <v>2224</v>
      </c>
      <c r="D854" s="1">
        <v>44168</v>
      </c>
      <c r="E854" s="1">
        <v>44169</v>
      </c>
      <c r="F854" s="1">
        <v>44168</v>
      </c>
      <c r="G854" s="2">
        <v>0.33333333333333331</v>
      </c>
      <c r="H854" s="3">
        <v>1</v>
      </c>
      <c r="I854" t="s">
        <v>22</v>
      </c>
      <c r="J854" s="12" t="s">
        <v>23</v>
      </c>
      <c r="K854">
        <v>3</v>
      </c>
      <c r="L854">
        <v>0</v>
      </c>
      <c r="M854" t="s">
        <v>19</v>
      </c>
      <c r="N854" s="6">
        <v>129</v>
      </c>
      <c r="O854">
        <f>Table13[[#This Row],[Adults]]+Table13[[#This Row],[Children]]</f>
        <v>3</v>
      </c>
      <c r="P854">
        <f>_xlfn.DAYS(Table13[[#This Row],[Depart]],Table13[[#This Row],[Arrive]])</f>
        <v>1</v>
      </c>
    </row>
    <row r="855" spans="1:16" x14ac:dyDescent="0.25">
      <c r="A855" t="s">
        <v>210</v>
      </c>
      <c r="B855" t="s">
        <v>211</v>
      </c>
      <c r="C855" t="s">
        <v>2228</v>
      </c>
      <c r="D855" s="1">
        <v>44169</v>
      </c>
      <c r="E855" s="1">
        <v>44176</v>
      </c>
      <c r="F855" s="1">
        <v>44014</v>
      </c>
      <c r="G855" s="2">
        <v>0.58333333333333337</v>
      </c>
      <c r="H855" s="2">
        <v>0.45833333333333331</v>
      </c>
      <c r="I855" t="s">
        <v>17</v>
      </c>
      <c r="J855" s="12" t="s">
        <v>18</v>
      </c>
      <c r="K855">
        <v>2</v>
      </c>
      <c r="L855">
        <v>0</v>
      </c>
      <c r="M855" t="s">
        <v>19</v>
      </c>
      <c r="N855" s="6">
        <v>903</v>
      </c>
      <c r="O855">
        <f>Table13[[#This Row],[Adults]]+Table13[[#This Row],[Children]]</f>
        <v>2</v>
      </c>
      <c r="P855">
        <f>_xlfn.DAYS(Table13[[#This Row],[Depart]],Table13[[#This Row],[Arrive]])</f>
        <v>7</v>
      </c>
    </row>
    <row r="856" spans="1:16" x14ac:dyDescent="0.25">
      <c r="A856" t="s">
        <v>909</v>
      </c>
      <c r="B856" t="s">
        <v>910</v>
      </c>
      <c r="C856" t="s">
        <v>2226</v>
      </c>
      <c r="D856" s="1">
        <v>44169</v>
      </c>
      <c r="E856" s="1">
        <v>44170</v>
      </c>
      <c r="F856" s="1">
        <v>44120</v>
      </c>
      <c r="G856" s="2">
        <v>0.5</v>
      </c>
      <c r="H856" s="2">
        <v>0.58333333333333337</v>
      </c>
      <c r="I856" t="s">
        <v>22</v>
      </c>
      <c r="J856" s="12" t="s">
        <v>18</v>
      </c>
      <c r="K856">
        <v>1</v>
      </c>
      <c r="L856">
        <v>0</v>
      </c>
      <c r="M856" t="s">
        <v>19</v>
      </c>
      <c r="N856" s="6">
        <v>130000</v>
      </c>
      <c r="O856">
        <f>Table13[[#This Row],[Adults]]+Table13[[#This Row],[Children]]</f>
        <v>1</v>
      </c>
      <c r="P856">
        <f>_xlfn.DAYS(Table13[[#This Row],[Depart]],Table13[[#This Row],[Arrive]])</f>
        <v>1</v>
      </c>
    </row>
    <row r="857" spans="1:16" x14ac:dyDescent="0.25">
      <c r="A857" t="s">
        <v>925</v>
      </c>
      <c r="B857" t="s">
        <v>926</v>
      </c>
      <c r="C857" t="s">
        <v>2226</v>
      </c>
      <c r="D857" s="1">
        <v>44169</v>
      </c>
      <c r="E857" s="1">
        <v>44170</v>
      </c>
      <c r="F857" s="1">
        <v>44124</v>
      </c>
      <c r="G857" s="2">
        <v>0.5</v>
      </c>
      <c r="H857" s="2">
        <v>0.58333333333333337</v>
      </c>
      <c r="I857" t="s">
        <v>22</v>
      </c>
      <c r="J857" s="12" t="s">
        <v>18</v>
      </c>
      <c r="K857">
        <v>1</v>
      </c>
      <c r="L857">
        <v>0</v>
      </c>
      <c r="M857" t="s">
        <v>19</v>
      </c>
      <c r="N857" s="6">
        <v>130000</v>
      </c>
      <c r="O857">
        <f>Table13[[#This Row],[Adults]]+Table13[[#This Row],[Children]]</f>
        <v>1</v>
      </c>
      <c r="P857">
        <f>_xlfn.DAYS(Table13[[#This Row],[Depart]],Table13[[#This Row],[Arrive]])</f>
        <v>1</v>
      </c>
    </row>
    <row r="858" spans="1:16" x14ac:dyDescent="0.25">
      <c r="A858" t="s">
        <v>931</v>
      </c>
      <c r="B858" t="s">
        <v>932</v>
      </c>
      <c r="C858" t="s">
        <v>2224</v>
      </c>
      <c r="D858" s="1">
        <v>44169</v>
      </c>
      <c r="E858" s="1">
        <v>44171</v>
      </c>
      <c r="F858" s="1">
        <v>44125</v>
      </c>
      <c r="G858" s="2">
        <v>0.33333333333333331</v>
      </c>
      <c r="H858" s="3">
        <v>1</v>
      </c>
      <c r="I858" t="s">
        <v>22</v>
      </c>
      <c r="J858" s="12" t="s">
        <v>23</v>
      </c>
      <c r="K858">
        <v>6</v>
      </c>
      <c r="L858">
        <v>0</v>
      </c>
      <c r="M858" t="s">
        <v>19</v>
      </c>
      <c r="N858" s="6">
        <v>258</v>
      </c>
      <c r="O858">
        <f>Table13[[#This Row],[Adults]]+Table13[[#This Row],[Children]]</f>
        <v>6</v>
      </c>
      <c r="P858">
        <f>_xlfn.DAYS(Table13[[#This Row],[Depart]],Table13[[#This Row],[Arrive]])</f>
        <v>2</v>
      </c>
    </row>
    <row r="859" spans="1:16" x14ac:dyDescent="0.25">
      <c r="A859" t="s">
        <v>947</v>
      </c>
      <c r="B859" t="s">
        <v>948</v>
      </c>
      <c r="C859" t="s">
        <v>2225</v>
      </c>
      <c r="D859" s="1">
        <v>44169</v>
      </c>
      <c r="E859" s="1">
        <v>44171</v>
      </c>
      <c r="F859" s="1">
        <v>44128</v>
      </c>
      <c r="G859" s="2">
        <v>0.33333333333333331</v>
      </c>
      <c r="H859" s="3">
        <v>1</v>
      </c>
      <c r="I859" t="s">
        <v>22</v>
      </c>
      <c r="J859" s="12" t="s">
        <v>23</v>
      </c>
      <c r="K859">
        <v>6</v>
      </c>
      <c r="L859">
        <v>0</v>
      </c>
      <c r="M859" t="s">
        <v>19</v>
      </c>
      <c r="N859" s="6">
        <v>258</v>
      </c>
      <c r="O859">
        <f>Table13[[#This Row],[Adults]]+Table13[[#This Row],[Children]]</f>
        <v>6</v>
      </c>
      <c r="P859">
        <f>_xlfn.DAYS(Table13[[#This Row],[Depart]],Table13[[#This Row],[Arrive]])</f>
        <v>2</v>
      </c>
    </row>
    <row r="860" spans="1:16" x14ac:dyDescent="0.25">
      <c r="A860" t="s">
        <v>947</v>
      </c>
      <c r="B860" t="s">
        <v>948</v>
      </c>
      <c r="C860" t="s">
        <v>2228</v>
      </c>
      <c r="D860" s="1">
        <v>44169</v>
      </c>
      <c r="E860" s="1">
        <v>44171</v>
      </c>
      <c r="F860" s="1">
        <v>44128</v>
      </c>
      <c r="G860" s="2">
        <v>0.58333333333333337</v>
      </c>
      <c r="H860" s="2">
        <v>0.45833333333333331</v>
      </c>
      <c r="I860" t="s">
        <v>22</v>
      </c>
      <c r="J860" s="12" t="s">
        <v>23</v>
      </c>
      <c r="K860">
        <v>6</v>
      </c>
      <c r="L860">
        <v>0</v>
      </c>
      <c r="M860" t="s">
        <v>19</v>
      </c>
      <c r="N860" s="6">
        <v>258</v>
      </c>
      <c r="O860">
        <f>Table13[[#This Row],[Adults]]+Table13[[#This Row],[Children]]</f>
        <v>6</v>
      </c>
      <c r="P860">
        <f>_xlfn.DAYS(Table13[[#This Row],[Depart]],Table13[[#This Row],[Arrive]])</f>
        <v>2</v>
      </c>
    </row>
    <row r="861" spans="1:16" x14ac:dyDescent="0.25">
      <c r="A861" t="s">
        <v>1011</v>
      </c>
      <c r="B861" t="s">
        <v>1012</v>
      </c>
      <c r="C861" t="s">
        <v>2229</v>
      </c>
      <c r="D861" s="1">
        <v>44169</v>
      </c>
      <c r="E861" s="1">
        <v>44171</v>
      </c>
      <c r="F861" s="1">
        <v>44138</v>
      </c>
      <c r="G861" s="2">
        <v>0.58333333333333337</v>
      </c>
      <c r="H861" s="2">
        <v>0.5</v>
      </c>
      <c r="I861" t="s">
        <v>26</v>
      </c>
      <c r="J861" s="12" t="s">
        <v>18</v>
      </c>
      <c r="K861">
        <v>1</v>
      </c>
      <c r="L861">
        <v>0</v>
      </c>
      <c r="M861" t="s">
        <v>19</v>
      </c>
      <c r="N861" s="6">
        <v>364</v>
      </c>
      <c r="O861">
        <f>Table13[[#This Row],[Adults]]+Table13[[#This Row],[Children]]</f>
        <v>1</v>
      </c>
      <c r="P861">
        <f>_xlfn.DAYS(Table13[[#This Row],[Depart]],Table13[[#This Row],[Arrive]])</f>
        <v>2</v>
      </c>
    </row>
    <row r="862" spans="1:16" x14ac:dyDescent="0.25">
      <c r="A862" t="s">
        <v>995</v>
      </c>
      <c r="B862" t="s">
        <v>996</v>
      </c>
      <c r="C862" t="s">
        <v>2226</v>
      </c>
      <c r="D862" s="1">
        <v>44169</v>
      </c>
      <c r="E862" s="1">
        <v>44170</v>
      </c>
      <c r="F862" s="1">
        <v>44140</v>
      </c>
      <c r="G862" s="2">
        <v>0.5</v>
      </c>
      <c r="H862" s="2">
        <v>0.58333333333333337</v>
      </c>
      <c r="I862" t="s">
        <v>22</v>
      </c>
      <c r="J862" s="12" t="s">
        <v>18</v>
      </c>
      <c r="K862">
        <v>1</v>
      </c>
      <c r="L862">
        <v>0</v>
      </c>
      <c r="M862" t="s">
        <v>19</v>
      </c>
      <c r="N862" s="6">
        <v>130000</v>
      </c>
      <c r="O862">
        <f>Table13[[#This Row],[Adults]]+Table13[[#This Row],[Children]]</f>
        <v>1</v>
      </c>
      <c r="P862">
        <f>_xlfn.DAYS(Table13[[#This Row],[Depart]],Table13[[#This Row],[Arrive]])</f>
        <v>1</v>
      </c>
    </row>
    <row r="863" spans="1:16" x14ac:dyDescent="0.25">
      <c r="A863" t="s">
        <v>995</v>
      </c>
      <c r="B863" t="s">
        <v>996</v>
      </c>
      <c r="C863" t="s">
        <v>2226</v>
      </c>
      <c r="D863" s="1">
        <v>44169</v>
      </c>
      <c r="E863" s="1">
        <v>44170</v>
      </c>
      <c r="F863" s="1">
        <v>44140</v>
      </c>
      <c r="G863" s="2">
        <v>0.5</v>
      </c>
      <c r="H863" s="2">
        <v>0.58333333333333337</v>
      </c>
      <c r="I863" t="s">
        <v>22</v>
      </c>
      <c r="J863" s="12" t="s">
        <v>18</v>
      </c>
      <c r="K863">
        <v>1</v>
      </c>
      <c r="L863">
        <v>0</v>
      </c>
      <c r="M863" t="s">
        <v>19</v>
      </c>
      <c r="N863" s="6">
        <v>130000</v>
      </c>
      <c r="O863">
        <f>Table13[[#This Row],[Adults]]+Table13[[#This Row],[Children]]</f>
        <v>1</v>
      </c>
      <c r="P863">
        <f>_xlfn.DAYS(Table13[[#This Row],[Depart]],Table13[[#This Row],[Arrive]])</f>
        <v>1</v>
      </c>
    </row>
    <row r="864" spans="1:16" x14ac:dyDescent="0.25">
      <c r="A864" t="s">
        <v>995</v>
      </c>
      <c r="B864" t="s">
        <v>996</v>
      </c>
      <c r="C864" t="s">
        <v>2226</v>
      </c>
      <c r="D864" s="1">
        <v>44169</v>
      </c>
      <c r="E864" s="1">
        <v>44170</v>
      </c>
      <c r="F864" s="1">
        <v>44140</v>
      </c>
      <c r="G864" s="2">
        <v>0.5</v>
      </c>
      <c r="H864" s="2">
        <v>0.58333333333333337</v>
      </c>
      <c r="I864" t="s">
        <v>22</v>
      </c>
      <c r="J864" s="12" t="s">
        <v>18</v>
      </c>
      <c r="K864">
        <v>1</v>
      </c>
      <c r="L864">
        <v>0</v>
      </c>
      <c r="M864" t="s">
        <v>19</v>
      </c>
      <c r="N864" s="6">
        <v>130000</v>
      </c>
      <c r="O864">
        <f>Table13[[#This Row],[Adults]]+Table13[[#This Row],[Children]]</f>
        <v>1</v>
      </c>
      <c r="P864">
        <f>_xlfn.DAYS(Table13[[#This Row],[Depart]],Table13[[#This Row],[Arrive]])</f>
        <v>1</v>
      </c>
    </row>
    <row r="865" spans="1:16" x14ac:dyDescent="0.25">
      <c r="A865" t="s">
        <v>995</v>
      </c>
      <c r="B865" t="s">
        <v>996</v>
      </c>
      <c r="C865" t="s">
        <v>2226</v>
      </c>
      <c r="D865" s="1">
        <v>44169</v>
      </c>
      <c r="E865" s="1">
        <v>44170</v>
      </c>
      <c r="F865" s="1">
        <v>44140</v>
      </c>
      <c r="G865" s="2">
        <v>0.5</v>
      </c>
      <c r="H865" s="2">
        <v>0.58333333333333337</v>
      </c>
      <c r="I865" t="s">
        <v>22</v>
      </c>
      <c r="J865" s="12" t="s">
        <v>18</v>
      </c>
      <c r="K865">
        <v>1</v>
      </c>
      <c r="L865">
        <v>0</v>
      </c>
      <c r="M865" t="s">
        <v>19</v>
      </c>
      <c r="N865" s="6">
        <v>130000</v>
      </c>
      <c r="O865">
        <f>Table13[[#This Row],[Adults]]+Table13[[#This Row],[Children]]</f>
        <v>1</v>
      </c>
      <c r="P865">
        <f>_xlfn.DAYS(Table13[[#This Row],[Depart]],Table13[[#This Row],[Arrive]])</f>
        <v>1</v>
      </c>
    </row>
    <row r="866" spans="1:16" x14ac:dyDescent="0.25">
      <c r="A866" t="s">
        <v>995</v>
      </c>
      <c r="B866" t="s">
        <v>996</v>
      </c>
      <c r="C866" t="s">
        <v>2226</v>
      </c>
      <c r="D866" s="1">
        <v>44169</v>
      </c>
      <c r="E866" s="1">
        <v>44170</v>
      </c>
      <c r="F866" s="1">
        <v>44140</v>
      </c>
      <c r="G866" s="2">
        <v>0.5</v>
      </c>
      <c r="H866" s="2">
        <v>0.58333333333333337</v>
      </c>
      <c r="I866" t="s">
        <v>22</v>
      </c>
      <c r="J866" s="12" t="s">
        <v>18</v>
      </c>
      <c r="K866">
        <v>1</v>
      </c>
      <c r="L866">
        <v>0</v>
      </c>
      <c r="M866" t="s">
        <v>19</v>
      </c>
      <c r="N866" s="6">
        <v>130000</v>
      </c>
      <c r="O866">
        <f>Table13[[#This Row],[Adults]]+Table13[[#This Row],[Children]]</f>
        <v>1</v>
      </c>
      <c r="P866">
        <f>_xlfn.DAYS(Table13[[#This Row],[Depart]],Table13[[#This Row],[Arrive]])</f>
        <v>1</v>
      </c>
    </row>
    <row r="867" spans="1:16" x14ac:dyDescent="0.25">
      <c r="A867" t="s">
        <v>995</v>
      </c>
      <c r="B867" t="s">
        <v>996</v>
      </c>
      <c r="C867" t="s">
        <v>2226</v>
      </c>
      <c r="D867" s="1">
        <v>44169</v>
      </c>
      <c r="E867" s="1">
        <v>44170</v>
      </c>
      <c r="F867" s="1">
        <v>44140</v>
      </c>
      <c r="G867" s="2">
        <v>0.5</v>
      </c>
      <c r="H867" s="2">
        <v>0.58333333333333337</v>
      </c>
      <c r="I867" t="s">
        <v>22</v>
      </c>
      <c r="J867" s="12" t="s">
        <v>18</v>
      </c>
      <c r="K867">
        <v>1</v>
      </c>
      <c r="L867">
        <v>0</v>
      </c>
      <c r="M867" t="s">
        <v>19</v>
      </c>
      <c r="N867" s="6">
        <v>130000</v>
      </c>
      <c r="O867">
        <f>Table13[[#This Row],[Adults]]+Table13[[#This Row],[Children]]</f>
        <v>1</v>
      </c>
      <c r="P867">
        <f>_xlfn.DAYS(Table13[[#This Row],[Depart]],Table13[[#This Row],[Arrive]])</f>
        <v>1</v>
      </c>
    </row>
    <row r="868" spans="1:16" x14ac:dyDescent="0.25">
      <c r="A868" t="s">
        <v>995</v>
      </c>
      <c r="B868" t="s">
        <v>996</v>
      </c>
      <c r="C868" t="s">
        <v>2226</v>
      </c>
      <c r="D868" s="1">
        <v>44169</v>
      </c>
      <c r="E868" s="1">
        <v>44170</v>
      </c>
      <c r="F868" s="1">
        <v>44140</v>
      </c>
      <c r="G868" s="2">
        <v>0.5</v>
      </c>
      <c r="H868" s="2">
        <v>0.58333333333333337</v>
      </c>
      <c r="I868" t="s">
        <v>22</v>
      </c>
      <c r="J868" s="12" t="s">
        <v>18</v>
      </c>
      <c r="K868">
        <v>1</v>
      </c>
      <c r="L868">
        <v>0</v>
      </c>
      <c r="M868" t="s">
        <v>19</v>
      </c>
      <c r="N868" s="6">
        <v>130000</v>
      </c>
      <c r="O868">
        <f>Table13[[#This Row],[Adults]]+Table13[[#This Row],[Children]]</f>
        <v>1</v>
      </c>
      <c r="P868">
        <f>_xlfn.DAYS(Table13[[#This Row],[Depart]],Table13[[#This Row],[Arrive]])</f>
        <v>1</v>
      </c>
    </row>
    <row r="869" spans="1:16" x14ac:dyDescent="0.25">
      <c r="A869" t="s">
        <v>995</v>
      </c>
      <c r="B869" t="s">
        <v>996</v>
      </c>
      <c r="C869" t="s">
        <v>2226</v>
      </c>
      <c r="D869" s="1">
        <v>44169</v>
      </c>
      <c r="E869" s="1">
        <v>44170</v>
      </c>
      <c r="F869" s="1">
        <v>44140</v>
      </c>
      <c r="G869" s="2">
        <v>0.5</v>
      </c>
      <c r="H869" s="2">
        <v>0.58333333333333337</v>
      </c>
      <c r="I869" t="s">
        <v>22</v>
      </c>
      <c r="J869" s="12" t="s">
        <v>18</v>
      </c>
      <c r="K869">
        <v>1</v>
      </c>
      <c r="L869">
        <v>0</v>
      </c>
      <c r="M869" t="s">
        <v>19</v>
      </c>
      <c r="N869" s="6">
        <v>130000</v>
      </c>
      <c r="O869">
        <f>Table13[[#This Row],[Adults]]+Table13[[#This Row],[Children]]</f>
        <v>1</v>
      </c>
      <c r="P869">
        <f>_xlfn.DAYS(Table13[[#This Row],[Depart]],Table13[[#This Row],[Arrive]])</f>
        <v>1</v>
      </c>
    </row>
    <row r="870" spans="1:16" x14ac:dyDescent="0.25">
      <c r="A870" t="s">
        <v>995</v>
      </c>
      <c r="B870" t="s">
        <v>996</v>
      </c>
      <c r="C870" t="s">
        <v>2226</v>
      </c>
      <c r="D870" s="1">
        <v>44169</v>
      </c>
      <c r="E870" s="1">
        <v>44170</v>
      </c>
      <c r="F870" s="1">
        <v>44140</v>
      </c>
      <c r="G870" s="2">
        <v>0.5</v>
      </c>
      <c r="H870" s="2">
        <v>0.58333333333333337</v>
      </c>
      <c r="I870" t="s">
        <v>22</v>
      </c>
      <c r="J870" s="12" t="s">
        <v>18</v>
      </c>
      <c r="K870">
        <v>1</v>
      </c>
      <c r="L870">
        <v>0</v>
      </c>
      <c r="M870" t="s">
        <v>19</v>
      </c>
      <c r="N870" s="6">
        <v>130000</v>
      </c>
      <c r="O870">
        <f>Table13[[#This Row],[Adults]]+Table13[[#This Row],[Children]]</f>
        <v>1</v>
      </c>
      <c r="P870">
        <f>_xlfn.DAYS(Table13[[#This Row],[Depart]],Table13[[#This Row],[Arrive]])</f>
        <v>1</v>
      </c>
    </row>
    <row r="871" spans="1:16" x14ac:dyDescent="0.25">
      <c r="A871" t="s">
        <v>1015</v>
      </c>
      <c r="B871" t="s">
        <v>1016</v>
      </c>
      <c r="C871" t="s">
        <v>2229</v>
      </c>
      <c r="D871" s="1">
        <v>44169</v>
      </c>
      <c r="E871" s="1">
        <v>44171</v>
      </c>
      <c r="F871" s="1">
        <v>44140</v>
      </c>
      <c r="G871" s="2">
        <v>0.58333333333333337</v>
      </c>
      <c r="H871" s="2">
        <v>0.5</v>
      </c>
      <c r="I871" t="s">
        <v>22</v>
      </c>
      <c r="J871" s="12" t="s">
        <v>23</v>
      </c>
      <c r="K871">
        <v>6</v>
      </c>
      <c r="L871">
        <v>0</v>
      </c>
      <c r="M871" t="s">
        <v>19</v>
      </c>
      <c r="N871" s="6">
        <v>427.85</v>
      </c>
      <c r="O871">
        <f>Table13[[#This Row],[Adults]]+Table13[[#This Row],[Children]]</f>
        <v>6</v>
      </c>
      <c r="P871">
        <f>_xlfn.DAYS(Table13[[#This Row],[Depart]],Table13[[#This Row],[Arrive]])</f>
        <v>2</v>
      </c>
    </row>
    <row r="872" spans="1:16" x14ac:dyDescent="0.25">
      <c r="A872" t="s">
        <v>416</v>
      </c>
      <c r="B872" t="s">
        <v>417</v>
      </c>
      <c r="C872" t="s">
        <v>2227</v>
      </c>
      <c r="D872" s="1">
        <v>44169</v>
      </c>
      <c r="E872" s="1">
        <v>44173</v>
      </c>
      <c r="F872" s="1">
        <v>44089</v>
      </c>
      <c r="G872" s="2">
        <v>0.58333333333333337</v>
      </c>
      <c r="H872" s="2">
        <v>0.45833333333333331</v>
      </c>
      <c r="I872" t="s">
        <v>22</v>
      </c>
      <c r="J872" s="12" t="s">
        <v>18</v>
      </c>
      <c r="K872">
        <v>4</v>
      </c>
      <c r="L872">
        <v>0</v>
      </c>
      <c r="M872" t="s">
        <v>19</v>
      </c>
      <c r="N872" s="6">
        <v>1283.55</v>
      </c>
      <c r="O872">
        <f>Table13[[#This Row],[Adults]]+Table13[[#This Row],[Children]]</f>
        <v>4</v>
      </c>
      <c r="P872">
        <f>_xlfn.DAYS(Table13[[#This Row],[Depart]],Table13[[#This Row],[Arrive]])</f>
        <v>4</v>
      </c>
    </row>
    <row r="873" spans="1:16" x14ac:dyDescent="0.25">
      <c r="A873" t="s">
        <v>847</v>
      </c>
      <c r="B873" t="s">
        <v>848</v>
      </c>
      <c r="C873" t="s">
        <v>2227</v>
      </c>
      <c r="D873" s="1">
        <v>44169</v>
      </c>
      <c r="E873" s="1">
        <v>44181</v>
      </c>
      <c r="F873" s="1">
        <v>44150</v>
      </c>
      <c r="G873" s="2">
        <v>0.58333333333333337</v>
      </c>
      <c r="H873" s="2">
        <v>0.45833333333333331</v>
      </c>
      <c r="I873" t="s">
        <v>22</v>
      </c>
      <c r="J873" s="12" t="s">
        <v>23</v>
      </c>
      <c r="K873">
        <v>3</v>
      </c>
      <c r="L873">
        <v>0</v>
      </c>
      <c r="M873" t="s">
        <v>19</v>
      </c>
      <c r="N873" s="6">
        <v>2567.1</v>
      </c>
      <c r="O873">
        <f>Table13[[#This Row],[Adults]]+Table13[[#This Row],[Children]]</f>
        <v>3</v>
      </c>
      <c r="P873">
        <f>_xlfn.DAYS(Table13[[#This Row],[Depart]],Table13[[#This Row],[Arrive]])</f>
        <v>12</v>
      </c>
    </row>
    <row r="874" spans="1:16" x14ac:dyDescent="0.25">
      <c r="A874" t="s">
        <v>847</v>
      </c>
      <c r="B874" t="s">
        <v>848</v>
      </c>
      <c r="C874" t="s">
        <v>2229</v>
      </c>
      <c r="D874" s="1">
        <v>44171</v>
      </c>
      <c r="E874" s="1">
        <v>44183</v>
      </c>
      <c r="F874" s="1">
        <v>44144</v>
      </c>
      <c r="G874" s="2">
        <v>0.58333333333333337</v>
      </c>
      <c r="H874" s="2">
        <v>0.5</v>
      </c>
      <c r="I874" t="s">
        <v>22</v>
      </c>
      <c r="J874" s="12" t="s">
        <v>18</v>
      </c>
      <c r="K874">
        <v>3</v>
      </c>
      <c r="L874">
        <v>0</v>
      </c>
      <c r="M874" t="s">
        <v>19</v>
      </c>
      <c r="N874" s="6">
        <v>2567.1</v>
      </c>
      <c r="O874">
        <f>Table13[[#This Row],[Adults]]+Table13[[#This Row],[Children]]</f>
        <v>3</v>
      </c>
      <c r="P874">
        <f>_xlfn.DAYS(Table13[[#This Row],[Depart]],Table13[[#This Row],[Arrive]])</f>
        <v>12</v>
      </c>
    </row>
    <row r="875" spans="1:16" x14ac:dyDescent="0.25">
      <c r="A875" t="s">
        <v>1041</v>
      </c>
      <c r="B875" t="s">
        <v>1042</v>
      </c>
      <c r="C875" t="s">
        <v>2224</v>
      </c>
      <c r="D875" s="1">
        <v>44171</v>
      </c>
      <c r="E875" s="1">
        <v>44173</v>
      </c>
      <c r="F875" s="1">
        <v>44145</v>
      </c>
      <c r="G875" s="2">
        <v>0.33333333333333331</v>
      </c>
      <c r="H875" s="3">
        <v>1</v>
      </c>
      <c r="I875" t="s">
        <v>26</v>
      </c>
      <c r="J875" s="12" t="s">
        <v>18</v>
      </c>
      <c r="K875">
        <v>1</v>
      </c>
      <c r="L875">
        <v>0</v>
      </c>
      <c r="M875" t="s">
        <v>19</v>
      </c>
      <c r="N875" s="6">
        <v>241</v>
      </c>
      <c r="O875">
        <f>Table13[[#This Row],[Adults]]+Table13[[#This Row],[Children]]</f>
        <v>1</v>
      </c>
      <c r="P875">
        <f>_xlfn.DAYS(Table13[[#This Row],[Depart]],Table13[[#This Row],[Arrive]])</f>
        <v>2</v>
      </c>
    </row>
    <row r="876" spans="1:16" x14ac:dyDescent="0.25">
      <c r="A876" t="s">
        <v>1077</v>
      </c>
      <c r="B876" t="s">
        <v>1078</v>
      </c>
      <c r="C876" t="s">
        <v>2228</v>
      </c>
      <c r="D876" s="1">
        <v>44171</v>
      </c>
      <c r="E876" s="1">
        <v>44173</v>
      </c>
      <c r="F876" s="1">
        <v>44153</v>
      </c>
      <c r="G876" s="2">
        <v>0.5</v>
      </c>
      <c r="H876" s="2">
        <v>0.58333333333333337</v>
      </c>
      <c r="I876" t="s">
        <v>22</v>
      </c>
      <c r="J876" s="12" t="s">
        <v>23</v>
      </c>
      <c r="K876">
        <v>1</v>
      </c>
      <c r="L876">
        <v>0</v>
      </c>
      <c r="M876" t="s">
        <v>19</v>
      </c>
      <c r="N876" s="6">
        <v>258</v>
      </c>
      <c r="O876">
        <f>Table13[[#This Row],[Adults]]+Table13[[#This Row],[Children]]</f>
        <v>1</v>
      </c>
      <c r="P876">
        <f>_xlfn.DAYS(Table13[[#This Row],[Depart]],Table13[[#This Row],[Arrive]])</f>
        <v>2</v>
      </c>
    </row>
    <row r="877" spans="1:16" x14ac:dyDescent="0.25">
      <c r="A877" t="s">
        <v>1147</v>
      </c>
      <c r="B877" t="s">
        <v>1148</v>
      </c>
      <c r="C877" t="s">
        <v>2224</v>
      </c>
      <c r="D877" s="1">
        <v>44171</v>
      </c>
      <c r="E877" s="1">
        <v>44173</v>
      </c>
      <c r="F877" s="1">
        <v>44166</v>
      </c>
      <c r="G877" s="2">
        <v>0.33333333333333331</v>
      </c>
      <c r="H877" s="3">
        <v>1</v>
      </c>
      <c r="I877" t="s">
        <v>26</v>
      </c>
      <c r="J877" s="12" t="s">
        <v>18</v>
      </c>
      <c r="K877">
        <v>1</v>
      </c>
      <c r="L877">
        <v>0</v>
      </c>
      <c r="M877" t="s">
        <v>19</v>
      </c>
      <c r="N877" s="6">
        <v>241</v>
      </c>
      <c r="O877">
        <f>Table13[[#This Row],[Adults]]+Table13[[#This Row],[Children]]</f>
        <v>1</v>
      </c>
      <c r="P877">
        <f>_xlfn.DAYS(Table13[[#This Row],[Depart]],Table13[[#This Row],[Arrive]])</f>
        <v>2</v>
      </c>
    </row>
    <row r="878" spans="1:16" x14ac:dyDescent="0.25">
      <c r="A878" t="s">
        <v>1149</v>
      </c>
      <c r="B878" t="s">
        <v>1150</v>
      </c>
      <c r="C878" t="s">
        <v>2226</v>
      </c>
      <c r="D878" s="1">
        <v>44171</v>
      </c>
      <c r="E878" s="1">
        <v>44174</v>
      </c>
      <c r="F878" s="1">
        <v>44167</v>
      </c>
      <c r="G878" s="2">
        <v>0.5</v>
      </c>
      <c r="H878" s="2">
        <v>0.58333333333333337</v>
      </c>
      <c r="I878" t="s">
        <v>22</v>
      </c>
      <c r="J878" s="12" t="s">
        <v>18</v>
      </c>
      <c r="K878">
        <v>8</v>
      </c>
      <c r="L878">
        <v>0</v>
      </c>
      <c r="M878" t="s">
        <v>19</v>
      </c>
      <c r="N878" s="6">
        <v>390000</v>
      </c>
      <c r="O878">
        <f>Table13[[#This Row],[Adults]]+Table13[[#This Row],[Children]]</f>
        <v>8</v>
      </c>
      <c r="P878">
        <f>_xlfn.DAYS(Table13[[#This Row],[Depart]],Table13[[#This Row],[Arrive]])</f>
        <v>3</v>
      </c>
    </row>
    <row r="879" spans="1:16" x14ac:dyDescent="0.25">
      <c r="A879" t="s">
        <v>583</v>
      </c>
      <c r="B879" t="s">
        <v>584</v>
      </c>
      <c r="C879" t="s">
        <v>2229</v>
      </c>
      <c r="D879" s="1">
        <v>44171</v>
      </c>
      <c r="E879" s="1">
        <v>44173</v>
      </c>
      <c r="F879" s="1">
        <v>44167</v>
      </c>
      <c r="G879" s="2">
        <v>0.58333333333333337</v>
      </c>
      <c r="H879" s="2">
        <v>0.5</v>
      </c>
      <c r="I879" t="s">
        <v>22</v>
      </c>
      <c r="J879" s="12" t="s">
        <v>18</v>
      </c>
      <c r="K879">
        <v>4</v>
      </c>
      <c r="L879">
        <v>0</v>
      </c>
      <c r="M879" t="s">
        <v>19</v>
      </c>
      <c r="N879" s="6">
        <v>427.85</v>
      </c>
      <c r="O879">
        <f>Table13[[#This Row],[Adults]]+Table13[[#This Row],[Children]]</f>
        <v>4</v>
      </c>
      <c r="P879">
        <f>_xlfn.DAYS(Table13[[#This Row],[Depart]],Table13[[#This Row],[Arrive]])</f>
        <v>2</v>
      </c>
    </row>
    <row r="880" spans="1:16" x14ac:dyDescent="0.25">
      <c r="A880" t="s">
        <v>1149</v>
      </c>
      <c r="B880" t="s">
        <v>1150</v>
      </c>
      <c r="C880" t="s">
        <v>2229</v>
      </c>
      <c r="D880" s="1">
        <v>44171</v>
      </c>
      <c r="E880" s="1">
        <v>44173</v>
      </c>
      <c r="F880" s="1">
        <v>44167</v>
      </c>
      <c r="G880" s="2">
        <v>0.58333333333333337</v>
      </c>
      <c r="H880" s="2">
        <v>0.5</v>
      </c>
      <c r="I880" t="s">
        <v>22</v>
      </c>
      <c r="J880" s="12" t="s">
        <v>23</v>
      </c>
      <c r="K880">
        <v>4</v>
      </c>
      <c r="L880">
        <v>0</v>
      </c>
      <c r="M880" t="s">
        <v>19</v>
      </c>
      <c r="N880" s="6">
        <v>427.85</v>
      </c>
      <c r="O880">
        <f>Table13[[#This Row],[Adults]]+Table13[[#This Row],[Children]]</f>
        <v>4</v>
      </c>
      <c r="P880">
        <f>_xlfn.DAYS(Table13[[#This Row],[Depart]],Table13[[#This Row],[Arrive]])</f>
        <v>2</v>
      </c>
    </row>
    <row r="881" spans="1:16" x14ac:dyDescent="0.25">
      <c r="A881" t="s">
        <v>1137</v>
      </c>
      <c r="B881" t="s">
        <v>1138</v>
      </c>
      <c r="C881" t="s">
        <v>2224</v>
      </c>
      <c r="D881" s="1">
        <v>44171</v>
      </c>
      <c r="E881" s="1">
        <v>44173</v>
      </c>
      <c r="F881" s="1">
        <v>44169</v>
      </c>
      <c r="G881" s="2">
        <v>0.33333333333333331</v>
      </c>
      <c r="H881" s="3">
        <v>1</v>
      </c>
      <c r="I881" t="s">
        <v>22</v>
      </c>
      <c r="J881" s="12" t="s">
        <v>23</v>
      </c>
      <c r="K881">
        <v>2</v>
      </c>
      <c r="L881">
        <v>0</v>
      </c>
      <c r="M881" t="s">
        <v>19</v>
      </c>
      <c r="N881" s="6">
        <v>356.12</v>
      </c>
      <c r="O881">
        <f>Table13[[#This Row],[Adults]]+Table13[[#This Row],[Children]]</f>
        <v>2</v>
      </c>
      <c r="P881">
        <f>_xlfn.DAYS(Table13[[#This Row],[Depart]],Table13[[#This Row],[Arrive]])</f>
        <v>2</v>
      </c>
    </row>
    <row r="882" spans="1:16" x14ac:dyDescent="0.25">
      <c r="A882" t="s">
        <v>416</v>
      </c>
      <c r="B882" t="s">
        <v>417</v>
      </c>
      <c r="C882" t="s">
        <v>2226</v>
      </c>
      <c r="D882" s="1">
        <v>44172</v>
      </c>
      <c r="E882" s="1">
        <v>44173</v>
      </c>
      <c r="F882" s="1">
        <v>44144</v>
      </c>
      <c r="G882" s="2">
        <v>0.5</v>
      </c>
      <c r="H882" s="2">
        <v>0.58333333333333337</v>
      </c>
      <c r="I882" t="s">
        <v>22</v>
      </c>
      <c r="J882" s="12" t="s">
        <v>18</v>
      </c>
      <c r="K882">
        <v>1</v>
      </c>
      <c r="L882">
        <v>0</v>
      </c>
      <c r="M882" t="s">
        <v>19</v>
      </c>
      <c r="N882" s="6">
        <v>75000</v>
      </c>
      <c r="O882">
        <f>Table13[[#This Row],[Adults]]+Table13[[#This Row],[Children]]</f>
        <v>1</v>
      </c>
      <c r="P882">
        <f>_xlfn.DAYS(Table13[[#This Row],[Depart]],Table13[[#This Row],[Arrive]])</f>
        <v>1</v>
      </c>
    </row>
    <row r="883" spans="1:16" x14ac:dyDescent="0.25">
      <c r="A883" t="s">
        <v>1055</v>
      </c>
      <c r="B883" t="s">
        <v>1056</v>
      </c>
      <c r="C883" t="s">
        <v>2226</v>
      </c>
      <c r="D883" s="1">
        <v>44172</v>
      </c>
      <c r="E883" s="1">
        <v>44173</v>
      </c>
      <c r="F883" s="1">
        <v>44148</v>
      </c>
      <c r="G883" s="2">
        <v>0.5</v>
      </c>
      <c r="H883" s="2">
        <v>0.58333333333333337</v>
      </c>
      <c r="I883" t="s">
        <v>22</v>
      </c>
      <c r="J883" s="12" t="s">
        <v>18</v>
      </c>
      <c r="K883">
        <v>1</v>
      </c>
      <c r="L883">
        <v>0</v>
      </c>
      <c r="M883" t="s">
        <v>19</v>
      </c>
      <c r="N883" s="6">
        <v>75000</v>
      </c>
      <c r="O883">
        <f>Table13[[#This Row],[Adults]]+Table13[[#This Row],[Children]]</f>
        <v>1</v>
      </c>
      <c r="P883">
        <f>_xlfn.DAYS(Table13[[#This Row],[Depart]],Table13[[#This Row],[Arrive]])</f>
        <v>1</v>
      </c>
    </row>
    <row r="884" spans="1:16" x14ac:dyDescent="0.25">
      <c r="A884" t="s">
        <v>416</v>
      </c>
      <c r="B884" t="s">
        <v>417</v>
      </c>
      <c r="C884" t="s">
        <v>2226</v>
      </c>
      <c r="D884" s="1">
        <v>44172</v>
      </c>
      <c r="E884" s="1">
        <v>44176</v>
      </c>
      <c r="F884" s="1">
        <v>44148</v>
      </c>
      <c r="G884" s="2">
        <v>0.5</v>
      </c>
      <c r="H884" s="2">
        <v>0.58333333333333337</v>
      </c>
      <c r="I884" t="s">
        <v>22</v>
      </c>
      <c r="J884" s="12" t="s">
        <v>18</v>
      </c>
      <c r="K884">
        <v>4</v>
      </c>
      <c r="L884">
        <v>0</v>
      </c>
      <c r="M884" t="s">
        <v>19</v>
      </c>
      <c r="N884" s="6">
        <v>516</v>
      </c>
      <c r="O884">
        <f>Table13[[#This Row],[Adults]]+Table13[[#This Row],[Children]]</f>
        <v>4</v>
      </c>
      <c r="P884">
        <f>_xlfn.DAYS(Table13[[#This Row],[Depart]],Table13[[#This Row],[Arrive]])</f>
        <v>4</v>
      </c>
    </row>
    <row r="885" spans="1:16" x14ac:dyDescent="0.25">
      <c r="A885" t="s">
        <v>1145</v>
      </c>
      <c r="B885" t="s">
        <v>1146</v>
      </c>
      <c r="C885" t="s">
        <v>2226</v>
      </c>
      <c r="D885" s="1">
        <v>44172</v>
      </c>
      <c r="E885" s="1">
        <v>44175</v>
      </c>
      <c r="F885" s="1">
        <v>44166</v>
      </c>
      <c r="G885" s="2">
        <v>0.5</v>
      </c>
      <c r="H885" s="2">
        <v>0.58333333333333337</v>
      </c>
      <c r="I885" t="s">
        <v>22</v>
      </c>
      <c r="J885" s="12" t="s">
        <v>18</v>
      </c>
      <c r="K885">
        <v>3</v>
      </c>
      <c r="L885">
        <v>0</v>
      </c>
      <c r="M885" t="s">
        <v>19</v>
      </c>
      <c r="N885" s="6">
        <v>225000</v>
      </c>
      <c r="O885">
        <f>Table13[[#This Row],[Adults]]+Table13[[#This Row],[Children]]</f>
        <v>3</v>
      </c>
      <c r="P885">
        <f>_xlfn.DAYS(Table13[[#This Row],[Depart]],Table13[[#This Row],[Arrive]])</f>
        <v>3</v>
      </c>
    </row>
    <row r="886" spans="1:16" x14ac:dyDescent="0.25">
      <c r="A886" t="s">
        <v>1107</v>
      </c>
      <c r="B886" t="s">
        <v>1108</v>
      </c>
      <c r="C886" t="s">
        <v>2226</v>
      </c>
      <c r="D886" s="1">
        <v>44173</v>
      </c>
      <c r="E886" s="1">
        <v>44174</v>
      </c>
      <c r="F886" s="1">
        <v>44160</v>
      </c>
      <c r="G886" s="2">
        <v>0.5</v>
      </c>
      <c r="H886" s="2">
        <v>0.58333333333333337</v>
      </c>
      <c r="I886" t="s">
        <v>22</v>
      </c>
      <c r="J886" s="12" t="s">
        <v>18</v>
      </c>
      <c r="K886">
        <v>1</v>
      </c>
      <c r="L886">
        <v>0</v>
      </c>
      <c r="M886" t="s">
        <v>19</v>
      </c>
      <c r="N886" s="6">
        <v>130000</v>
      </c>
      <c r="O886">
        <f>Table13[[#This Row],[Adults]]+Table13[[#This Row],[Children]]</f>
        <v>1</v>
      </c>
      <c r="P886">
        <f>_xlfn.DAYS(Table13[[#This Row],[Depart]],Table13[[#This Row],[Arrive]])</f>
        <v>1</v>
      </c>
    </row>
    <row r="887" spans="1:16" x14ac:dyDescent="0.25">
      <c r="A887" t="s">
        <v>923</v>
      </c>
      <c r="B887" t="s">
        <v>924</v>
      </c>
      <c r="C887" t="s">
        <v>2226</v>
      </c>
      <c r="D887" s="1">
        <v>44174</v>
      </c>
      <c r="E887" s="1">
        <v>44181</v>
      </c>
      <c r="F887" s="1">
        <v>44124</v>
      </c>
      <c r="G887" s="2">
        <v>0.5</v>
      </c>
      <c r="H887" s="2">
        <v>0.58333333333333337</v>
      </c>
      <c r="I887" t="s">
        <v>22</v>
      </c>
      <c r="J887" s="12" t="s">
        <v>18</v>
      </c>
      <c r="K887">
        <v>3</v>
      </c>
      <c r="L887">
        <v>0</v>
      </c>
      <c r="M887" t="s">
        <v>19</v>
      </c>
      <c r="N887" s="6">
        <v>910000</v>
      </c>
      <c r="O887">
        <f>Table13[[#This Row],[Adults]]+Table13[[#This Row],[Children]]</f>
        <v>3</v>
      </c>
      <c r="P887">
        <f>_xlfn.DAYS(Table13[[#This Row],[Depart]],Table13[[#This Row],[Arrive]])</f>
        <v>7</v>
      </c>
    </row>
    <row r="888" spans="1:16" x14ac:dyDescent="0.25">
      <c r="A888" t="s">
        <v>975</v>
      </c>
      <c r="B888" t="s">
        <v>976</v>
      </c>
      <c r="C888" t="s">
        <v>2224</v>
      </c>
      <c r="D888" s="1">
        <v>44174</v>
      </c>
      <c r="E888" s="1">
        <v>44176</v>
      </c>
      <c r="F888" s="1">
        <v>44135</v>
      </c>
      <c r="G888" s="2">
        <v>0.33333333333333331</v>
      </c>
      <c r="H888" s="3">
        <v>1</v>
      </c>
      <c r="I888" t="s">
        <v>26</v>
      </c>
      <c r="J888" s="12" t="s">
        <v>18</v>
      </c>
      <c r="K888">
        <v>3</v>
      </c>
      <c r="L888">
        <v>0</v>
      </c>
      <c r="M888" t="s">
        <v>19</v>
      </c>
      <c r="N888" s="6">
        <v>233</v>
      </c>
      <c r="O888">
        <f>Table13[[#This Row],[Adults]]+Table13[[#This Row],[Children]]</f>
        <v>3</v>
      </c>
      <c r="P888">
        <f>_xlfn.DAYS(Table13[[#This Row],[Depart]],Table13[[#This Row],[Arrive]])</f>
        <v>2</v>
      </c>
    </row>
    <row r="889" spans="1:16" x14ac:dyDescent="0.25">
      <c r="A889" t="s">
        <v>935</v>
      </c>
      <c r="B889" t="s">
        <v>936</v>
      </c>
      <c r="C889" t="s">
        <v>2226</v>
      </c>
      <c r="D889" s="1">
        <v>44175</v>
      </c>
      <c r="E889" s="1">
        <v>44179</v>
      </c>
      <c r="F889" s="1">
        <v>44126</v>
      </c>
      <c r="G889" s="2">
        <v>0.5</v>
      </c>
      <c r="H889" s="2">
        <v>0.58333333333333337</v>
      </c>
      <c r="I889" t="s">
        <v>22</v>
      </c>
      <c r="J889" s="12" t="s">
        <v>18</v>
      </c>
      <c r="K889">
        <v>1</v>
      </c>
      <c r="L889">
        <v>0</v>
      </c>
      <c r="M889" t="s">
        <v>19</v>
      </c>
      <c r="N889" s="6">
        <v>520000</v>
      </c>
      <c r="O889">
        <f>Table13[[#This Row],[Adults]]+Table13[[#This Row],[Children]]</f>
        <v>1</v>
      </c>
      <c r="P889">
        <f>_xlfn.DAYS(Table13[[#This Row],[Depart]],Table13[[#This Row],[Arrive]])</f>
        <v>4</v>
      </c>
    </row>
    <row r="890" spans="1:16" x14ac:dyDescent="0.25">
      <c r="A890" t="s">
        <v>737</v>
      </c>
      <c r="B890" t="s">
        <v>738</v>
      </c>
      <c r="C890" t="s">
        <v>2228</v>
      </c>
      <c r="D890" s="1">
        <v>44176</v>
      </c>
      <c r="E890" s="1">
        <v>44188</v>
      </c>
      <c r="F890" s="1">
        <v>44081</v>
      </c>
      <c r="G890" s="2">
        <v>0.58333333333333337</v>
      </c>
      <c r="H890" s="2">
        <v>0.45833333333333331</v>
      </c>
      <c r="I890" t="s">
        <v>22</v>
      </c>
      <c r="J890" s="12" t="s">
        <v>18</v>
      </c>
      <c r="K890">
        <v>5</v>
      </c>
      <c r="L890">
        <v>0</v>
      </c>
      <c r="M890" t="s">
        <v>19</v>
      </c>
      <c r="N890" s="6">
        <v>1419</v>
      </c>
      <c r="O890">
        <f>Table13[[#This Row],[Adults]]+Table13[[#This Row],[Children]]</f>
        <v>5</v>
      </c>
      <c r="P890">
        <f>_xlfn.DAYS(Table13[[#This Row],[Depart]],Table13[[#This Row],[Arrive]])</f>
        <v>12</v>
      </c>
    </row>
    <row r="891" spans="1:16" x14ac:dyDescent="0.25">
      <c r="A891" t="s">
        <v>1051</v>
      </c>
      <c r="B891" t="s">
        <v>1052</v>
      </c>
      <c r="C891" t="s">
        <v>2226</v>
      </c>
      <c r="D891" s="1">
        <v>44176</v>
      </c>
      <c r="E891" s="1">
        <v>44179</v>
      </c>
      <c r="F891" s="1">
        <v>44147</v>
      </c>
      <c r="G891" s="2">
        <v>0.5</v>
      </c>
      <c r="H891" s="2">
        <v>0.58333333333333337</v>
      </c>
      <c r="I891" t="s">
        <v>22</v>
      </c>
      <c r="J891" s="12" t="s">
        <v>18</v>
      </c>
      <c r="K891">
        <v>1</v>
      </c>
      <c r="L891">
        <v>0</v>
      </c>
      <c r="M891" t="s">
        <v>19</v>
      </c>
      <c r="N891" s="6">
        <v>390000</v>
      </c>
      <c r="O891">
        <f>Table13[[#This Row],[Adults]]+Table13[[#This Row],[Children]]</f>
        <v>1</v>
      </c>
      <c r="P891">
        <f>_xlfn.DAYS(Table13[[#This Row],[Depart]],Table13[[#This Row],[Arrive]])</f>
        <v>3</v>
      </c>
    </row>
    <row r="892" spans="1:16" x14ac:dyDescent="0.25">
      <c r="A892" t="s">
        <v>989</v>
      </c>
      <c r="B892" t="s">
        <v>990</v>
      </c>
      <c r="C892" t="s">
        <v>2228</v>
      </c>
      <c r="D892" s="1">
        <v>44176</v>
      </c>
      <c r="E892" s="1">
        <v>44178</v>
      </c>
      <c r="F892" s="1">
        <v>44159</v>
      </c>
      <c r="G892" s="2">
        <v>0.58333333333333337</v>
      </c>
      <c r="H892" s="2">
        <v>0.45833333333333331</v>
      </c>
      <c r="I892" t="s">
        <v>22</v>
      </c>
      <c r="J892" s="12" t="s">
        <v>23</v>
      </c>
      <c r="K892">
        <v>6</v>
      </c>
      <c r="L892">
        <v>0</v>
      </c>
      <c r="M892" t="s">
        <v>19</v>
      </c>
      <c r="N892" s="6">
        <v>258</v>
      </c>
      <c r="O892">
        <f>Table13[[#This Row],[Adults]]+Table13[[#This Row],[Children]]</f>
        <v>6</v>
      </c>
      <c r="P892">
        <f>_xlfn.DAYS(Table13[[#This Row],[Depart]],Table13[[#This Row],[Arrive]])</f>
        <v>2</v>
      </c>
    </row>
    <row r="893" spans="1:16" x14ac:dyDescent="0.25">
      <c r="A893" t="s">
        <v>1105</v>
      </c>
      <c r="B893" t="s">
        <v>1106</v>
      </c>
      <c r="C893" t="s">
        <v>2228</v>
      </c>
      <c r="D893" s="1">
        <v>44176</v>
      </c>
      <c r="E893" s="1">
        <v>44178</v>
      </c>
      <c r="F893" s="1">
        <v>44159</v>
      </c>
      <c r="G893" s="2">
        <v>0.58333333333333337</v>
      </c>
      <c r="H893" s="2">
        <v>0.45833333333333331</v>
      </c>
      <c r="I893" t="s">
        <v>26</v>
      </c>
      <c r="J893" s="12" t="s">
        <v>18</v>
      </c>
      <c r="K893">
        <v>1</v>
      </c>
      <c r="L893">
        <v>0</v>
      </c>
      <c r="M893" t="s">
        <v>19</v>
      </c>
      <c r="N893" s="6">
        <v>241</v>
      </c>
      <c r="O893">
        <f>Table13[[#This Row],[Adults]]+Table13[[#This Row],[Children]]</f>
        <v>1</v>
      </c>
      <c r="P893">
        <f>_xlfn.DAYS(Table13[[#This Row],[Depart]],Table13[[#This Row],[Arrive]])</f>
        <v>2</v>
      </c>
    </row>
    <row r="894" spans="1:16" x14ac:dyDescent="0.25">
      <c r="A894" t="s">
        <v>989</v>
      </c>
      <c r="B894" t="s">
        <v>990</v>
      </c>
      <c r="C894" t="s">
        <v>2225</v>
      </c>
      <c r="D894" s="1">
        <v>44176</v>
      </c>
      <c r="E894" s="1">
        <v>44178</v>
      </c>
      <c r="F894" s="1">
        <v>44147</v>
      </c>
      <c r="G894" s="2">
        <v>0.33333333333333331</v>
      </c>
      <c r="H894" s="3">
        <v>1</v>
      </c>
      <c r="I894" t="s">
        <v>22</v>
      </c>
      <c r="J894" s="12" t="s">
        <v>18</v>
      </c>
      <c r="K894">
        <v>6</v>
      </c>
      <c r="L894">
        <v>0</v>
      </c>
      <c r="M894" t="s">
        <v>19</v>
      </c>
      <c r="N894" s="6">
        <v>258</v>
      </c>
      <c r="O894">
        <f>Table13[[#This Row],[Adults]]+Table13[[#This Row],[Children]]</f>
        <v>6</v>
      </c>
      <c r="P894">
        <f>_xlfn.DAYS(Table13[[#This Row],[Depart]],Table13[[#This Row],[Arrive]])</f>
        <v>2</v>
      </c>
    </row>
    <row r="895" spans="1:16" x14ac:dyDescent="0.25">
      <c r="A895" t="s">
        <v>1117</v>
      </c>
      <c r="B895" t="s">
        <v>1118</v>
      </c>
      <c r="C895" t="s">
        <v>2226</v>
      </c>
      <c r="D895" s="1">
        <v>44176</v>
      </c>
      <c r="E895" s="1">
        <v>44178</v>
      </c>
      <c r="F895" s="1">
        <v>44162</v>
      </c>
      <c r="G895" s="2">
        <v>0.5</v>
      </c>
      <c r="H895" s="2">
        <v>0.58333333333333337</v>
      </c>
      <c r="I895" t="s">
        <v>22</v>
      </c>
      <c r="J895" s="12" t="s">
        <v>18</v>
      </c>
      <c r="K895">
        <v>10</v>
      </c>
      <c r="L895">
        <v>0</v>
      </c>
      <c r="M895" t="s">
        <v>19</v>
      </c>
      <c r="N895" s="6">
        <v>0</v>
      </c>
      <c r="O895">
        <f>Table13[[#This Row],[Adults]]+Table13[[#This Row],[Children]]</f>
        <v>10</v>
      </c>
      <c r="P895">
        <f>_xlfn.DAYS(Table13[[#This Row],[Depart]],Table13[[#This Row],[Arrive]])</f>
        <v>2</v>
      </c>
    </row>
    <row r="896" spans="1:16" x14ac:dyDescent="0.25">
      <c r="A896" t="s">
        <v>1117</v>
      </c>
      <c r="B896" t="s">
        <v>1118</v>
      </c>
      <c r="C896" t="s">
        <v>2226</v>
      </c>
      <c r="D896" s="1">
        <v>44176</v>
      </c>
      <c r="E896" s="1">
        <v>44178</v>
      </c>
      <c r="F896" s="1">
        <v>44162</v>
      </c>
      <c r="G896" s="2">
        <v>0.5</v>
      </c>
      <c r="H896" s="2">
        <v>0.58333333333333337</v>
      </c>
      <c r="I896" t="s">
        <v>22</v>
      </c>
      <c r="J896" s="12" t="s">
        <v>18</v>
      </c>
      <c r="K896">
        <v>10</v>
      </c>
      <c r="L896">
        <v>0</v>
      </c>
      <c r="M896" t="s">
        <v>19</v>
      </c>
      <c r="N896" s="6">
        <v>0</v>
      </c>
      <c r="O896">
        <f>Table13[[#This Row],[Adults]]+Table13[[#This Row],[Children]]</f>
        <v>10</v>
      </c>
      <c r="P896">
        <f>_xlfn.DAYS(Table13[[#This Row],[Depart]],Table13[[#This Row],[Arrive]])</f>
        <v>2</v>
      </c>
    </row>
    <row r="897" spans="1:16" x14ac:dyDescent="0.25">
      <c r="A897" t="s">
        <v>1111</v>
      </c>
      <c r="B897" t="s">
        <v>1112</v>
      </c>
      <c r="C897" t="s">
        <v>2224</v>
      </c>
      <c r="D897" s="1">
        <v>44177</v>
      </c>
      <c r="E897" s="1">
        <v>44179</v>
      </c>
      <c r="F897" s="1">
        <v>44102</v>
      </c>
      <c r="G897" s="2">
        <v>0.33333333333333331</v>
      </c>
      <c r="H897" s="3">
        <v>1</v>
      </c>
      <c r="I897" t="s">
        <v>22</v>
      </c>
      <c r="J897" s="12" t="s">
        <v>18</v>
      </c>
      <c r="K897">
        <v>6</v>
      </c>
      <c r="L897">
        <v>0</v>
      </c>
      <c r="M897" t="s">
        <v>19</v>
      </c>
      <c r="N897" s="6">
        <v>258</v>
      </c>
      <c r="O897">
        <f>Table13[[#This Row],[Adults]]+Table13[[#This Row],[Children]]</f>
        <v>6</v>
      </c>
      <c r="P897">
        <f>_xlfn.DAYS(Table13[[#This Row],[Depart]],Table13[[#This Row],[Arrive]])</f>
        <v>2</v>
      </c>
    </row>
    <row r="898" spans="1:16" x14ac:dyDescent="0.25">
      <c r="A898" t="s">
        <v>1111</v>
      </c>
      <c r="B898" t="s">
        <v>1112</v>
      </c>
      <c r="C898" t="s">
        <v>2225</v>
      </c>
      <c r="D898" s="1">
        <v>44177</v>
      </c>
      <c r="E898" s="1">
        <v>44179</v>
      </c>
      <c r="F898" s="1">
        <v>44161</v>
      </c>
      <c r="G898" s="2">
        <v>0.33333333333333331</v>
      </c>
      <c r="H898" s="3">
        <v>1</v>
      </c>
      <c r="I898" t="s">
        <v>22</v>
      </c>
      <c r="J898" s="12" t="s">
        <v>18</v>
      </c>
      <c r="K898">
        <v>5</v>
      </c>
      <c r="L898">
        <v>0</v>
      </c>
      <c r="M898" t="s">
        <v>19</v>
      </c>
      <c r="N898" s="6">
        <v>258</v>
      </c>
      <c r="O898">
        <f>Table13[[#This Row],[Adults]]+Table13[[#This Row],[Children]]</f>
        <v>5</v>
      </c>
      <c r="P898">
        <f>_xlfn.DAYS(Table13[[#This Row],[Depart]],Table13[[#This Row],[Arrive]])</f>
        <v>2</v>
      </c>
    </row>
    <row r="899" spans="1:16" x14ac:dyDescent="0.25">
      <c r="A899" t="s">
        <v>1087</v>
      </c>
      <c r="B899" t="s">
        <v>1088</v>
      </c>
      <c r="C899" t="s">
        <v>2226</v>
      </c>
      <c r="D899" s="1">
        <v>44178</v>
      </c>
      <c r="E899" s="1">
        <v>44180</v>
      </c>
      <c r="F899" s="1">
        <v>44154</v>
      </c>
      <c r="G899" s="2">
        <v>0.5</v>
      </c>
      <c r="H899" s="2">
        <v>0.58333333333333337</v>
      </c>
      <c r="I899" t="s">
        <v>22</v>
      </c>
      <c r="J899" s="12" t="s">
        <v>18</v>
      </c>
      <c r="K899">
        <v>2</v>
      </c>
      <c r="L899">
        <v>0</v>
      </c>
      <c r="M899" t="s">
        <v>19</v>
      </c>
      <c r="N899" s="6">
        <v>150000</v>
      </c>
      <c r="O899">
        <f>Table13[[#This Row],[Adults]]+Table13[[#This Row],[Children]]</f>
        <v>2</v>
      </c>
      <c r="P899">
        <f>_xlfn.DAYS(Table13[[#This Row],[Depart]],Table13[[#This Row],[Arrive]])</f>
        <v>2</v>
      </c>
    </row>
    <row r="900" spans="1:16" x14ac:dyDescent="0.25">
      <c r="A900" t="s">
        <v>857</v>
      </c>
      <c r="B900" t="s">
        <v>858</v>
      </c>
      <c r="C900" t="s">
        <v>2226</v>
      </c>
      <c r="D900" s="1">
        <v>44179</v>
      </c>
      <c r="E900" s="1">
        <v>44183</v>
      </c>
      <c r="F900" s="1">
        <v>44121</v>
      </c>
      <c r="G900" s="2">
        <v>0.5</v>
      </c>
      <c r="H900" s="2">
        <v>0.58333333333333337</v>
      </c>
      <c r="I900" t="s">
        <v>22</v>
      </c>
      <c r="J900" s="12" t="s">
        <v>18</v>
      </c>
      <c r="K900">
        <v>4</v>
      </c>
      <c r="L900">
        <v>0</v>
      </c>
      <c r="M900" t="s">
        <v>19</v>
      </c>
      <c r="N900" s="6">
        <v>516</v>
      </c>
      <c r="O900">
        <f>Table13[[#This Row],[Adults]]+Table13[[#This Row],[Children]]</f>
        <v>4</v>
      </c>
      <c r="P900">
        <f>_xlfn.DAYS(Table13[[#This Row],[Depart]],Table13[[#This Row],[Arrive]])</f>
        <v>4</v>
      </c>
    </row>
    <row r="901" spans="1:16" x14ac:dyDescent="0.25">
      <c r="A901" t="s">
        <v>843</v>
      </c>
      <c r="B901" t="s">
        <v>844</v>
      </c>
      <c r="C901" t="s">
        <v>2226</v>
      </c>
      <c r="D901" s="1">
        <v>44180</v>
      </c>
      <c r="E901" s="1">
        <v>44181</v>
      </c>
      <c r="F901" s="1">
        <v>44107</v>
      </c>
      <c r="G901" s="2">
        <v>0.5</v>
      </c>
      <c r="H901" s="2">
        <v>0.58333333333333337</v>
      </c>
      <c r="I901" t="s">
        <v>26</v>
      </c>
      <c r="J901" s="12" t="s">
        <v>18</v>
      </c>
      <c r="K901">
        <v>1</v>
      </c>
      <c r="L901">
        <v>0</v>
      </c>
      <c r="M901" t="s">
        <v>19</v>
      </c>
      <c r="N901" s="6">
        <v>118</v>
      </c>
      <c r="O901">
        <f>Table13[[#This Row],[Adults]]+Table13[[#This Row],[Children]]</f>
        <v>1</v>
      </c>
      <c r="P901">
        <f>_xlfn.DAYS(Table13[[#This Row],[Depart]],Table13[[#This Row],[Arrive]])</f>
        <v>1</v>
      </c>
    </row>
    <row r="902" spans="1:16" x14ac:dyDescent="0.25">
      <c r="A902" t="s">
        <v>1127</v>
      </c>
      <c r="B902" t="s">
        <v>1128</v>
      </c>
      <c r="C902" t="s">
        <v>2228</v>
      </c>
      <c r="D902" s="1">
        <v>44181</v>
      </c>
      <c r="E902" s="1">
        <v>44184</v>
      </c>
      <c r="F902" s="1">
        <v>44163</v>
      </c>
      <c r="G902" s="2">
        <v>0.58333333333333337</v>
      </c>
      <c r="H902" s="2">
        <v>0.45833333333333331</v>
      </c>
      <c r="I902" t="s">
        <v>26</v>
      </c>
      <c r="J902" s="12" t="s">
        <v>18</v>
      </c>
      <c r="K902">
        <v>1</v>
      </c>
      <c r="L902">
        <v>0</v>
      </c>
      <c r="M902" t="s">
        <v>19</v>
      </c>
      <c r="N902" s="6">
        <v>361</v>
      </c>
      <c r="O902">
        <f>Table13[[#This Row],[Adults]]+Table13[[#This Row],[Children]]</f>
        <v>1</v>
      </c>
      <c r="P902">
        <f>_xlfn.DAYS(Table13[[#This Row],[Depart]],Table13[[#This Row],[Arrive]])</f>
        <v>3</v>
      </c>
    </row>
    <row r="903" spans="1:16" x14ac:dyDescent="0.25">
      <c r="A903" t="s">
        <v>84</v>
      </c>
      <c r="B903" t="s">
        <v>85</v>
      </c>
      <c r="C903" t="s">
        <v>2228</v>
      </c>
      <c r="D903" s="1">
        <v>44181</v>
      </c>
      <c r="E903" s="1">
        <v>44184</v>
      </c>
      <c r="F903" s="1">
        <v>44167</v>
      </c>
      <c r="G903" s="2">
        <v>0.58333333333333337</v>
      </c>
      <c r="H903" s="2">
        <v>0.45833333333333331</v>
      </c>
      <c r="I903" t="s">
        <v>26</v>
      </c>
      <c r="J903" s="12" t="s">
        <v>18</v>
      </c>
      <c r="K903">
        <v>1</v>
      </c>
      <c r="L903">
        <v>0</v>
      </c>
      <c r="M903" t="s">
        <v>19</v>
      </c>
      <c r="N903" s="6">
        <v>361</v>
      </c>
      <c r="O903">
        <f>Table13[[#This Row],[Adults]]+Table13[[#This Row],[Children]]</f>
        <v>1</v>
      </c>
      <c r="P903">
        <f>_xlfn.DAYS(Table13[[#This Row],[Depart]],Table13[[#This Row],[Arrive]])</f>
        <v>3</v>
      </c>
    </row>
    <row r="904" spans="1:16" x14ac:dyDescent="0.25">
      <c r="A904" t="s">
        <v>1155</v>
      </c>
      <c r="B904" t="s">
        <v>1156</v>
      </c>
      <c r="C904" t="s">
        <v>2226</v>
      </c>
      <c r="D904" s="1">
        <v>44181</v>
      </c>
      <c r="E904" s="1">
        <v>44182</v>
      </c>
      <c r="F904" s="1">
        <v>44167</v>
      </c>
      <c r="G904" s="2">
        <v>0.5</v>
      </c>
      <c r="H904" s="2">
        <v>0.58333333333333337</v>
      </c>
      <c r="I904" t="s">
        <v>22</v>
      </c>
      <c r="J904" s="12" t="s">
        <v>18</v>
      </c>
      <c r="K904">
        <v>5</v>
      </c>
      <c r="L904">
        <v>0</v>
      </c>
      <c r="M904" t="s">
        <v>19</v>
      </c>
      <c r="N904" s="6">
        <v>75000</v>
      </c>
      <c r="O904">
        <f>Table13[[#This Row],[Adults]]+Table13[[#This Row],[Children]]</f>
        <v>5</v>
      </c>
      <c r="P904">
        <f>_xlfn.DAYS(Table13[[#This Row],[Depart]],Table13[[#This Row],[Arrive]])</f>
        <v>1</v>
      </c>
    </row>
    <row r="905" spans="1:16" x14ac:dyDescent="0.25">
      <c r="A905" t="s">
        <v>1155</v>
      </c>
      <c r="B905" t="s">
        <v>1156</v>
      </c>
      <c r="C905" t="s">
        <v>2226</v>
      </c>
      <c r="D905" s="1">
        <v>44181</v>
      </c>
      <c r="E905" s="1">
        <v>44183</v>
      </c>
      <c r="F905" s="1">
        <v>44167</v>
      </c>
      <c r="G905" s="2">
        <v>0.5</v>
      </c>
      <c r="H905" s="2">
        <v>0.58333333333333337</v>
      </c>
      <c r="I905" t="s">
        <v>22</v>
      </c>
      <c r="J905" s="12" t="s">
        <v>18</v>
      </c>
      <c r="K905">
        <v>6</v>
      </c>
      <c r="L905">
        <v>0</v>
      </c>
      <c r="M905" t="s">
        <v>19</v>
      </c>
      <c r="N905" s="6">
        <v>150000</v>
      </c>
      <c r="O905">
        <f>Table13[[#This Row],[Adults]]+Table13[[#This Row],[Children]]</f>
        <v>6</v>
      </c>
      <c r="P905">
        <f>_xlfn.DAYS(Table13[[#This Row],[Depart]],Table13[[#This Row],[Arrive]])</f>
        <v>2</v>
      </c>
    </row>
    <row r="906" spans="1:16" x14ac:dyDescent="0.25">
      <c r="A906" t="s">
        <v>1121</v>
      </c>
      <c r="B906" t="s">
        <v>1122</v>
      </c>
      <c r="C906" t="s">
        <v>2226</v>
      </c>
      <c r="D906" s="1">
        <v>44182</v>
      </c>
      <c r="E906" s="1">
        <v>44183</v>
      </c>
      <c r="F906" s="1">
        <v>44162</v>
      </c>
      <c r="G906" s="2">
        <v>0.5</v>
      </c>
      <c r="H906" s="2">
        <v>0.58333333333333337</v>
      </c>
      <c r="I906" t="s">
        <v>26</v>
      </c>
      <c r="J906" s="12" t="s">
        <v>18</v>
      </c>
      <c r="K906">
        <v>1</v>
      </c>
      <c r="L906">
        <v>0</v>
      </c>
      <c r="M906" t="s">
        <v>19</v>
      </c>
      <c r="N906" s="6">
        <v>120</v>
      </c>
      <c r="O906">
        <f>Table13[[#This Row],[Adults]]+Table13[[#This Row],[Children]]</f>
        <v>1</v>
      </c>
      <c r="P906">
        <f>_xlfn.DAYS(Table13[[#This Row],[Depart]],Table13[[#This Row],[Arrive]])</f>
        <v>1</v>
      </c>
    </row>
    <row r="907" spans="1:16" x14ac:dyDescent="0.25">
      <c r="A907" t="s">
        <v>416</v>
      </c>
      <c r="B907" t="s">
        <v>417</v>
      </c>
      <c r="C907" t="s">
        <v>2222</v>
      </c>
      <c r="D907" s="1">
        <v>44183</v>
      </c>
      <c r="E907" s="1">
        <v>44193</v>
      </c>
      <c r="F907" s="1">
        <v>44137</v>
      </c>
      <c r="G907" s="2">
        <v>0.45833333333333331</v>
      </c>
      <c r="H907" s="2">
        <v>0.41666666666666669</v>
      </c>
      <c r="I907" t="s">
        <v>22</v>
      </c>
      <c r="J907" s="12" t="s">
        <v>18</v>
      </c>
      <c r="K907">
        <v>2</v>
      </c>
      <c r="L907">
        <v>0</v>
      </c>
      <c r="M907" t="s">
        <v>19</v>
      </c>
      <c r="N907" s="6">
        <v>0</v>
      </c>
      <c r="O907">
        <f>Table13[[#This Row],[Adults]]+Table13[[#This Row],[Children]]</f>
        <v>2</v>
      </c>
      <c r="P907">
        <f>_xlfn.DAYS(Table13[[#This Row],[Depart]],Table13[[#This Row],[Arrive]])</f>
        <v>10</v>
      </c>
    </row>
    <row r="908" spans="1:16" x14ac:dyDescent="0.25">
      <c r="A908" t="s">
        <v>426</v>
      </c>
      <c r="B908" t="s">
        <v>427</v>
      </c>
      <c r="C908" t="s">
        <v>2229</v>
      </c>
      <c r="D908" s="1">
        <v>44183</v>
      </c>
      <c r="E908" s="1">
        <v>44186</v>
      </c>
      <c r="F908" s="1">
        <v>44050</v>
      </c>
      <c r="G908" s="2">
        <v>0.45833333333333331</v>
      </c>
      <c r="H908" s="2">
        <v>0.5</v>
      </c>
      <c r="I908" t="s">
        <v>22</v>
      </c>
      <c r="J908" s="12" t="s">
        <v>23</v>
      </c>
      <c r="K908">
        <v>8</v>
      </c>
      <c r="L908">
        <v>0</v>
      </c>
      <c r="M908" t="s">
        <v>19</v>
      </c>
      <c r="N908" s="6">
        <v>706.27</v>
      </c>
      <c r="O908">
        <f>Table13[[#This Row],[Adults]]+Table13[[#This Row],[Children]]</f>
        <v>8</v>
      </c>
      <c r="P908">
        <f>_xlfn.DAYS(Table13[[#This Row],[Depart]],Table13[[#This Row],[Arrive]])</f>
        <v>3</v>
      </c>
    </row>
    <row r="909" spans="1:16" x14ac:dyDescent="0.25">
      <c r="A909" t="s">
        <v>426</v>
      </c>
      <c r="B909" t="s">
        <v>427</v>
      </c>
      <c r="C909" t="s">
        <v>2227</v>
      </c>
      <c r="D909" s="1">
        <v>44183</v>
      </c>
      <c r="E909" s="1">
        <v>44185</v>
      </c>
      <c r="F909" s="1">
        <v>44046</v>
      </c>
      <c r="G909" s="2">
        <v>0.58333333333333337</v>
      </c>
      <c r="H909" s="2">
        <v>0.45833333333333331</v>
      </c>
      <c r="I909" t="s">
        <v>22</v>
      </c>
      <c r="J909" s="12" t="s">
        <v>18</v>
      </c>
      <c r="K909">
        <v>5</v>
      </c>
      <c r="L909">
        <v>0</v>
      </c>
      <c r="M909" t="s">
        <v>19</v>
      </c>
      <c r="N909" s="6">
        <v>427.85</v>
      </c>
      <c r="O909">
        <f>Table13[[#This Row],[Adults]]+Table13[[#This Row],[Children]]</f>
        <v>5</v>
      </c>
      <c r="P909">
        <f>_xlfn.DAYS(Table13[[#This Row],[Depart]],Table13[[#This Row],[Arrive]])</f>
        <v>2</v>
      </c>
    </row>
    <row r="910" spans="1:16" x14ac:dyDescent="0.25">
      <c r="A910" t="s">
        <v>322</v>
      </c>
      <c r="B910" t="s">
        <v>323</v>
      </c>
      <c r="C910" t="s">
        <v>2228</v>
      </c>
      <c r="D910" s="1">
        <v>44183</v>
      </c>
      <c r="E910" s="1">
        <v>44186</v>
      </c>
      <c r="F910" s="1">
        <v>44166</v>
      </c>
      <c r="G910" s="2">
        <v>0.58333333333333337</v>
      </c>
      <c r="H910" s="2">
        <v>0.45833333333333331</v>
      </c>
      <c r="I910" t="s">
        <v>26</v>
      </c>
      <c r="J910" s="12" t="s">
        <v>18</v>
      </c>
      <c r="K910">
        <v>2</v>
      </c>
      <c r="L910">
        <v>0</v>
      </c>
      <c r="M910" t="s">
        <v>19</v>
      </c>
      <c r="N910" s="6">
        <v>361</v>
      </c>
      <c r="O910">
        <f>Table13[[#This Row],[Adults]]+Table13[[#This Row],[Children]]</f>
        <v>2</v>
      </c>
      <c r="P910">
        <f>_xlfn.DAYS(Table13[[#This Row],[Depart]],Table13[[#This Row],[Arrive]])</f>
        <v>3</v>
      </c>
    </row>
    <row r="911" spans="1:16" x14ac:dyDescent="0.25">
      <c r="A911" t="s">
        <v>1153</v>
      </c>
      <c r="B911" t="s">
        <v>1154</v>
      </c>
      <c r="C911" t="s">
        <v>2226</v>
      </c>
      <c r="D911" s="1">
        <v>44183</v>
      </c>
      <c r="E911" s="1">
        <v>44185</v>
      </c>
      <c r="F911" s="1">
        <v>44167</v>
      </c>
      <c r="G911" s="2">
        <v>0.5</v>
      </c>
      <c r="H911" s="2">
        <v>0.58333333333333337</v>
      </c>
      <c r="I911" t="s">
        <v>22</v>
      </c>
      <c r="J911" s="12" t="s">
        <v>18</v>
      </c>
      <c r="K911">
        <v>10</v>
      </c>
      <c r="L911">
        <v>0</v>
      </c>
      <c r="M911" t="s">
        <v>19</v>
      </c>
      <c r="N911" s="6">
        <v>0</v>
      </c>
      <c r="O911">
        <f>Table13[[#This Row],[Adults]]+Table13[[#This Row],[Children]]</f>
        <v>10</v>
      </c>
      <c r="P911">
        <f>_xlfn.DAYS(Table13[[#This Row],[Depart]],Table13[[#This Row],[Arrive]])</f>
        <v>2</v>
      </c>
    </row>
    <row r="912" spans="1:16" x14ac:dyDescent="0.25">
      <c r="A912" t="s">
        <v>1043</v>
      </c>
      <c r="B912" t="s">
        <v>1044</v>
      </c>
      <c r="C912" t="s">
        <v>2226</v>
      </c>
      <c r="D912" s="1">
        <v>44184</v>
      </c>
      <c r="E912" s="1">
        <v>44186</v>
      </c>
      <c r="F912" s="1">
        <v>44145</v>
      </c>
      <c r="G912" s="2">
        <v>0.5</v>
      </c>
      <c r="H912" s="2">
        <v>0.58333333333333337</v>
      </c>
      <c r="I912" t="s">
        <v>22</v>
      </c>
      <c r="J912" s="12" t="s">
        <v>18</v>
      </c>
      <c r="K912">
        <v>4</v>
      </c>
      <c r="L912">
        <v>0</v>
      </c>
      <c r="M912" t="s">
        <v>19</v>
      </c>
      <c r="N912" s="6">
        <v>150000</v>
      </c>
      <c r="O912">
        <f>Table13[[#This Row],[Adults]]+Table13[[#This Row],[Children]]</f>
        <v>4</v>
      </c>
      <c r="P912">
        <f>_xlfn.DAYS(Table13[[#This Row],[Depart]],Table13[[#This Row],[Arrive]])</f>
        <v>2</v>
      </c>
    </row>
    <row r="913" spans="1:16" x14ac:dyDescent="0.25">
      <c r="A913" t="s">
        <v>1045</v>
      </c>
      <c r="B913" t="s">
        <v>1046</v>
      </c>
      <c r="C913" t="s">
        <v>2226</v>
      </c>
      <c r="D913" s="1">
        <v>44184</v>
      </c>
      <c r="E913" s="1">
        <v>44186</v>
      </c>
      <c r="F913" s="1">
        <v>44146</v>
      </c>
      <c r="G913" s="2">
        <v>0.5</v>
      </c>
      <c r="H913" s="2">
        <v>0.58333333333333337</v>
      </c>
      <c r="I913" t="s">
        <v>26</v>
      </c>
      <c r="J913" s="12" t="s">
        <v>18</v>
      </c>
      <c r="K913">
        <v>6</v>
      </c>
      <c r="L913">
        <v>0</v>
      </c>
      <c r="M913" t="s">
        <v>19</v>
      </c>
      <c r="N913" s="6">
        <v>236</v>
      </c>
      <c r="O913">
        <f>Table13[[#This Row],[Adults]]+Table13[[#This Row],[Children]]</f>
        <v>6</v>
      </c>
      <c r="P913">
        <f>_xlfn.DAYS(Table13[[#This Row],[Depart]],Table13[[#This Row],[Arrive]])</f>
        <v>2</v>
      </c>
    </row>
    <row r="914" spans="1:16" x14ac:dyDescent="0.25">
      <c r="A914" t="s">
        <v>1043</v>
      </c>
      <c r="B914" t="s">
        <v>1044</v>
      </c>
      <c r="C914" t="s">
        <v>2226</v>
      </c>
      <c r="D914" s="1">
        <v>44184</v>
      </c>
      <c r="E914" s="1">
        <v>44186</v>
      </c>
      <c r="F914" s="1">
        <v>44150</v>
      </c>
      <c r="G914" s="2">
        <v>0.5</v>
      </c>
      <c r="H914" s="2">
        <v>0.58333333333333337</v>
      </c>
      <c r="I914" t="s">
        <v>22</v>
      </c>
      <c r="J914" s="12" t="s">
        <v>23</v>
      </c>
      <c r="K914">
        <v>6</v>
      </c>
      <c r="L914">
        <v>0</v>
      </c>
      <c r="M914" t="s">
        <v>19</v>
      </c>
      <c r="N914" s="6">
        <v>258</v>
      </c>
      <c r="O914">
        <f>Table13[[#This Row],[Adults]]+Table13[[#This Row],[Children]]</f>
        <v>6</v>
      </c>
      <c r="P914">
        <f>_xlfn.DAYS(Table13[[#This Row],[Depart]],Table13[[#This Row],[Arrive]])</f>
        <v>2</v>
      </c>
    </row>
    <row r="915" spans="1:16" x14ac:dyDescent="0.25">
      <c r="A915" t="s">
        <v>1143</v>
      </c>
      <c r="B915" t="s">
        <v>1144</v>
      </c>
      <c r="C915" t="s">
        <v>2226</v>
      </c>
      <c r="D915" s="1">
        <v>44185</v>
      </c>
      <c r="E915" s="1">
        <v>44188</v>
      </c>
      <c r="F915" s="1">
        <v>44166</v>
      </c>
      <c r="G915" s="2">
        <v>0.5</v>
      </c>
      <c r="H915" s="2">
        <v>0.58333333333333337</v>
      </c>
      <c r="I915" t="s">
        <v>22</v>
      </c>
      <c r="J915" s="12" t="s">
        <v>18</v>
      </c>
      <c r="K915">
        <v>4</v>
      </c>
      <c r="L915">
        <v>0</v>
      </c>
      <c r="M915" t="s">
        <v>19</v>
      </c>
      <c r="N915" s="6">
        <v>225000</v>
      </c>
      <c r="O915">
        <f>Table13[[#This Row],[Adults]]+Table13[[#This Row],[Children]]</f>
        <v>4</v>
      </c>
      <c r="P915">
        <f>_xlfn.DAYS(Table13[[#This Row],[Depart]],Table13[[#This Row],[Arrive]])</f>
        <v>3</v>
      </c>
    </row>
    <row r="916" spans="1:16" x14ac:dyDescent="0.25">
      <c r="A916" t="s">
        <v>1143</v>
      </c>
      <c r="B916" t="s">
        <v>1144</v>
      </c>
      <c r="C916" t="s">
        <v>2226</v>
      </c>
      <c r="D916" s="1">
        <v>44185</v>
      </c>
      <c r="E916" s="1">
        <v>44188</v>
      </c>
      <c r="F916" s="1">
        <v>44166</v>
      </c>
      <c r="G916" s="2">
        <v>0.5</v>
      </c>
      <c r="H916" s="2">
        <v>0.58333333333333337</v>
      </c>
      <c r="I916" t="s">
        <v>22</v>
      </c>
      <c r="J916" s="12" t="s">
        <v>18</v>
      </c>
      <c r="K916">
        <v>4</v>
      </c>
      <c r="L916">
        <v>0</v>
      </c>
      <c r="M916" t="s">
        <v>19</v>
      </c>
      <c r="N916" s="6">
        <v>225000</v>
      </c>
      <c r="O916">
        <f>Table13[[#This Row],[Adults]]+Table13[[#This Row],[Children]]</f>
        <v>4</v>
      </c>
      <c r="P916">
        <f>_xlfn.DAYS(Table13[[#This Row],[Depart]],Table13[[#This Row],[Arrive]])</f>
        <v>3</v>
      </c>
    </row>
    <row r="917" spans="1:16" x14ac:dyDescent="0.25">
      <c r="A917" t="s">
        <v>1143</v>
      </c>
      <c r="B917" t="s">
        <v>1144</v>
      </c>
      <c r="C917" t="s">
        <v>2226</v>
      </c>
      <c r="D917" s="1">
        <v>44185</v>
      </c>
      <c r="E917" s="1">
        <v>44188</v>
      </c>
      <c r="F917" s="1">
        <v>44166</v>
      </c>
      <c r="G917" s="2">
        <v>0.5</v>
      </c>
      <c r="H917" s="2">
        <v>0.58333333333333337</v>
      </c>
      <c r="I917" t="s">
        <v>22</v>
      </c>
      <c r="J917" s="12" t="s">
        <v>18</v>
      </c>
      <c r="K917">
        <v>4</v>
      </c>
      <c r="L917">
        <v>0</v>
      </c>
      <c r="M917" t="s">
        <v>19</v>
      </c>
      <c r="N917" s="6">
        <v>225000</v>
      </c>
      <c r="O917">
        <f>Table13[[#This Row],[Adults]]+Table13[[#This Row],[Children]]</f>
        <v>4</v>
      </c>
      <c r="P917">
        <f>_xlfn.DAYS(Table13[[#This Row],[Depart]],Table13[[#This Row],[Arrive]])</f>
        <v>3</v>
      </c>
    </row>
    <row r="918" spans="1:16" x14ac:dyDescent="0.25">
      <c r="A918" t="s">
        <v>1143</v>
      </c>
      <c r="B918" t="s">
        <v>1144</v>
      </c>
      <c r="C918" t="s">
        <v>2226</v>
      </c>
      <c r="D918" s="1">
        <v>44185</v>
      </c>
      <c r="E918" s="1">
        <v>44188</v>
      </c>
      <c r="F918" s="1">
        <v>44166</v>
      </c>
      <c r="G918" s="2">
        <v>0.5</v>
      </c>
      <c r="H918" s="2">
        <v>0.58333333333333337</v>
      </c>
      <c r="I918" t="s">
        <v>22</v>
      </c>
      <c r="J918" s="12" t="s">
        <v>18</v>
      </c>
      <c r="K918">
        <v>4</v>
      </c>
      <c r="L918">
        <v>0</v>
      </c>
      <c r="M918" t="s">
        <v>19</v>
      </c>
      <c r="N918" s="6">
        <v>225000</v>
      </c>
      <c r="O918">
        <f>Table13[[#This Row],[Adults]]+Table13[[#This Row],[Children]]</f>
        <v>4</v>
      </c>
      <c r="P918">
        <f>_xlfn.DAYS(Table13[[#This Row],[Depart]],Table13[[#This Row],[Arrive]])</f>
        <v>3</v>
      </c>
    </row>
    <row r="919" spans="1:16" x14ac:dyDescent="0.25">
      <c r="A919" t="s">
        <v>611</v>
      </c>
      <c r="B919" t="s">
        <v>612</v>
      </c>
      <c r="C919" t="s">
        <v>2228</v>
      </c>
      <c r="D919" s="1">
        <v>44186</v>
      </c>
      <c r="E919" s="1">
        <v>44187</v>
      </c>
      <c r="F919" s="1">
        <v>44056</v>
      </c>
      <c r="G919" s="2">
        <v>0.58333333333333337</v>
      </c>
      <c r="H919" s="2">
        <v>0.45833333333333331</v>
      </c>
      <c r="I919" t="s">
        <v>26</v>
      </c>
      <c r="J919" s="12" t="s">
        <v>18</v>
      </c>
      <c r="K919">
        <v>4</v>
      </c>
      <c r="L919">
        <v>0</v>
      </c>
      <c r="M919" t="s">
        <v>19</v>
      </c>
      <c r="N919" s="6">
        <v>140</v>
      </c>
      <c r="O919">
        <f>Table13[[#This Row],[Adults]]+Table13[[#This Row],[Children]]</f>
        <v>4</v>
      </c>
      <c r="P919">
        <f>_xlfn.DAYS(Table13[[#This Row],[Depart]],Table13[[#This Row],[Arrive]])</f>
        <v>1</v>
      </c>
    </row>
    <row r="920" spans="1:16" x14ac:dyDescent="0.25">
      <c r="A920" t="s">
        <v>454</v>
      </c>
      <c r="B920" t="s">
        <v>455</v>
      </c>
      <c r="C920" t="s">
        <v>2229</v>
      </c>
      <c r="D920" s="1">
        <v>44186</v>
      </c>
      <c r="E920" s="1">
        <v>44194</v>
      </c>
      <c r="F920" s="1">
        <v>44079</v>
      </c>
      <c r="G920" s="2">
        <v>0.45833333333333331</v>
      </c>
      <c r="H920" s="2">
        <v>0.41666666666666669</v>
      </c>
      <c r="I920" t="s">
        <v>22</v>
      </c>
      <c r="J920" s="12" t="s">
        <v>18</v>
      </c>
      <c r="K920">
        <v>6</v>
      </c>
      <c r="L920">
        <v>0</v>
      </c>
      <c r="M920" t="s">
        <v>19</v>
      </c>
      <c r="N920" s="6">
        <v>1118</v>
      </c>
      <c r="O920">
        <f>Table13[[#This Row],[Adults]]+Table13[[#This Row],[Children]]</f>
        <v>6</v>
      </c>
      <c r="P920">
        <f>_xlfn.DAYS(Table13[[#This Row],[Depart]],Table13[[#This Row],[Arrive]])</f>
        <v>8</v>
      </c>
    </row>
    <row r="921" spans="1:16" x14ac:dyDescent="0.25">
      <c r="A921" t="s">
        <v>845</v>
      </c>
      <c r="B921" t="s">
        <v>846</v>
      </c>
      <c r="C921" t="s">
        <v>2229</v>
      </c>
      <c r="D921" s="1">
        <v>44186</v>
      </c>
      <c r="E921" s="1">
        <v>44194</v>
      </c>
      <c r="F921" s="1">
        <v>44079</v>
      </c>
      <c r="G921" s="2">
        <v>0.58333333333333337</v>
      </c>
      <c r="H921" s="2">
        <v>0.5</v>
      </c>
      <c r="I921" t="s">
        <v>22</v>
      </c>
      <c r="J921" s="12" t="s">
        <v>23</v>
      </c>
      <c r="K921">
        <v>6</v>
      </c>
      <c r="L921">
        <v>0</v>
      </c>
      <c r="M921" t="s">
        <v>19</v>
      </c>
      <c r="N921" s="6">
        <v>1505</v>
      </c>
      <c r="O921">
        <f>Table13[[#This Row],[Adults]]+Table13[[#This Row],[Children]]</f>
        <v>6</v>
      </c>
      <c r="P921">
        <f>_xlfn.DAYS(Table13[[#This Row],[Depart]],Table13[[#This Row],[Arrive]])</f>
        <v>8</v>
      </c>
    </row>
    <row r="922" spans="1:16" x14ac:dyDescent="0.25">
      <c r="A922" t="s">
        <v>737</v>
      </c>
      <c r="B922" t="s">
        <v>738</v>
      </c>
      <c r="C922" t="s">
        <v>2227</v>
      </c>
      <c r="D922" s="1">
        <v>44188</v>
      </c>
      <c r="E922" s="1">
        <v>44194</v>
      </c>
      <c r="F922" s="1">
        <v>44081</v>
      </c>
      <c r="G922" s="2">
        <v>0.58333333333333337</v>
      </c>
      <c r="H922" s="2">
        <v>0.45833333333333331</v>
      </c>
      <c r="I922" t="s">
        <v>22</v>
      </c>
      <c r="J922" s="12" t="s">
        <v>18</v>
      </c>
      <c r="K922">
        <v>5</v>
      </c>
      <c r="L922">
        <v>0</v>
      </c>
      <c r="M922" t="s">
        <v>19</v>
      </c>
      <c r="N922" s="6">
        <v>806.25</v>
      </c>
      <c r="O922">
        <f>Table13[[#This Row],[Adults]]+Table13[[#This Row],[Children]]</f>
        <v>5</v>
      </c>
      <c r="P922">
        <f>_xlfn.DAYS(Table13[[#This Row],[Depart]],Table13[[#This Row],[Arrive]])</f>
        <v>6</v>
      </c>
    </row>
    <row r="923" spans="1:16" x14ac:dyDescent="0.25">
      <c r="A923" t="s">
        <v>1035</v>
      </c>
      <c r="B923" t="s">
        <v>1036</v>
      </c>
      <c r="C923" t="s">
        <v>2228</v>
      </c>
      <c r="D923" s="1">
        <v>44188</v>
      </c>
      <c r="E923" s="1">
        <v>44191</v>
      </c>
      <c r="F923" s="1">
        <v>44067</v>
      </c>
      <c r="G923" s="2">
        <v>0.58333333333333337</v>
      </c>
      <c r="H923" s="2">
        <v>0.45833333333333331</v>
      </c>
      <c r="I923" t="s">
        <v>22</v>
      </c>
      <c r="J923" s="12" t="s">
        <v>18</v>
      </c>
      <c r="K923">
        <v>6</v>
      </c>
      <c r="L923">
        <v>0</v>
      </c>
      <c r="M923" t="s">
        <v>19</v>
      </c>
      <c r="N923" s="6">
        <v>354.75</v>
      </c>
      <c r="O923">
        <f>Table13[[#This Row],[Adults]]+Table13[[#This Row],[Children]]</f>
        <v>6</v>
      </c>
      <c r="P923">
        <f>_xlfn.DAYS(Table13[[#This Row],[Depart]],Table13[[#This Row],[Arrive]])</f>
        <v>3</v>
      </c>
    </row>
    <row r="924" spans="1:16" x14ac:dyDescent="0.25">
      <c r="A924" t="s">
        <v>897</v>
      </c>
      <c r="B924" t="s">
        <v>898</v>
      </c>
      <c r="C924" t="s">
        <v>2228</v>
      </c>
      <c r="D924" s="1">
        <v>44189</v>
      </c>
      <c r="E924" s="1">
        <v>44194</v>
      </c>
      <c r="F924" s="1">
        <v>44154</v>
      </c>
      <c r="G924" s="2">
        <v>0.58333333333333337</v>
      </c>
      <c r="H924" s="2">
        <v>0.45833333333333331</v>
      </c>
      <c r="I924" t="s">
        <v>22</v>
      </c>
      <c r="J924" s="12" t="s">
        <v>18</v>
      </c>
      <c r="K924">
        <v>2</v>
      </c>
      <c r="L924">
        <v>0</v>
      </c>
      <c r="M924" t="s">
        <v>19</v>
      </c>
      <c r="N924" s="6">
        <v>645</v>
      </c>
      <c r="O924">
        <f>Table13[[#This Row],[Adults]]+Table13[[#This Row],[Children]]</f>
        <v>2</v>
      </c>
      <c r="P924">
        <f>_xlfn.DAYS(Table13[[#This Row],[Depart]],Table13[[#This Row],[Arrive]])</f>
        <v>5</v>
      </c>
    </row>
    <row r="925" spans="1:16" x14ac:dyDescent="0.25">
      <c r="A925" t="s">
        <v>665</v>
      </c>
      <c r="B925" t="s">
        <v>666</v>
      </c>
      <c r="C925" t="s">
        <v>2228</v>
      </c>
      <c r="D925" s="1">
        <v>44190</v>
      </c>
      <c r="E925" s="1">
        <v>44192</v>
      </c>
      <c r="F925" s="1">
        <v>44067</v>
      </c>
      <c r="G925" s="2">
        <v>0.58333333333333337</v>
      </c>
      <c r="H925" s="2">
        <v>0.45833333333333331</v>
      </c>
      <c r="I925" t="s">
        <v>26</v>
      </c>
      <c r="J925" s="12" t="s">
        <v>18</v>
      </c>
      <c r="K925">
        <v>6</v>
      </c>
      <c r="L925">
        <v>0</v>
      </c>
      <c r="M925" t="s">
        <v>19</v>
      </c>
      <c r="N925" s="6">
        <v>281</v>
      </c>
      <c r="O925">
        <f>Table13[[#This Row],[Adults]]+Table13[[#This Row],[Children]]</f>
        <v>6</v>
      </c>
      <c r="P925">
        <f>_xlfn.DAYS(Table13[[#This Row],[Depart]],Table13[[#This Row],[Arrive]])</f>
        <v>2</v>
      </c>
    </row>
    <row r="926" spans="1:16" x14ac:dyDescent="0.25">
      <c r="A926" t="s">
        <v>669</v>
      </c>
      <c r="B926" t="s">
        <v>670</v>
      </c>
      <c r="C926" t="s">
        <v>2226</v>
      </c>
      <c r="D926" s="1">
        <v>44191</v>
      </c>
      <c r="E926" s="1">
        <v>44197</v>
      </c>
      <c r="F926" s="1">
        <v>44068</v>
      </c>
      <c r="G926" s="2">
        <v>0.33333333333333331</v>
      </c>
      <c r="H926" s="3">
        <v>1</v>
      </c>
      <c r="I926" t="s">
        <v>26</v>
      </c>
      <c r="J926" s="12" t="s">
        <v>18</v>
      </c>
      <c r="K926">
        <v>1</v>
      </c>
      <c r="L926">
        <v>0</v>
      </c>
      <c r="M926" t="s">
        <v>19</v>
      </c>
      <c r="N926" s="6">
        <v>633</v>
      </c>
      <c r="O926">
        <f>Table13[[#This Row],[Adults]]+Table13[[#This Row],[Children]]</f>
        <v>1</v>
      </c>
      <c r="P926">
        <f>_xlfn.DAYS(Table13[[#This Row],[Depart]],Table13[[#This Row],[Arrive]])</f>
        <v>6</v>
      </c>
    </row>
    <row r="927" spans="1:16" x14ac:dyDescent="0.25">
      <c r="A927" t="s">
        <v>797</v>
      </c>
      <c r="B927" t="s">
        <v>798</v>
      </c>
      <c r="C927" t="s">
        <v>2226</v>
      </c>
      <c r="D927" s="1">
        <v>44191</v>
      </c>
      <c r="E927" s="1">
        <v>44205</v>
      </c>
      <c r="F927" s="1">
        <v>44091</v>
      </c>
      <c r="G927" s="2">
        <v>0.33333333333333331</v>
      </c>
      <c r="H927" s="3">
        <v>1</v>
      </c>
      <c r="I927" t="s">
        <v>26</v>
      </c>
      <c r="J927" s="12" t="s">
        <v>18</v>
      </c>
      <c r="K927">
        <v>1</v>
      </c>
      <c r="L927">
        <v>0</v>
      </c>
      <c r="M927" t="s">
        <v>19</v>
      </c>
      <c r="N927" s="6">
        <v>1632</v>
      </c>
      <c r="O927">
        <f>Table13[[#This Row],[Adults]]+Table13[[#This Row],[Children]]</f>
        <v>1</v>
      </c>
      <c r="P927">
        <f>_xlfn.DAYS(Table13[[#This Row],[Depart]],Table13[[#This Row],[Arrive]])</f>
        <v>14</v>
      </c>
    </row>
    <row r="928" spans="1:16" x14ac:dyDescent="0.25">
      <c r="A928" t="s">
        <v>1081</v>
      </c>
      <c r="B928" t="s">
        <v>1082</v>
      </c>
      <c r="C928" t="s">
        <v>2226</v>
      </c>
      <c r="D928" s="1">
        <v>44191</v>
      </c>
      <c r="E928" s="1">
        <v>44201</v>
      </c>
      <c r="F928" s="1">
        <v>44153</v>
      </c>
      <c r="G928" s="2">
        <v>0.5</v>
      </c>
      <c r="H928" s="2">
        <v>0.58333333333333337</v>
      </c>
      <c r="I928" t="s">
        <v>22</v>
      </c>
      <c r="J928" s="12" t="s">
        <v>18</v>
      </c>
      <c r="K928">
        <v>2</v>
      </c>
      <c r="L928">
        <v>0</v>
      </c>
      <c r="M928" t="s">
        <v>19</v>
      </c>
      <c r="N928" s="6">
        <v>750000</v>
      </c>
      <c r="O928">
        <f>Table13[[#This Row],[Adults]]+Table13[[#This Row],[Children]]</f>
        <v>2</v>
      </c>
      <c r="P928">
        <f>_xlfn.DAYS(Table13[[#This Row],[Depart]],Table13[[#This Row],[Arrive]])</f>
        <v>10</v>
      </c>
    </row>
    <row r="929" spans="1:16" x14ac:dyDescent="0.25">
      <c r="A929" t="s">
        <v>1081</v>
      </c>
      <c r="B929" t="s">
        <v>1082</v>
      </c>
      <c r="C929" t="s">
        <v>2226</v>
      </c>
      <c r="D929" s="1">
        <v>44191</v>
      </c>
      <c r="E929" s="1">
        <v>44198</v>
      </c>
      <c r="F929" s="1">
        <v>44153</v>
      </c>
      <c r="G929" s="2">
        <v>0.5</v>
      </c>
      <c r="H929" s="2">
        <v>0.58333333333333337</v>
      </c>
      <c r="I929" t="s">
        <v>22</v>
      </c>
      <c r="J929" s="12" t="s">
        <v>18</v>
      </c>
      <c r="K929">
        <v>2</v>
      </c>
      <c r="L929">
        <v>0</v>
      </c>
      <c r="M929" t="s">
        <v>19</v>
      </c>
      <c r="N929" s="6">
        <v>525000</v>
      </c>
      <c r="O929">
        <f>Table13[[#This Row],[Adults]]+Table13[[#This Row],[Children]]</f>
        <v>2</v>
      </c>
      <c r="P929">
        <f>_xlfn.DAYS(Table13[[#This Row],[Depart]],Table13[[#This Row],[Arrive]])</f>
        <v>7</v>
      </c>
    </row>
    <row r="930" spans="1:16" x14ac:dyDescent="0.25">
      <c r="A930" t="s">
        <v>1131</v>
      </c>
      <c r="B930" t="s">
        <v>1132</v>
      </c>
      <c r="C930" t="s">
        <v>2226</v>
      </c>
      <c r="D930" s="1">
        <v>44191</v>
      </c>
      <c r="E930" s="1">
        <v>44194</v>
      </c>
      <c r="F930" s="1">
        <v>44164</v>
      </c>
      <c r="G930" s="2">
        <v>0.5</v>
      </c>
      <c r="H930" s="2">
        <v>0.58333333333333337</v>
      </c>
      <c r="I930" t="s">
        <v>22</v>
      </c>
      <c r="J930" s="12" t="s">
        <v>18</v>
      </c>
      <c r="K930">
        <v>2</v>
      </c>
      <c r="L930">
        <v>0</v>
      </c>
      <c r="M930" t="s">
        <v>19</v>
      </c>
      <c r="N930" s="6">
        <v>0</v>
      </c>
      <c r="O930">
        <f>Table13[[#This Row],[Adults]]+Table13[[#This Row],[Children]]</f>
        <v>2</v>
      </c>
      <c r="P930">
        <f>_xlfn.DAYS(Table13[[#This Row],[Depart]],Table13[[#This Row],[Arrive]])</f>
        <v>3</v>
      </c>
    </row>
    <row r="931" spans="1:16" x14ac:dyDescent="0.25">
      <c r="A931" t="s">
        <v>24</v>
      </c>
      <c r="B931" t="s">
        <v>25</v>
      </c>
      <c r="C931" t="s">
        <v>2224</v>
      </c>
      <c r="D931" s="1">
        <v>44192</v>
      </c>
      <c r="E931" s="1">
        <v>44201</v>
      </c>
      <c r="F931" s="1">
        <v>43873</v>
      </c>
      <c r="G931" s="2">
        <v>0.33333333333333331</v>
      </c>
      <c r="H931" s="3">
        <v>1</v>
      </c>
      <c r="I931" t="s">
        <v>26</v>
      </c>
      <c r="J931" s="12" t="s">
        <v>18</v>
      </c>
      <c r="K931">
        <v>6</v>
      </c>
      <c r="L931">
        <v>0</v>
      </c>
      <c r="M931" t="s">
        <v>19</v>
      </c>
      <c r="N931" s="6">
        <v>954</v>
      </c>
      <c r="O931">
        <f>Table13[[#This Row],[Adults]]+Table13[[#This Row],[Children]]</f>
        <v>6</v>
      </c>
      <c r="P931">
        <f>_xlfn.DAYS(Table13[[#This Row],[Depart]],Table13[[#This Row],[Arrive]])</f>
        <v>9</v>
      </c>
    </row>
    <row r="932" spans="1:16" x14ac:dyDescent="0.25">
      <c r="A932" t="s">
        <v>314</v>
      </c>
      <c r="B932" t="s">
        <v>315</v>
      </c>
      <c r="C932" t="s">
        <v>2228</v>
      </c>
      <c r="D932" s="1">
        <v>44192</v>
      </c>
      <c r="E932" s="1">
        <v>44200</v>
      </c>
      <c r="F932" s="1">
        <v>43990</v>
      </c>
      <c r="G932" s="2">
        <v>0.58333333333333337</v>
      </c>
      <c r="H932" s="2">
        <v>0.45833333333333331</v>
      </c>
      <c r="I932" t="s">
        <v>26</v>
      </c>
      <c r="J932" s="12" t="s">
        <v>18</v>
      </c>
      <c r="K932">
        <v>6</v>
      </c>
      <c r="L932">
        <v>0</v>
      </c>
      <c r="M932" t="s">
        <v>19</v>
      </c>
      <c r="N932" s="6">
        <v>824</v>
      </c>
      <c r="O932">
        <f>Table13[[#This Row],[Adults]]+Table13[[#This Row],[Children]]</f>
        <v>6</v>
      </c>
      <c r="P932">
        <f>_xlfn.DAYS(Table13[[#This Row],[Depart]],Table13[[#This Row],[Arrive]])</f>
        <v>8</v>
      </c>
    </row>
    <row r="933" spans="1:16" x14ac:dyDescent="0.25">
      <c r="A933" t="s">
        <v>763</v>
      </c>
      <c r="B933" t="s">
        <v>764</v>
      </c>
      <c r="C933" t="s">
        <v>2226</v>
      </c>
      <c r="D933" s="1">
        <v>44192</v>
      </c>
      <c r="E933" s="1">
        <v>44197</v>
      </c>
      <c r="F933" s="1">
        <v>44084</v>
      </c>
      <c r="G933" s="2">
        <v>0.33333333333333331</v>
      </c>
      <c r="H933" s="3">
        <v>1</v>
      </c>
      <c r="I933" t="s">
        <v>26</v>
      </c>
      <c r="J933" s="12" t="s">
        <v>18</v>
      </c>
      <c r="K933">
        <v>4</v>
      </c>
      <c r="L933">
        <v>0</v>
      </c>
      <c r="M933" t="s">
        <v>19</v>
      </c>
      <c r="N933" s="6">
        <v>528</v>
      </c>
      <c r="O933">
        <f>Table13[[#This Row],[Adults]]+Table13[[#This Row],[Children]]</f>
        <v>4</v>
      </c>
      <c r="P933">
        <f>_xlfn.DAYS(Table13[[#This Row],[Depart]],Table13[[#This Row],[Arrive]])</f>
        <v>5</v>
      </c>
    </row>
    <row r="934" spans="1:16" x14ac:dyDescent="0.25">
      <c r="A934" t="s">
        <v>1029</v>
      </c>
      <c r="B934" t="s">
        <v>1030</v>
      </c>
      <c r="C934" t="s">
        <v>2226</v>
      </c>
      <c r="D934" s="1">
        <v>44192</v>
      </c>
      <c r="E934" s="1">
        <v>44193</v>
      </c>
      <c r="F934" s="1">
        <v>44144</v>
      </c>
      <c r="G934" s="2">
        <v>0.5</v>
      </c>
      <c r="H934" s="2">
        <v>0.58333333333333337</v>
      </c>
      <c r="I934" t="s">
        <v>22</v>
      </c>
      <c r="J934" s="12" t="s">
        <v>18</v>
      </c>
      <c r="K934">
        <v>10</v>
      </c>
      <c r="L934">
        <v>0</v>
      </c>
      <c r="M934" t="s">
        <v>19</v>
      </c>
      <c r="N934" s="6">
        <v>75000</v>
      </c>
      <c r="O934">
        <f>Table13[[#This Row],[Adults]]+Table13[[#This Row],[Children]]</f>
        <v>10</v>
      </c>
      <c r="P934">
        <f>_xlfn.DAYS(Table13[[#This Row],[Depart]],Table13[[#This Row],[Arrive]])</f>
        <v>1</v>
      </c>
    </row>
    <row r="935" spans="1:16" x14ac:dyDescent="0.25">
      <c r="A935" t="s">
        <v>1071</v>
      </c>
      <c r="B935" t="s">
        <v>1072</v>
      </c>
      <c r="C935" t="s">
        <v>2226</v>
      </c>
      <c r="D935" s="1">
        <v>44192</v>
      </c>
      <c r="E935" s="1">
        <v>44200</v>
      </c>
      <c r="F935" s="1">
        <v>44152</v>
      </c>
      <c r="G935" s="2">
        <v>0.5</v>
      </c>
      <c r="H935" s="2">
        <v>0.58333333333333337</v>
      </c>
      <c r="I935" t="s">
        <v>22</v>
      </c>
      <c r="J935" s="12" t="s">
        <v>18</v>
      </c>
      <c r="K935">
        <v>6</v>
      </c>
      <c r="L935">
        <v>0</v>
      </c>
      <c r="M935" t="s">
        <v>19</v>
      </c>
      <c r="N935" s="6">
        <v>600000</v>
      </c>
      <c r="O935">
        <f>Table13[[#This Row],[Adults]]+Table13[[#This Row],[Children]]</f>
        <v>6</v>
      </c>
      <c r="P935">
        <f>_xlfn.DAYS(Table13[[#This Row],[Depart]],Table13[[#This Row],[Arrive]])</f>
        <v>8</v>
      </c>
    </row>
    <row r="936" spans="1:16" x14ac:dyDescent="0.25">
      <c r="A936" t="s">
        <v>1071</v>
      </c>
      <c r="B936" t="s">
        <v>1072</v>
      </c>
      <c r="C936" t="s">
        <v>2226</v>
      </c>
      <c r="D936" s="1">
        <v>44192</v>
      </c>
      <c r="E936" s="1">
        <v>44200</v>
      </c>
      <c r="F936" s="1">
        <v>44152</v>
      </c>
      <c r="G936" s="2">
        <v>0.5</v>
      </c>
      <c r="H936" s="2">
        <v>0.58333333333333337</v>
      </c>
      <c r="I936" t="s">
        <v>22</v>
      </c>
      <c r="J936" s="12" t="s">
        <v>18</v>
      </c>
      <c r="K936">
        <v>6</v>
      </c>
      <c r="L936">
        <v>0</v>
      </c>
      <c r="M936" t="s">
        <v>19</v>
      </c>
      <c r="N936" s="6">
        <v>600000</v>
      </c>
      <c r="O936">
        <f>Table13[[#This Row],[Adults]]+Table13[[#This Row],[Children]]</f>
        <v>6</v>
      </c>
      <c r="P936">
        <f>_xlfn.DAYS(Table13[[#This Row],[Depart]],Table13[[#This Row],[Arrive]])</f>
        <v>8</v>
      </c>
    </row>
    <row r="937" spans="1:16" x14ac:dyDescent="0.25">
      <c r="A937" t="s">
        <v>1165</v>
      </c>
      <c r="B937" t="s">
        <v>1166</v>
      </c>
      <c r="C937" t="s">
        <v>2226</v>
      </c>
      <c r="D937" s="1">
        <v>44192</v>
      </c>
      <c r="E937" s="1">
        <v>44195</v>
      </c>
      <c r="F937" s="1">
        <v>44170</v>
      </c>
      <c r="G937" s="2">
        <v>0.5</v>
      </c>
      <c r="H937" s="2">
        <v>0.58333333333333337</v>
      </c>
      <c r="I937" t="s">
        <v>22</v>
      </c>
      <c r="J937" s="12" t="s">
        <v>18</v>
      </c>
      <c r="K937">
        <v>6</v>
      </c>
      <c r="L937">
        <v>0</v>
      </c>
      <c r="M937" t="s">
        <v>19</v>
      </c>
      <c r="N937" s="6">
        <v>225000</v>
      </c>
      <c r="O937">
        <f>Table13[[#This Row],[Adults]]+Table13[[#This Row],[Children]]</f>
        <v>6</v>
      </c>
      <c r="P937">
        <f>_xlfn.DAYS(Table13[[#This Row],[Depart]],Table13[[#This Row],[Arrive]])</f>
        <v>3</v>
      </c>
    </row>
    <row r="938" spans="1:16" x14ac:dyDescent="0.25">
      <c r="A938" t="s">
        <v>1167</v>
      </c>
      <c r="B938" t="s">
        <v>1168</v>
      </c>
      <c r="C938" t="s">
        <v>2226</v>
      </c>
      <c r="D938" s="1">
        <v>44192</v>
      </c>
      <c r="E938" s="1">
        <v>44195</v>
      </c>
      <c r="F938" s="1">
        <v>44170</v>
      </c>
      <c r="G938" s="2">
        <v>0.5</v>
      </c>
      <c r="H938" s="2">
        <v>0.58333333333333337</v>
      </c>
      <c r="I938" t="s">
        <v>22</v>
      </c>
      <c r="J938" s="12" t="s">
        <v>18</v>
      </c>
      <c r="K938">
        <v>6</v>
      </c>
      <c r="L938">
        <v>0</v>
      </c>
      <c r="M938" t="s">
        <v>19</v>
      </c>
      <c r="N938" s="6">
        <v>225000</v>
      </c>
      <c r="O938">
        <f>Table13[[#This Row],[Adults]]+Table13[[#This Row],[Children]]</f>
        <v>6</v>
      </c>
      <c r="P938">
        <f>_xlfn.DAYS(Table13[[#This Row],[Depart]],Table13[[#This Row],[Arrive]])</f>
        <v>3</v>
      </c>
    </row>
    <row r="939" spans="1:16" x14ac:dyDescent="0.25">
      <c r="A939" t="s">
        <v>1167</v>
      </c>
      <c r="B939" t="s">
        <v>1168</v>
      </c>
      <c r="C939" t="s">
        <v>2226</v>
      </c>
      <c r="D939" s="1">
        <v>44192</v>
      </c>
      <c r="E939" s="1">
        <v>44195</v>
      </c>
      <c r="F939" s="1">
        <v>44170</v>
      </c>
      <c r="G939" s="2">
        <v>0.5</v>
      </c>
      <c r="H939" s="2">
        <v>0.58333333333333337</v>
      </c>
      <c r="I939" t="s">
        <v>22</v>
      </c>
      <c r="J939" s="12" t="s">
        <v>18</v>
      </c>
      <c r="K939">
        <v>6</v>
      </c>
      <c r="L939">
        <v>0</v>
      </c>
      <c r="M939" t="s">
        <v>19</v>
      </c>
      <c r="N939" s="6">
        <v>225000</v>
      </c>
      <c r="O939">
        <f>Table13[[#This Row],[Adults]]+Table13[[#This Row],[Children]]</f>
        <v>6</v>
      </c>
      <c r="P939">
        <f>_xlfn.DAYS(Table13[[#This Row],[Depart]],Table13[[#This Row],[Arrive]])</f>
        <v>3</v>
      </c>
    </row>
    <row r="940" spans="1:16" x14ac:dyDescent="0.25">
      <c r="A940" t="s">
        <v>416</v>
      </c>
      <c r="B940" t="s">
        <v>417</v>
      </c>
      <c r="C940" t="s">
        <v>2227</v>
      </c>
      <c r="D940" s="1">
        <v>44193</v>
      </c>
      <c r="E940" s="1">
        <v>44201</v>
      </c>
      <c r="F940" s="1">
        <v>44089</v>
      </c>
      <c r="G940" s="2">
        <v>0.58333333333333337</v>
      </c>
      <c r="H940" s="2">
        <v>0.45833333333333331</v>
      </c>
      <c r="I940" t="s">
        <v>22</v>
      </c>
      <c r="J940" s="12" t="s">
        <v>18</v>
      </c>
      <c r="K940">
        <v>4</v>
      </c>
      <c r="L940">
        <v>0</v>
      </c>
      <c r="M940" t="s">
        <v>19</v>
      </c>
      <c r="N940" s="6">
        <v>1505</v>
      </c>
      <c r="O940">
        <f>Table13[[#This Row],[Adults]]+Table13[[#This Row],[Children]]</f>
        <v>4</v>
      </c>
      <c r="P940">
        <f>_xlfn.DAYS(Table13[[#This Row],[Depart]],Table13[[#This Row],[Arrive]])</f>
        <v>8</v>
      </c>
    </row>
    <row r="941" spans="1:16" x14ac:dyDescent="0.25">
      <c r="A941" t="s">
        <v>1083</v>
      </c>
      <c r="B941" t="s">
        <v>1084</v>
      </c>
      <c r="C941" t="s">
        <v>2226</v>
      </c>
      <c r="D941" s="1">
        <v>44193</v>
      </c>
      <c r="E941" s="1">
        <v>44198</v>
      </c>
      <c r="F941" s="1">
        <v>44153</v>
      </c>
      <c r="G941" s="2">
        <v>0.5</v>
      </c>
      <c r="H941" s="2">
        <v>0.58333333333333337</v>
      </c>
      <c r="I941" t="s">
        <v>22</v>
      </c>
      <c r="J941" s="12" t="s">
        <v>18</v>
      </c>
      <c r="K941">
        <v>2</v>
      </c>
      <c r="L941">
        <v>0</v>
      </c>
      <c r="M941" t="s">
        <v>19</v>
      </c>
      <c r="N941" s="6">
        <v>375000</v>
      </c>
      <c r="O941">
        <f>Table13[[#This Row],[Adults]]+Table13[[#This Row],[Children]]</f>
        <v>2</v>
      </c>
      <c r="P941">
        <f>_xlfn.DAYS(Table13[[#This Row],[Depart]],Table13[[#This Row],[Arrive]])</f>
        <v>5</v>
      </c>
    </row>
    <row r="942" spans="1:16" x14ac:dyDescent="0.25">
      <c r="A942" t="s">
        <v>1085</v>
      </c>
      <c r="B942" t="s">
        <v>1086</v>
      </c>
      <c r="C942" t="s">
        <v>2226</v>
      </c>
      <c r="D942" s="1">
        <v>44193</v>
      </c>
      <c r="E942" s="1">
        <v>44198</v>
      </c>
      <c r="F942" s="1">
        <v>44154</v>
      </c>
      <c r="G942" s="2">
        <v>0.5</v>
      </c>
      <c r="H942" s="2">
        <v>0.58333333333333337</v>
      </c>
      <c r="I942" t="s">
        <v>22</v>
      </c>
      <c r="J942" s="12" t="s">
        <v>18</v>
      </c>
      <c r="K942">
        <v>4</v>
      </c>
      <c r="L942">
        <v>0</v>
      </c>
      <c r="M942" t="s">
        <v>19</v>
      </c>
      <c r="N942" s="6">
        <v>375000</v>
      </c>
      <c r="O942">
        <f>Table13[[#This Row],[Adults]]+Table13[[#This Row],[Children]]</f>
        <v>4</v>
      </c>
      <c r="P942">
        <f>_xlfn.DAYS(Table13[[#This Row],[Depart]],Table13[[#This Row],[Arrive]])</f>
        <v>5</v>
      </c>
    </row>
    <row r="943" spans="1:16" x14ac:dyDescent="0.25">
      <c r="A943" t="s">
        <v>104</v>
      </c>
      <c r="B943" t="s">
        <v>105</v>
      </c>
      <c r="C943" t="s">
        <v>2224</v>
      </c>
      <c r="D943" s="1">
        <v>44196</v>
      </c>
      <c r="E943" s="1">
        <v>44198</v>
      </c>
      <c r="F943" s="1">
        <v>43897</v>
      </c>
      <c r="G943" s="2">
        <v>0.33333333333333331</v>
      </c>
      <c r="H943" s="3">
        <v>1</v>
      </c>
      <c r="I943" t="s">
        <v>26</v>
      </c>
      <c r="J943" s="12" t="s">
        <v>18</v>
      </c>
      <c r="K943">
        <v>1</v>
      </c>
      <c r="L943">
        <v>0</v>
      </c>
      <c r="M943" t="s">
        <v>19</v>
      </c>
      <c r="N943" s="6">
        <v>212</v>
      </c>
      <c r="O943">
        <f>Table13[[#This Row],[Adults]]+Table13[[#This Row],[Children]]</f>
        <v>1</v>
      </c>
      <c r="P943">
        <f>_xlfn.DAYS(Table13[[#This Row],[Depart]],Table13[[#This Row],[Arrive]])</f>
        <v>2</v>
      </c>
    </row>
    <row r="944" spans="1:16" x14ac:dyDescent="0.25">
      <c r="A944" t="s">
        <v>887</v>
      </c>
      <c r="B944" t="s">
        <v>888</v>
      </c>
      <c r="C944" t="s">
        <v>2224</v>
      </c>
      <c r="D944" s="1">
        <v>44196</v>
      </c>
      <c r="E944" s="1">
        <v>44210</v>
      </c>
      <c r="F944" s="1">
        <v>44116</v>
      </c>
      <c r="G944" s="2">
        <v>0.33333333333333331</v>
      </c>
      <c r="H944" s="3">
        <v>1</v>
      </c>
      <c r="I944" t="s">
        <v>26</v>
      </c>
      <c r="J944" s="12" t="s">
        <v>18</v>
      </c>
      <c r="K944">
        <v>1</v>
      </c>
      <c r="L944">
        <v>0</v>
      </c>
      <c r="M944" t="s">
        <v>19</v>
      </c>
      <c r="N944" s="6">
        <v>1594</v>
      </c>
      <c r="O944">
        <f>Table13[[#This Row],[Adults]]+Table13[[#This Row],[Children]]</f>
        <v>1</v>
      </c>
      <c r="P944">
        <f>_xlfn.DAYS(Table13[[#This Row],[Depart]],Table13[[#This Row],[Arrive]])</f>
        <v>14</v>
      </c>
    </row>
    <row r="945" spans="1:16" x14ac:dyDescent="0.25">
      <c r="A945" t="s">
        <v>416</v>
      </c>
      <c r="B945" t="s">
        <v>417</v>
      </c>
      <c r="C945" t="s">
        <v>2229</v>
      </c>
      <c r="D945" s="1">
        <v>44196</v>
      </c>
      <c r="E945" s="1">
        <v>44198</v>
      </c>
      <c r="F945" s="1">
        <v>44139</v>
      </c>
      <c r="G945" s="2">
        <v>0.58333333333333337</v>
      </c>
      <c r="H945" s="2">
        <v>0.5</v>
      </c>
      <c r="I945" t="s">
        <v>22</v>
      </c>
      <c r="J945" s="12" t="s">
        <v>18</v>
      </c>
      <c r="K945">
        <v>2</v>
      </c>
      <c r="L945">
        <v>0</v>
      </c>
      <c r="M945" t="s">
        <v>19</v>
      </c>
      <c r="N945" s="6">
        <v>427.85</v>
      </c>
      <c r="O945">
        <f>Table13[[#This Row],[Adults]]+Table13[[#This Row],[Children]]</f>
        <v>2</v>
      </c>
      <c r="P945">
        <f>_xlfn.DAYS(Table13[[#This Row],[Depart]],Table13[[#This Row],[Arrive]])</f>
        <v>2</v>
      </c>
    </row>
    <row r="946" spans="1:16" x14ac:dyDescent="0.25">
      <c r="A946" t="s">
        <v>1013</v>
      </c>
      <c r="B946" t="s">
        <v>1014</v>
      </c>
      <c r="C946" t="s">
        <v>2229</v>
      </c>
      <c r="D946" s="1">
        <v>44196</v>
      </c>
      <c r="E946" s="1">
        <v>44198</v>
      </c>
      <c r="F946" s="1">
        <v>44140</v>
      </c>
      <c r="G946" s="2">
        <v>0.58333333333333337</v>
      </c>
      <c r="H946" s="2">
        <v>0.5</v>
      </c>
      <c r="I946" t="s">
        <v>22</v>
      </c>
      <c r="J946" s="12" t="s">
        <v>23</v>
      </c>
      <c r="K946">
        <v>4</v>
      </c>
      <c r="L946">
        <v>0</v>
      </c>
      <c r="M946" t="s">
        <v>19</v>
      </c>
      <c r="N946" s="6">
        <v>427.85</v>
      </c>
      <c r="O946">
        <f>Table13[[#This Row],[Adults]]+Table13[[#This Row],[Children]]</f>
        <v>4</v>
      </c>
      <c r="P946">
        <f>_xlfn.DAYS(Table13[[#This Row],[Depart]],Table13[[#This Row],[Arrive]])</f>
        <v>2</v>
      </c>
    </row>
    <row r="947" spans="1:16" x14ac:dyDescent="0.25">
      <c r="A947" t="s">
        <v>1109</v>
      </c>
      <c r="B947" t="s">
        <v>1110</v>
      </c>
      <c r="C947" t="s">
        <v>2224</v>
      </c>
      <c r="D947" s="1">
        <v>44196</v>
      </c>
      <c r="E947" s="1">
        <v>44203</v>
      </c>
      <c r="F947" s="1">
        <v>44159</v>
      </c>
      <c r="G947" s="2">
        <v>0.33333333333333331</v>
      </c>
      <c r="H947" s="3">
        <v>1</v>
      </c>
      <c r="I947" t="s">
        <v>26</v>
      </c>
      <c r="J947" s="12" t="s">
        <v>18</v>
      </c>
      <c r="K947">
        <v>3</v>
      </c>
      <c r="L947">
        <v>0</v>
      </c>
      <c r="M947" t="s">
        <v>19</v>
      </c>
      <c r="N947" s="6">
        <v>801</v>
      </c>
      <c r="O947">
        <f>Table13[[#This Row],[Adults]]+Table13[[#This Row],[Children]]</f>
        <v>3</v>
      </c>
      <c r="P947">
        <f>_xlfn.DAYS(Table13[[#This Row],[Depart]],Table13[[#This Row],[Arrive]])</f>
        <v>7</v>
      </c>
    </row>
    <row r="948" spans="1:16" x14ac:dyDescent="0.25">
      <c r="A948" t="s">
        <v>1123</v>
      </c>
      <c r="B948" t="s">
        <v>1124</v>
      </c>
      <c r="C948" t="s">
        <v>2224</v>
      </c>
      <c r="D948" s="1">
        <v>44196</v>
      </c>
      <c r="E948" s="1">
        <v>44206</v>
      </c>
      <c r="F948" s="1">
        <v>44161</v>
      </c>
      <c r="G948" s="2">
        <v>0.33333333333333331</v>
      </c>
      <c r="H948" s="3">
        <v>1</v>
      </c>
      <c r="I948" t="s">
        <v>26</v>
      </c>
      <c r="J948" s="12" t="s">
        <v>18</v>
      </c>
      <c r="K948">
        <v>1</v>
      </c>
      <c r="L948">
        <v>0</v>
      </c>
      <c r="M948" t="s">
        <v>19</v>
      </c>
      <c r="N948" s="6">
        <v>1144</v>
      </c>
      <c r="O948">
        <f>Table13[[#This Row],[Adults]]+Table13[[#This Row],[Children]]</f>
        <v>1</v>
      </c>
      <c r="P948">
        <f>_xlfn.DAYS(Table13[[#This Row],[Depart]],Table13[[#This Row],[Arrive]])</f>
        <v>10</v>
      </c>
    </row>
    <row r="949" spans="1:16" x14ac:dyDescent="0.25">
      <c r="A949" t="s">
        <v>1135</v>
      </c>
      <c r="B949" t="s">
        <v>1136</v>
      </c>
      <c r="C949" t="s">
        <v>2226</v>
      </c>
      <c r="D949" s="1">
        <v>44196</v>
      </c>
      <c r="E949" s="1">
        <v>44197</v>
      </c>
      <c r="F949" s="1">
        <v>44165</v>
      </c>
      <c r="G949" s="2">
        <v>0.5</v>
      </c>
      <c r="H949" s="2">
        <v>0.58333333333333337</v>
      </c>
      <c r="I949" t="s">
        <v>22</v>
      </c>
      <c r="J949" s="12" t="s">
        <v>18</v>
      </c>
      <c r="K949">
        <v>1</v>
      </c>
      <c r="L949">
        <v>0</v>
      </c>
      <c r="M949" t="s">
        <v>19</v>
      </c>
      <c r="N949" s="6">
        <v>85000</v>
      </c>
      <c r="O949">
        <f>Table13[[#This Row],[Adults]]+Table13[[#This Row],[Children]]</f>
        <v>1</v>
      </c>
      <c r="P949">
        <f>_xlfn.DAYS(Table13[[#This Row],[Depart]],Table13[[#This Row],[Arrive]])</f>
        <v>1</v>
      </c>
    </row>
    <row r="950" spans="1:16" x14ac:dyDescent="0.25">
      <c r="A950" t="s">
        <v>424</v>
      </c>
      <c r="B950" t="s">
        <v>425</v>
      </c>
      <c r="C950" t="s">
        <v>2224</v>
      </c>
      <c r="D950" s="1">
        <v>44196</v>
      </c>
      <c r="E950" s="1">
        <v>44198</v>
      </c>
      <c r="F950" s="1">
        <v>44170</v>
      </c>
      <c r="G950" s="2">
        <v>0.33333333333333331</v>
      </c>
      <c r="H950" s="3">
        <v>1</v>
      </c>
      <c r="I950" t="s">
        <v>26</v>
      </c>
      <c r="J950" s="12" t="s">
        <v>18</v>
      </c>
      <c r="K950">
        <v>1</v>
      </c>
      <c r="L950">
        <v>0</v>
      </c>
      <c r="M950" t="s">
        <v>19</v>
      </c>
      <c r="N950" s="6">
        <v>241</v>
      </c>
      <c r="O950">
        <f>Table13[[#This Row],[Adults]]+Table13[[#This Row],[Children]]</f>
        <v>1</v>
      </c>
      <c r="P950">
        <f>_xlfn.DAYS(Table13[[#This Row],[Depart]],Table13[[#This Row],[Arrive]])</f>
        <v>2</v>
      </c>
    </row>
  </sheetData>
  <phoneticPr fontId="9" type="noConversion"/>
  <hyperlinks>
    <hyperlink ref="B624" r:id="rId1" xr:uid="{A39EA0C4-8D3D-480A-9B00-27E5AE7F6BCD}"/>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F790-EB16-43F4-B331-6010C84A091A}">
  <dimension ref="A1:U1001"/>
  <sheetViews>
    <sheetView topLeftCell="Q1" workbookViewId="0">
      <selection activeCell="S1003" sqref="S1003"/>
    </sheetView>
  </sheetViews>
  <sheetFormatPr defaultRowHeight="15" x14ac:dyDescent="0.25"/>
  <cols>
    <col min="1" max="1" width="9.5703125" bestFit="1" customWidth="1"/>
    <col min="2" max="2" width="29.85546875" bestFit="1" customWidth="1"/>
    <col min="3" max="3" width="43.5703125" bestFit="1" customWidth="1"/>
    <col min="4" max="5" width="10.7109375" bestFit="1" customWidth="1"/>
    <col min="6" max="6" width="26.7109375" customWidth="1"/>
    <col min="7" max="7" width="11.42578125" bestFit="1" customWidth="1"/>
    <col min="8" max="8" width="10.28515625" bestFit="1" customWidth="1"/>
    <col min="9" max="9" width="11.5703125" bestFit="1" customWidth="1"/>
    <col min="10" max="11" width="38.5703125" bestFit="1" customWidth="1"/>
    <col min="12" max="12" width="12.42578125" bestFit="1" customWidth="1"/>
    <col min="13" max="13" width="10" style="12" bestFit="1" customWidth="1"/>
    <col min="14" max="14" width="9" bestFit="1" customWidth="1"/>
    <col min="15" max="15" width="10.85546875" bestFit="1" customWidth="1"/>
    <col min="16" max="16" width="11.140625" bestFit="1" customWidth="1"/>
    <col min="17" max="17" width="12.42578125" style="6" customWidth="1"/>
    <col min="18" max="18" width="44" customWidth="1"/>
    <col min="19" max="19" width="43.42578125" customWidth="1"/>
    <col min="21" max="21" width="10.28515625" customWidth="1"/>
  </cols>
  <sheetData>
    <row r="1" spans="1:21" x14ac:dyDescent="0.25">
      <c r="A1" t="s">
        <v>0</v>
      </c>
      <c r="B1" t="s">
        <v>1</v>
      </c>
      <c r="C1" t="s">
        <v>2</v>
      </c>
      <c r="D1" t="s">
        <v>3</v>
      </c>
      <c r="E1" t="s">
        <v>4</v>
      </c>
      <c r="F1" t="s">
        <v>2217</v>
      </c>
      <c r="G1" t="s">
        <v>5</v>
      </c>
      <c r="H1" t="s">
        <v>6</v>
      </c>
      <c r="I1" t="s">
        <v>7</v>
      </c>
      <c r="J1" t="s">
        <v>8</v>
      </c>
      <c r="K1" t="s">
        <v>9</v>
      </c>
      <c r="L1" t="s">
        <v>10</v>
      </c>
      <c r="M1" s="12" t="s">
        <v>11</v>
      </c>
      <c r="N1" t="s">
        <v>12</v>
      </c>
      <c r="O1" t="s">
        <v>13</v>
      </c>
      <c r="P1" t="s">
        <v>14</v>
      </c>
      <c r="Q1" s="6" t="s">
        <v>2213</v>
      </c>
      <c r="R1" t="s">
        <v>2218</v>
      </c>
      <c r="S1" t="s">
        <v>2219</v>
      </c>
      <c r="T1" t="s">
        <v>2220</v>
      </c>
      <c r="U1" t="s">
        <v>2221</v>
      </c>
    </row>
    <row r="2" spans="1:21" x14ac:dyDescent="0.25">
      <c r="A2" t="s">
        <v>1119</v>
      </c>
      <c r="B2" t="s">
        <v>1120</v>
      </c>
      <c r="C2" t="s">
        <v>1174</v>
      </c>
      <c r="D2" s="1">
        <v>43831</v>
      </c>
      <c r="E2" s="1">
        <v>44133</v>
      </c>
      <c r="F2">
        <f>_xlfn.DAYS(E2,D2)</f>
        <v>302</v>
      </c>
      <c r="G2" s="1">
        <v>44146</v>
      </c>
      <c r="H2" s="2">
        <v>0.45833333333333331</v>
      </c>
      <c r="I2" s="2">
        <v>0.41666666666666669</v>
      </c>
      <c r="J2" t="s">
        <v>2122</v>
      </c>
      <c r="K2" t="s">
        <v>2122</v>
      </c>
      <c r="L2" t="s">
        <v>22</v>
      </c>
      <c r="M2" s="12" t="s">
        <v>18</v>
      </c>
      <c r="N2">
        <v>2</v>
      </c>
      <c r="O2">
        <v>0</v>
      </c>
      <c r="P2" t="s">
        <v>19</v>
      </c>
      <c r="Q2" s="6">
        <v>36240</v>
      </c>
      <c r="R2" t="str">
        <f t="shared" ref="R2:R65" si="0">SUBSTITUTE(C:C,"?","'")</f>
        <v>Sophia Luxury Home_x000C_</v>
      </c>
      <c r="S2" t="str">
        <f t="shared" ref="S2:S65" si="1">CLEAN(R:R)</f>
        <v>Sophia Luxury Home</v>
      </c>
      <c r="T2">
        <f>Table1[[#This Row],[Adults]]+Table1[[#This Row],[Children]]</f>
        <v>2</v>
      </c>
      <c r="U2">
        <f>_xlfn.DAYS(Table1[[#This Row],[Depart]],Table1[[#This Row],[Arrive]])</f>
        <v>302</v>
      </c>
    </row>
    <row r="3" spans="1:21" x14ac:dyDescent="0.25">
      <c r="A3" t="s">
        <v>31</v>
      </c>
      <c r="B3" t="s">
        <v>32</v>
      </c>
      <c r="C3" t="s">
        <v>1178</v>
      </c>
      <c r="D3" s="1">
        <v>43850</v>
      </c>
      <c r="E3" s="1">
        <v>43856</v>
      </c>
      <c r="F3">
        <f t="shared" ref="F3:F66" si="2">_xlfn.DAYS(E3,D3)</f>
        <v>6</v>
      </c>
      <c r="G3" s="1">
        <v>43947</v>
      </c>
      <c r="H3" s="2">
        <v>0.33333333333333331</v>
      </c>
      <c r="I3" s="3">
        <v>1</v>
      </c>
      <c r="J3" t="s">
        <v>1322</v>
      </c>
      <c r="K3" t="s">
        <v>1322</v>
      </c>
      <c r="L3" t="s">
        <v>22</v>
      </c>
      <c r="M3" s="12" t="s">
        <v>23</v>
      </c>
      <c r="N3">
        <v>1</v>
      </c>
      <c r="O3">
        <v>0</v>
      </c>
      <c r="P3" t="s">
        <v>19</v>
      </c>
      <c r="Q3" s="6">
        <v>94.33</v>
      </c>
      <c r="R3" t="str">
        <f t="shared" si="0"/>
        <v>Ope's 5 Star Short Let Apartment in Lekki_x000C_</v>
      </c>
      <c r="S3" t="str">
        <f t="shared" si="1"/>
        <v>Ope's 5 Star Short Let Apartment in Lekki</v>
      </c>
      <c r="T3">
        <f>Table1[[#This Row],[Adults]]+Table1[[#This Row],[Children]]</f>
        <v>1</v>
      </c>
      <c r="U3">
        <f>_xlfn.DAYS(Table1[[#This Row],[Depart]],Table1[[#This Row],[Arrive]])</f>
        <v>6</v>
      </c>
    </row>
    <row r="4" spans="1:21" x14ac:dyDescent="0.25">
      <c r="A4" t="s">
        <v>200</v>
      </c>
      <c r="B4" t="s">
        <v>201</v>
      </c>
      <c r="C4" t="s">
        <v>1173</v>
      </c>
      <c r="D4" s="1">
        <v>43851</v>
      </c>
      <c r="E4" s="1">
        <v>43852</v>
      </c>
      <c r="F4">
        <f t="shared" si="2"/>
        <v>1</v>
      </c>
      <c r="G4" s="1">
        <v>43947</v>
      </c>
      <c r="H4" s="2">
        <v>0.33333333333333331</v>
      </c>
      <c r="I4" s="3">
        <v>1</v>
      </c>
      <c r="J4" t="s">
        <v>1321</v>
      </c>
      <c r="K4" t="s">
        <v>1321</v>
      </c>
      <c r="L4" t="s">
        <v>22</v>
      </c>
      <c r="M4" s="12" t="s">
        <v>23</v>
      </c>
      <c r="N4">
        <v>2</v>
      </c>
      <c r="O4">
        <v>0</v>
      </c>
      <c r="P4" t="s">
        <v>19</v>
      </c>
      <c r="Q4" s="6">
        <v>0</v>
      </c>
      <c r="R4" t="str">
        <f t="shared" si="0"/>
        <v xml:space="preserve"> The Daniels 5 Star Short Let Apartment in Lekki_x000C_</v>
      </c>
      <c r="S4" t="str">
        <f t="shared" si="1"/>
        <v xml:space="preserve"> The Daniels 5 Star Short Let Apartment in Lekki</v>
      </c>
      <c r="T4">
        <f>Table1[[#This Row],[Adults]]+Table1[[#This Row],[Children]]</f>
        <v>2</v>
      </c>
      <c r="U4">
        <f>_xlfn.DAYS(Table1[[#This Row],[Depart]],Table1[[#This Row],[Arrive]])</f>
        <v>1</v>
      </c>
    </row>
    <row r="5" spans="1:21" x14ac:dyDescent="0.25">
      <c r="A5" t="s">
        <v>20</v>
      </c>
      <c r="B5" t="s">
        <v>21</v>
      </c>
      <c r="C5" t="s">
        <v>1178</v>
      </c>
      <c r="D5" s="1">
        <v>43872</v>
      </c>
      <c r="E5" s="1">
        <v>43874</v>
      </c>
      <c r="F5">
        <f t="shared" si="2"/>
        <v>2</v>
      </c>
      <c r="G5" s="1">
        <v>43872</v>
      </c>
      <c r="H5" s="2">
        <v>0.33333333333333331</v>
      </c>
      <c r="I5" s="3">
        <v>1</v>
      </c>
      <c r="J5" t="s">
        <v>1182</v>
      </c>
      <c r="K5" t="s">
        <v>1182</v>
      </c>
      <c r="L5" t="s">
        <v>22</v>
      </c>
      <c r="M5" s="12" t="s">
        <v>23</v>
      </c>
      <c r="N5">
        <v>1</v>
      </c>
      <c r="O5">
        <v>1</v>
      </c>
      <c r="P5" t="s">
        <v>19</v>
      </c>
      <c r="Q5" s="6">
        <v>110</v>
      </c>
      <c r="R5" t="str">
        <f t="shared" si="0"/>
        <v>Ope's 5 Star Short Let Apartment in Lekki_x000C_</v>
      </c>
      <c r="S5" t="str">
        <f t="shared" si="1"/>
        <v>Ope's 5 Star Short Let Apartment in Lekki</v>
      </c>
      <c r="T5">
        <f>Table1[[#This Row],[Adults]]+Table1[[#This Row],[Children]]</f>
        <v>2</v>
      </c>
      <c r="U5">
        <f>_xlfn.DAYS(Table1[[#This Row],[Depart]],Table1[[#This Row],[Arrive]])</f>
        <v>2</v>
      </c>
    </row>
    <row r="6" spans="1:21" x14ac:dyDescent="0.25">
      <c r="A6" t="s">
        <v>182</v>
      </c>
      <c r="B6" t="s">
        <v>183</v>
      </c>
      <c r="C6" t="s">
        <v>1179</v>
      </c>
      <c r="D6" s="1">
        <v>43872</v>
      </c>
      <c r="E6" s="1">
        <v>43873</v>
      </c>
      <c r="F6">
        <f t="shared" si="2"/>
        <v>1</v>
      </c>
      <c r="G6" s="1">
        <v>43930</v>
      </c>
      <c r="H6" s="2">
        <v>0.33333333333333331</v>
      </c>
      <c r="I6" s="3">
        <v>1</v>
      </c>
      <c r="J6" t="s">
        <v>1297</v>
      </c>
      <c r="K6" t="s">
        <v>1297</v>
      </c>
      <c r="L6" t="s">
        <v>22</v>
      </c>
      <c r="M6" s="12" t="s">
        <v>23</v>
      </c>
      <c r="N6">
        <v>1</v>
      </c>
      <c r="O6">
        <v>0</v>
      </c>
      <c r="P6" t="s">
        <v>19</v>
      </c>
      <c r="Q6" s="6">
        <v>110</v>
      </c>
      <c r="R6" t="str">
        <f t="shared" si="0"/>
        <v>Phiola's 5 Star Short Let Apartment in Lekki_x000C_</v>
      </c>
      <c r="S6" t="str">
        <f t="shared" si="1"/>
        <v>Phiola's 5 Star Short Let Apartment in Lekki</v>
      </c>
      <c r="T6">
        <f>Table1[[#This Row],[Adults]]+Table1[[#This Row],[Children]]</f>
        <v>1</v>
      </c>
      <c r="U6">
        <f>_xlfn.DAYS(Table1[[#This Row],[Depart]],Table1[[#This Row],[Arrive]])</f>
        <v>1</v>
      </c>
    </row>
    <row r="7" spans="1:21" x14ac:dyDescent="0.25">
      <c r="A7" t="s">
        <v>945</v>
      </c>
      <c r="B7" t="s">
        <v>946</v>
      </c>
      <c r="C7" t="s">
        <v>1175</v>
      </c>
      <c r="D7" s="1">
        <v>43872</v>
      </c>
      <c r="E7" s="1">
        <v>43901</v>
      </c>
      <c r="F7">
        <f t="shared" si="2"/>
        <v>29</v>
      </c>
      <c r="G7" s="1">
        <v>44127</v>
      </c>
      <c r="H7" s="2">
        <v>0.5</v>
      </c>
      <c r="I7" s="2">
        <v>0.58333333333333337</v>
      </c>
      <c r="J7" t="s">
        <v>1925</v>
      </c>
      <c r="K7" t="s">
        <v>1925</v>
      </c>
      <c r="L7" t="s">
        <v>22</v>
      </c>
      <c r="M7" s="12" t="s">
        <v>18</v>
      </c>
      <c r="N7">
        <v>1</v>
      </c>
      <c r="O7">
        <v>0</v>
      </c>
      <c r="P7" t="s">
        <v>19</v>
      </c>
      <c r="Q7" s="6">
        <v>130000</v>
      </c>
      <c r="R7" t="str">
        <f t="shared" si="0"/>
        <v>Keji's 5 Star Short let Apartment in Lekki_x000C_</v>
      </c>
      <c r="S7" t="str">
        <f t="shared" si="1"/>
        <v>Keji's 5 Star Short let Apartment in Lekki</v>
      </c>
      <c r="T7">
        <f>Table1[[#This Row],[Adults]]+Table1[[#This Row],[Children]]</f>
        <v>1</v>
      </c>
      <c r="U7">
        <f>_xlfn.DAYS(Table1[[#This Row],[Depart]],Table1[[#This Row],[Arrive]])</f>
        <v>29</v>
      </c>
    </row>
    <row r="8" spans="1:21" x14ac:dyDescent="0.25">
      <c r="A8" t="s">
        <v>945</v>
      </c>
      <c r="B8" t="s">
        <v>946</v>
      </c>
      <c r="C8" t="s">
        <v>1175</v>
      </c>
      <c r="D8" s="1">
        <v>43872</v>
      </c>
      <c r="E8" s="1">
        <v>43901</v>
      </c>
      <c r="F8">
        <f t="shared" si="2"/>
        <v>29</v>
      </c>
      <c r="G8" s="1">
        <v>44127</v>
      </c>
      <c r="H8" s="2">
        <v>0.5</v>
      </c>
      <c r="I8" s="2">
        <v>0.58333333333333337</v>
      </c>
      <c r="J8" t="s">
        <v>1926</v>
      </c>
      <c r="K8" t="s">
        <v>1926</v>
      </c>
      <c r="L8" t="s">
        <v>22</v>
      </c>
      <c r="M8" s="12" t="s">
        <v>18</v>
      </c>
      <c r="N8">
        <v>1</v>
      </c>
      <c r="O8">
        <v>0</v>
      </c>
      <c r="P8" t="s">
        <v>19</v>
      </c>
      <c r="Q8" s="6">
        <v>130000</v>
      </c>
      <c r="R8" t="str">
        <f t="shared" si="0"/>
        <v>Keji's 5 Star Short let Apartment in Lekki_x000C_</v>
      </c>
      <c r="S8" t="str">
        <f t="shared" si="1"/>
        <v>Keji's 5 Star Short let Apartment in Lekki</v>
      </c>
      <c r="T8">
        <f>Table1[[#This Row],[Adults]]+Table1[[#This Row],[Children]]</f>
        <v>1</v>
      </c>
      <c r="U8">
        <f>_xlfn.DAYS(Table1[[#This Row],[Depart]],Table1[[#This Row],[Arrive]])</f>
        <v>29</v>
      </c>
    </row>
    <row r="9" spans="1:21" x14ac:dyDescent="0.25">
      <c r="A9" t="s">
        <v>945</v>
      </c>
      <c r="B9" t="s">
        <v>946</v>
      </c>
      <c r="C9" t="s">
        <v>1175</v>
      </c>
      <c r="D9" s="1">
        <v>43872</v>
      </c>
      <c r="E9" s="1">
        <v>43901</v>
      </c>
      <c r="F9">
        <f t="shared" si="2"/>
        <v>29</v>
      </c>
      <c r="G9" s="1">
        <v>44127</v>
      </c>
      <c r="H9" s="2">
        <v>0.5</v>
      </c>
      <c r="I9" s="2">
        <v>0.58333333333333337</v>
      </c>
      <c r="J9" t="s">
        <v>1927</v>
      </c>
      <c r="K9" t="s">
        <v>1927</v>
      </c>
      <c r="L9" t="s">
        <v>22</v>
      </c>
      <c r="M9" s="12" t="s">
        <v>18</v>
      </c>
      <c r="N9">
        <v>1</v>
      </c>
      <c r="O9">
        <v>0</v>
      </c>
      <c r="P9" t="s">
        <v>19</v>
      </c>
      <c r="Q9" s="6">
        <v>130000</v>
      </c>
      <c r="R9" t="str">
        <f t="shared" si="0"/>
        <v>Keji's 5 Star Short let Apartment in Lekki_x000C_</v>
      </c>
      <c r="S9" t="str">
        <f t="shared" si="1"/>
        <v>Keji's 5 Star Short let Apartment in Lekki</v>
      </c>
      <c r="T9">
        <f>Table1[[#This Row],[Adults]]+Table1[[#This Row],[Children]]</f>
        <v>1</v>
      </c>
      <c r="U9">
        <f>_xlfn.DAYS(Table1[[#This Row],[Depart]],Table1[[#This Row],[Arrive]])</f>
        <v>29</v>
      </c>
    </row>
    <row r="10" spans="1:21" x14ac:dyDescent="0.25">
      <c r="A10" t="s">
        <v>31</v>
      </c>
      <c r="B10" t="s">
        <v>32</v>
      </c>
      <c r="C10" t="s">
        <v>1175</v>
      </c>
      <c r="D10" s="1">
        <v>43873</v>
      </c>
      <c r="E10" s="1">
        <v>43874</v>
      </c>
      <c r="F10">
        <f t="shared" si="2"/>
        <v>1</v>
      </c>
      <c r="G10" s="1">
        <v>43873</v>
      </c>
      <c r="H10" s="2">
        <v>0.33333333333333331</v>
      </c>
      <c r="I10" s="3">
        <v>1</v>
      </c>
      <c r="J10" t="s">
        <v>1221</v>
      </c>
      <c r="K10" t="s">
        <v>1221</v>
      </c>
      <c r="L10" t="s">
        <v>22</v>
      </c>
      <c r="M10" s="12" t="s">
        <v>18</v>
      </c>
      <c r="N10">
        <v>2</v>
      </c>
      <c r="O10">
        <v>1</v>
      </c>
      <c r="P10" t="s">
        <v>19</v>
      </c>
      <c r="Q10" s="6">
        <v>110</v>
      </c>
      <c r="R10" t="str">
        <f t="shared" si="0"/>
        <v>Keji's 5 Star Short let Apartment in Lekki_x000C_</v>
      </c>
      <c r="S10" t="str">
        <f t="shared" si="1"/>
        <v>Keji's 5 Star Short let Apartment in Lekki</v>
      </c>
      <c r="T10">
        <f>Table1[[#This Row],[Adults]]+Table1[[#This Row],[Children]]</f>
        <v>3</v>
      </c>
      <c r="U10">
        <f>_xlfn.DAYS(Table1[[#This Row],[Depart]],Table1[[#This Row],[Arrive]])</f>
        <v>1</v>
      </c>
    </row>
    <row r="11" spans="1:21" x14ac:dyDescent="0.25">
      <c r="A11" t="s">
        <v>20</v>
      </c>
      <c r="B11" t="s">
        <v>21</v>
      </c>
      <c r="C11" t="s">
        <v>1175</v>
      </c>
      <c r="D11" s="1">
        <v>43874</v>
      </c>
      <c r="E11" s="1">
        <v>43875</v>
      </c>
      <c r="F11">
        <f t="shared" si="2"/>
        <v>1</v>
      </c>
      <c r="G11" s="1">
        <v>43873</v>
      </c>
      <c r="H11" s="2">
        <v>0.33333333333333331</v>
      </c>
      <c r="I11" s="3">
        <v>1</v>
      </c>
      <c r="J11" t="s">
        <v>1183</v>
      </c>
      <c r="K11" t="s">
        <v>1183</v>
      </c>
      <c r="L11" t="s">
        <v>22</v>
      </c>
      <c r="M11" s="12" t="s">
        <v>23</v>
      </c>
      <c r="N11">
        <v>2</v>
      </c>
      <c r="O11">
        <v>1</v>
      </c>
      <c r="P11" t="s">
        <v>19</v>
      </c>
      <c r="Q11" s="6">
        <v>110</v>
      </c>
      <c r="R11" t="str">
        <f t="shared" si="0"/>
        <v>Keji's 5 Star Short let Apartment in Lekki_x000C_</v>
      </c>
      <c r="S11" t="str">
        <f t="shared" si="1"/>
        <v>Keji's 5 Star Short let Apartment in Lekki</v>
      </c>
      <c r="T11">
        <f>Table1[[#This Row],[Adults]]+Table1[[#This Row],[Children]]</f>
        <v>3</v>
      </c>
      <c r="U11">
        <f>_xlfn.DAYS(Table1[[#This Row],[Depart]],Table1[[#This Row],[Arrive]])</f>
        <v>1</v>
      </c>
    </row>
    <row r="12" spans="1:21" x14ac:dyDescent="0.25">
      <c r="A12" t="s">
        <v>31</v>
      </c>
      <c r="B12" t="s">
        <v>32</v>
      </c>
      <c r="C12" t="s">
        <v>1178</v>
      </c>
      <c r="D12" s="1">
        <v>43874</v>
      </c>
      <c r="E12" s="1">
        <v>43879</v>
      </c>
      <c r="F12">
        <f t="shared" si="2"/>
        <v>5</v>
      </c>
      <c r="G12" s="1">
        <v>43872</v>
      </c>
      <c r="H12" s="2">
        <v>0.33333333333333331</v>
      </c>
      <c r="I12" s="3">
        <v>1</v>
      </c>
      <c r="J12" t="s">
        <v>1187</v>
      </c>
      <c r="K12" t="s">
        <v>1187</v>
      </c>
      <c r="L12" t="s">
        <v>22</v>
      </c>
      <c r="M12" s="12" t="s">
        <v>23</v>
      </c>
      <c r="N12">
        <v>2</v>
      </c>
      <c r="O12">
        <v>1</v>
      </c>
      <c r="P12" t="s">
        <v>19</v>
      </c>
      <c r="Q12" s="6">
        <v>550</v>
      </c>
      <c r="R12" t="str">
        <f t="shared" si="0"/>
        <v>Ope's 5 Star Short Let Apartment in Lekki_x000C_</v>
      </c>
      <c r="S12" t="str">
        <f t="shared" si="1"/>
        <v>Ope's 5 Star Short Let Apartment in Lekki</v>
      </c>
      <c r="T12">
        <f>Table1[[#This Row],[Adults]]+Table1[[#This Row],[Children]]</f>
        <v>3</v>
      </c>
      <c r="U12">
        <f>_xlfn.DAYS(Table1[[#This Row],[Depart]],Table1[[#This Row],[Arrive]])</f>
        <v>5</v>
      </c>
    </row>
    <row r="13" spans="1:21" x14ac:dyDescent="0.25">
      <c r="A13" t="s">
        <v>20</v>
      </c>
      <c r="B13" t="s">
        <v>21</v>
      </c>
      <c r="C13" t="s">
        <v>1179</v>
      </c>
      <c r="D13" s="1">
        <v>43875</v>
      </c>
      <c r="E13" s="1">
        <v>43876</v>
      </c>
      <c r="F13">
        <f t="shared" si="2"/>
        <v>1</v>
      </c>
      <c r="G13" s="1">
        <v>43873</v>
      </c>
      <c r="H13" s="2">
        <v>0.33333333333333331</v>
      </c>
      <c r="I13" s="3">
        <v>1</v>
      </c>
      <c r="J13" t="s">
        <v>1296</v>
      </c>
      <c r="K13" t="s">
        <v>1296</v>
      </c>
      <c r="L13" t="s">
        <v>22</v>
      </c>
      <c r="M13" s="12" t="s">
        <v>18</v>
      </c>
      <c r="N13">
        <v>2</v>
      </c>
      <c r="O13">
        <v>1</v>
      </c>
      <c r="P13" t="s">
        <v>19</v>
      </c>
      <c r="Q13" s="6">
        <v>1</v>
      </c>
      <c r="R13" t="str">
        <f t="shared" si="0"/>
        <v>Phiola's 5 Star Short Let Apartment in Lekki_x000C_</v>
      </c>
      <c r="S13" t="str">
        <f t="shared" si="1"/>
        <v>Phiola's 5 Star Short Let Apartment in Lekki</v>
      </c>
      <c r="T13">
        <f>Table1[[#This Row],[Adults]]+Table1[[#This Row],[Children]]</f>
        <v>3</v>
      </c>
      <c r="U13">
        <f>_xlfn.DAYS(Table1[[#This Row],[Depart]],Table1[[#This Row],[Arrive]])</f>
        <v>1</v>
      </c>
    </row>
    <row r="14" spans="1:21" x14ac:dyDescent="0.25">
      <c r="A14" t="s">
        <v>27</v>
      </c>
      <c r="B14" t="s">
        <v>28</v>
      </c>
      <c r="C14" t="s">
        <v>1175</v>
      </c>
      <c r="D14" s="1">
        <v>43876</v>
      </c>
      <c r="E14" s="1">
        <v>43877</v>
      </c>
      <c r="F14">
        <f t="shared" si="2"/>
        <v>1</v>
      </c>
      <c r="G14" s="1">
        <v>43874</v>
      </c>
      <c r="H14" s="2">
        <v>0.33333333333333331</v>
      </c>
      <c r="I14" s="3">
        <v>1</v>
      </c>
      <c r="J14" t="s">
        <v>1185</v>
      </c>
      <c r="K14" t="s">
        <v>1185</v>
      </c>
      <c r="L14" t="s">
        <v>26</v>
      </c>
      <c r="M14" s="12" t="s">
        <v>18</v>
      </c>
      <c r="N14">
        <v>2</v>
      </c>
      <c r="O14">
        <v>0</v>
      </c>
      <c r="P14" t="s">
        <v>19</v>
      </c>
      <c r="Q14" s="6">
        <v>96</v>
      </c>
      <c r="R14" t="str">
        <f t="shared" si="0"/>
        <v>Keji's 5 Star Short let Apartment in Lekki_x000C_</v>
      </c>
      <c r="S14" t="str">
        <f t="shared" si="1"/>
        <v>Keji's 5 Star Short let Apartment in Lekki</v>
      </c>
      <c r="T14">
        <f>Table1[[#This Row],[Adults]]+Table1[[#This Row],[Children]]</f>
        <v>2</v>
      </c>
      <c r="U14">
        <f>_xlfn.DAYS(Table1[[#This Row],[Depart]],Table1[[#This Row],[Arrive]])</f>
        <v>1</v>
      </c>
    </row>
    <row r="15" spans="1:21" x14ac:dyDescent="0.25">
      <c r="A15" t="s">
        <v>29</v>
      </c>
      <c r="B15" t="s">
        <v>30</v>
      </c>
      <c r="C15" t="s">
        <v>1178</v>
      </c>
      <c r="D15" s="1">
        <v>43877</v>
      </c>
      <c r="E15" s="1">
        <v>43883</v>
      </c>
      <c r="F15">
        <f t="shared" si="2"/>
        <v>6</v>
      </c>
      <c r="G15" s="1">
        <v>43874</v>
      </c>
      <c r="H15" s="2">
        <v>0.33333333333333331</v>
      </c>
      <c r="I15" s="3">
        <v>1</v>
      </c>
      <c r="J15" t="s">
        <v>1186</v>
      </c>
      <c r="K15" t="s">
        <v>1186</v>
      </c>
      <c r="L15" t="s">
        <v>26</v>
      </c>
      <c r="M15" s="12" t="s">
        <v>18</v>
      </c>
      <c r="N15">
        <v>1</v>
      </c>
      <c r="O15">
        <v>0</v>
      </c>
      <c r="P15" t="s">
        <v>19</v>
      </c>
      <c r="Q15" s="6">
        <v>637</v>
      </c>
      <c r="R15" t="str">
        <f t="shared" si="0"/>
        <v>Ope's 5 Star Short Let Apartment in Lekki_x000C_</v>
      </c>
      <c r="S15" t="str">
        <f t="shared" si="1"/>
        <v>Ope's 5 Star Short Let Apartment in Lekki</v>
      </c>
      <c r="T15">
        <f>Table1[[#This Row],[Adults]]+Table1[[#This Row],[Children]]</f>
        <v>1</v>
      </c>
      <c r="U15">
        <f>_xlfn.DAYS(Table1[[#This Row],[Depart]],Table1[[#This Row],[Arrive]])</f>
        <v>6</v>
      </c>
    </row>
    <row r="16" spans="1:21" x14ac:dyDescent="0.25">
      <c r="A16" t="s">
        <v>36</v>
      </c>
      <c r="B16" t="s">
        <v>37</v>
      </c>
      <c r="C16" t="s">
        <v>1178</v>
      </c>
      <c r="D16" s="1">
        <v>43879</v>
      </c>
      <c r="E16" s="1">
        <v>43881</v>
      </c>
      <c r="F16">
        <f t="shared" si="2"/>
        <v>2</v>
      </c>
      <c r="G16" s="1">
        <v>43876</v>
      </c>
      <c r="H16" s="2">
        <v>0.33333333333333331</v>
      </c>
      <c r="I16" s="3">
        <v>1</v>
      </c>
      <c r="J16" t="s">
        <v>1189</v>
      </c>
      <c r="K16" t="s">
        <v>1189</v>
      </c>
      <c r="L16" t="s">
        <v>26</v>
      </c>
      <c r="M16" s="12" t="s">
        <v>18</v>
      </c>
      <c r="N16">
        <v>1</v>
      </c>
      <c r="O16">
        <v>0</v>
      </c>
      <c r="P16" t="s">
        <v>19</v>
      </c>
      <c r="Q16" s="6">
        <v>212</v>
      </c>
      <c r="R16" t="str">
        <f t="shared" si="0"/>
        <v>Ope's 5 Star Short Let Apartment in Lekki_x000C_</v>
      </c>
      <c r="S16" t="str">
        <f t="shared" si="1"/>
        <v>Ope's 5 Star Short Let Apartment in Lekki</v>
      </c>
      <c r="T16">
        <f>Table1[[#This Row],[Adults]]+Table1[[#This Row],[Children]]</f>
        <v>1</v>
      </c>
      <c r="U16">
        <f>_xlfn.DAYS(Table1[[#This Row],[Depart]],Table1[[#This Row],[Arrive]])</f>
        <v>2</v>
      </c>
    </row>
    <row r="17" spans="1:21" x14ac:dyDescent="0.25">
      <c r="A17" t="s">
        <v>31</v>
      </c>
      <c r="B17" t="s">
        <v>32</v>
      </c>
      <c r="C17" t="s">
        <v>1178</v>
      </c>
      <c r="D17" s="1">
        <v>43879</v>
      </c>
      <c r="E17" s="1">
        <v>43880</v>
      </c>
      <c r="F17">
        <f t="shared" si="2"/>
        <v>1</v>
      </c>
      <c r="G17" s="1">
        <v>43879</v>
      </c>
      <c r="H17" s="2">
        <v>0.33333333333333331</v>
      </c>
      <c r="I17" s="3">
        <v>1</v>
      </c>
      <c r="J17" t="s">
        <v>1192</v>
      </c>
      <c r="K17" t="s">
        <v>1192</v>
      </c>
      <c r="L17" t="s">
        <v>22</v>
      </c>
      <c r="M17" s="12" t="s">
        <v>23</v>
      </c>
      <c r="N17">
        <v>2</v>
      </c>
      <c r="O17">
        <v>1</v>
      </c>
      <c r="P17" t="s">
        <v>19</v>
      </c>
      <c r="Q17" s="6">
        <v>110</v>
      </c>
      <c r="R17" t="str">
        <f t="shared" si="0"/>
        <v>Ope's 5 Star Short Let Apartment in Lekki_x000C_</v>
      </c>
      <c r="S17" t="str">
        <f t="shared" si="1"/>
        <v>Ope's 5 Star Short Let Apartment in Lekki</v>
      </c>
      <c r="T17">
        <f>Table1[[#This Row],[Adults]]+Table1[[#This Row],[Children]]</f>
        <v>3</v>
      </c>
      <c r="U17">
        <f>_xlfn.DAYS(Table1[[#This Row],[Depart]],Table1[[#This Row],[Arrive]])</f>
        <v>1</v>
      </c>
    </row>
    <row r="18" spans="1:21" x14ac:dyDescent="0.25">
      <c r="A18" t="s">
        <v>44</v>
      </c>
      <c r="B18" t="s">
        <v>45</v>
      </c>
      <c r="C18" t="s">
        <v>1176</v>
      </c>
      <c r="D18" s="1">
        <v>43879</v>
      </c>
      <c r="E18" s="1">
        <v>43880</v>
      </c>
      <c r="F18">
        <f t="shared" si="2"/>
        <v>1</v>
      </c>
      <c r="G18" s="1">
        <v>43879</v>
      </c>
      <c r="H18" s="2">
        <v>0.58333333333333337</v>
      </c>
      <c r="I18" s="2">
        <v>0.45833333333333331</v>
      </c>
      <c r="J18" t="s">
        <v>1195</v>
      </c>
      <c r="K18" t="s">
        <v>1195</v>
      </c>
      <c r="L18" t="s">
        <v>26</v>
      </c>
      <c r="M18" s="12" t="s">
        <v>18</v>
      </c>
      <c r="N18">
        <v>4</v>
      </c>
      <c r="O18">
        <v>0</v>
      </c>
      <c r="P18" t="s">
        <v>19</v>
      </c>
      <c r="Q18" s="6">
        <v>85</v>
      </c>
      <c r="R18" t="str">
        <f t="shared" si="0"/>
        <v>Tiara's Luxury Home Away From Home_x000C_</v>
      </c>
      <c r="S18" t="str">
        <f t="shared" si="1"/>
        <v>Tiara's Luxury Home Away From Home</v>
      </c>
      <c r="T18">
        <f>Table1[[#This Row],[Adults]]+Table1[[#This Row],[Children]]</f>
        <v>4</v>
      </c>
      <c r="U18">
        <f>_xlfn.DAYS(Table1[[#This Row],[Depart]],Table1[[#This Row],[Arrive]])</f>
        <v>1</v>
      </c>
    </row>
    <row r="19" spans="1:21" x14ac:dyDescent="0.25">
      <c r="A19" t="s">
        <v>40</v>
      </c>
      <c r="B19" t="s">
        <v>41</v>
      </c>
      <c r="C19" t="s">
        <v>1173</v>
      </c>
      <c r="D19" s="1">
        <v>43880</v>
      </c>
      <c r="E19" s="1">
        <v>43881</v>
      </c>
      <c r="F19">
        <f t="shared" si="2"/>
        <v>1</v>
      </c>
      <c r="G19" s="1">
        <v>43879</v>
      </c>
      <c r="H19" s="2">
        <v>0.33333333333333331</v>
      </c>
      <c r="I19" s="3">
        <v>1</v>
      </c>
      <c r="J19" t="s">
        <v>1191</v>
      </c>
      <c r="K19" t="s">
        <v>1191</v>
      </c>
      <c r="L19" t="s">
        <v>22</v>
      </c>
      <c r="M19" s="12" t="s">
        <v>23</v>
      </c>
      <c r="N19">
        <v>2</v>
      </c>
      <c r="O19">
        <v>1</v>
      </c>
      <c r="P19" t="s">
        <v>19</v>
      </c>
      <c r="Q19" s="6">
        <v>110</v>
      </c>
      <c r="R19" t="str">
        <f t="shared" si="0"/>
        <v xml:space="preserve"> The Daniels 5 Star Short Let Apartment in Lekki_x000C_</v>
      </c>
      <c r="S19" t="str">
        <f t="shared" si="1"/>
        <v xml:space="preserve"> The Daniels 5 Star Short Let Apartment in Lekki</v>
      </c>
      <c r="T19">
        <f>Table1[[#This Row],[Adults]]+Table1[[#This Row],[Children]]</f>
        <v>3</v>
      </c>
      <c r="U19">
        <f>_xlfn.DAYS(Table1[[#This Row],[Depart]],Table1[[#This Row],[Arrive]])</f>
        <v>1</v>
      </c>
    </row>
    <row r="20" spans="1:21" x14ac:dyDescent="0.25">
      <c r="A20" t="s">
        <v>36</v>
      </c>
      <c r="B20" t="s">
        <v>37</v>
      </c>
      <c r="C20" t="s">
        <v>1173</v>
      </c>
      <c r="D20" s="1">
        <v>43881</v>
      </c>
      <c r="E20" s="1">
        <v>43883</v>
      </c>
      <c r="F20">
        <f t="shared" si="2"/>
        <v>2</v>
      </c>
      <c r="G20" s="1">
        <v>43880</v>
      </c>
      <c r="H20" s="2">
        <v>0.33333333333333331</v>
      </c>
      <c r="I20" s="3">
        <v>1</v>
      </c>
      <c r="J20" t="s">
        <v>1198</v>
      </c>
      <c r="K20" t="s">
        <v>1198</v>
      </c>
      <c r="L20" t="s">
        <v>26</v>
      </c>
      <c r="M20" s="12" t="s">
        <v>18</v>
      </c>
      <c r="N20">
        <v>1</v>
      </c>
      <c r="O20">
        <v>0</v>
      </c>
      <c r="P20" t="s">
        <v>19</v>
      </c>
      <c r="Q20" s="6">
        <v>212</v>
      </c>
      <c r="R20" t="str">
        <f t="shared" si="0"/>
        <v xml:space="preserve"> The Daniels 5 Star Short Let Apartment in Lekki_x000C_</v>
      </c>
      <c r="S20" t="str">
        <f t="shared" si="1"/>
        <v xml:space="preserve"> The Daniels 5 Star Short Let Apartment in Lekki</v>
      </c>
      <c r="T20">
        <f>Table1[[#This Row],[Adults]]+Table1[[#This Row],[Children]]</f>
        <v>1</v>
      </c>
      <c r="U20">
        <f>_xlfn.DAYS(Table1[[#This Row],[Depart]],Table1[[#This Row],[Arrive]])</f>
        <v>2</v>
      </c>
    </row>
    <row r="21" spans="1:21" x14ac:dyDescent="0.25">
      <c r="A21" t="s">
        <v>31</v>
      </c>
      <c r="B21" t="s">
        <v>32</v>
      </c>
      <c r="C21" t="s">
        <v>1173</v>
      </c>
      <c r="D21" s="1">
        <v>43881</v>
      </c>
      <c r="E21" s="1">
        <v>43883</v>
      </c>
      <c r="F21">
        <f t="shared" si="2"/>
        <v>2</v>
      </c>
      <c r="G21" s="1">
        <v>43880</v>
      </c>
      <c r="H21" s="2">
        <v>0.33333333333333331</v>
      </c>
      <c r="I21" s="3">
        <v>1</v>
      </c>
      <c r="J21" t="s">
        <v>1199</v>
      </c>
      <c r="K21" t="s">
        <v>1199</v>
      </c>
      <c r="L21" t="s">
        <v>22</v>
      </c>
      <c r="M21" s="12" t="s">
        <v>23</v>
      </c>
      <c r="N21">
        <v>2</v>
      </c>
      <c r="O21">
        <v>0</v>
      </c>
      <c r="P21" t="s">
        <v>19</v>
      </c>
      <c r="Q21" s="6">
        <v>110</v>
      </c>
      <c r="R21" t="str">
        <f t="shared" si="0"/>
        <v xml:space="preserve"> The Daniels 5 Star Short Let Apartment in Lekki_x000C_</v>
      </c>
      <c r="S21" t="str">
        <f t="shared" si="1"/>
        <v xml:space="preserve"> The Daniels 5 Star Short Let Apartment in Lekki</v>
      </c>
      <c r="T21">
        <f>Table1[[#This Row],[Adults]]+Table1[[#This Row],[Children]]</f>
        <v>2</v>
      </c>
      <c r="U21">
        <f>_xlfn.DAYS(Table1[[#This Row],[Depart]],Table1[[#This Row],[Arrive]])</f>
        <v>2</v>
      </c>
    </row>
    <row r="22" spans="1:21" x14ac:dyDescent="0.25">
      <c r="A22" t="s">
        <v>58</v>
      </c>
      <c r="B22" t="s">
        <v>59</v>
      </c>
      <c r="C22" t="s">
        <v>1178</v>
      </c>
      <c r="D22" s="1">
        <v>43884</v>
      </c>
      <c r="E22" s="1">
        <v>43886</v>
      </c>
      <c r="F22">
        <f t="shared" si="2"/>
        <v>2</v>
      </c>
      <c r="G22" s="1">
        <v>43883</v>
      </c>
      <c r="H22" s="2">
        <v>0.33333333333333331</v>
      </c>
      <c r="I22" s="3">
        <v>1</v>
      </c>
      <c r="J22" t="s">
        <v>1204</v>
      </c>
      <c r="K22" t="s">
        <v>1204</v>
      </c>
      <c r="L22" t="s">
        <v>26</v>
      </c>
      <c r="M22" s="12" t="s">
        <v>18</v>
      </c>
      <c r="N22">
        <v>1</v>
      </c>
      <c r="O22">
        <v>0</v>
      </c>
      <c r="P22" t="s">
        <v>19</v>
      </c>
      <c r="Q22" s="6">
        <v>212</v>
      </c>
      <c r="R22" t="str">
        <f t="shared" si="0"/>
        <v>Ope's 5 Star Short Let Apartment in Lekki_x000C_</v>
      </c>
      <c r="S22" t="str">
        <f t="shared" si="1"/>
        <v>Ope's 5 Star Short Let Apartment in Lekki</v>
      </c>
      <c r="T22">
        <f>Table1[[#This Row],[Adults]]+Table1[[#This Row],[Children]]</f>
        <v>1</v>
      </c>
      <c r="U22">
        <f>_xlfn.DAYS(Table1[[#This Row],[Depart]],Table1[[#This Row],[Arrive]])</f>
        <v>2</v>
      </c>
    </row>
    <row r="23" spans="1:21" x14ac:dyDescent="0.25">
      <c r="A23" t="s">
        <v>66</v>
      </c>
      <c r="B23" t="s">
        <v>67</v>
      </c>
      <c r="C23" t="s">
        <v>1178</v>
      </c>
      <c r="D23" s="1">
        <v>43884</v>
      </c>
      <c r="E23" s="1">
        <v>43886</v>
      </c>
      <c r="F23">
        <f t="shared" si="2"/>
        <v>2</v>
      </c>
      <c r="G23" s="1">
        <v>43883</v>
      </c>
      <c r="H23" s="2">
        <v>0.33333333333333331</v>
      </c>
      <c r="I23" s="3">
        <v>1</v>
      </c>
      <c r="J23" t="s">
        <v>1209</v>
      </c>
      <c r="K23" t="s">
        <v>1209</v>
      </c>
      <c r="L23" t="s">
        <v>22</v>
      </c>
      <c r="M23" s="12" t="s">
        <v>23</v>
      </c>
      <c r="N23">
        <v>3</v>
      </c>
      <c r="O23">
        <v>0</v>
      </c>
      <c r="P23" t="s">
        <v>19</v>
      </c>
      <c r="Q23" s="6">
        <v>220</v>
      </c>
      <c r="R23" t="str">
        <f t="shared" si="0"/>
        <v>Ope's 5 Star Short Let Apartment in Lekki_x000C_</v>
      </c>
      <c r="S23" t="str">
        <f t="shared" si="1"/>
        <v>Ope's 5 Star Short Let Apartment in Lekki</v>
      </c>
      <c r="T23">
        <f>Table1[[#This Row],[Adults]]+Table1[[#This Row],[Children]]</f>
        <v>3</v>
      </c>
      <c r="U23">
        <f>_xlfn.DAYS(Table1[[#This Row],[Depart]],Table1[[#This Row],[Arrive]])</f>
        <v>2</v>
      </c>
    </row>
    <row r="24" spans="1:21" x14ac:dyDescent="0.25">
      <c r="A24" t="s">
        <v>54</v>
      </c>
      <c r="B24" t="s">
        <v>55</v>
      </c>
      <c r="C24" t="s">
        <v>1178</v>
      </c>
      <c r="D24" s="1">
        <v>43885</v>
      </c>
      <c r="E24" s="1">
        <v>43887</v>
      </c>
      <c r="F24">
        <f t="shared" si="2"/>
        <v>2</v>
      </c>
      <c r="G24" s="1">
        <v>43882</v>
      </c>
      <c r="H24" s="2">
        <v>0.33333333333333331</v>
      </c>
      <c r="I24" s="3">
        <v>1</v>
      </c>
      <c r="J24" t="s">
        <v>1202</v>
      </c>
      <c r="K24" t="s">
        <v>1202</v>
      </c>
      <c r="L24" t="s">
        <v>26</v>
      </c>
      <c r="M24" s="12" t="s">
        <v>18</v>
      </c>
      <c r="N24">
        <v>4</v>
      </c>
      <c r="O24">
        <v>0</v>
      </c>
      <c r="P24" t="s">
        <v>19</v>
      </c>
      <c r="Q24" s="6">
        <v>212</v>
      </c>
      <c r="R24" t="str">
        <f t="shared" si="0"/>
        <v>Ope's 5 Star Short Let Apartment in Lekki_x000C_</v>
      </c>
      <c r="S24" t="str">
        <f t="shared" si="1"/>
        <v>Ope's 5 Star Short Let Apartment in Lekki</v>
      </c>
      <c r="T24">
        <f>Table1[[#This Row],[Adults]]+Table1[[#This Row],[Children]]</f>
        <v>4</v>
      </c>
      <c r="U24">
        <f>_xlfn.DAYS(Table1[[#This Row],[Depart]],Table1[[#This Row],[Arrive]])</f>
        <v>2</v>
      </c>
    </row>
    <row r="25" spans="1:21" x14ac:dyDescent="0.25">
      <c r="A25" t="s">
        <v>42</v>
      </c>
      <c r="B25" t="s">
        <v>43</v>
      </c>
      <c r="C25" t="s">
        <v>1178</v>
      </c>
      <c r="D25" s="1">
        <v>43886</v>
      </c>
      <c r="E25" s="1">
        <v>43887</v>
      </c>
      <c r="F25">
        <f t="shared" si="2"/>
        <v>1</v>
      </c>
      <c r="G25" s="1">
        <v>43885</v>
      </c>
      <c r="H25" s="2">
        <v>0.33333333333333331</v>
      </c>
      <c r="I25" s="3">
        <v>1</v>
      </c>
      <c r="J25" t="s">
        <v>1212</v>
      </c>
      <c r="K25" t="s">
        <v>1212</v>
      </c>
      <c r="L25" t="s">
        <v>22</v>
      </c>
      <c r="M25" s="12" t="s">
        <v>23</v>
      </c>
      <c r="N25">
        <v>3</v>
      </c>
      <c r="O25">
        <v>0</v>
      </c>
      <c r="P25" t="s">
        <v>19</v>
      </c>
      <c r="Q25" s="6">
        <v>110</v>
      </c>
      <c r="R25" t="str">
        <f t="shared" si="0"/>
        <v>Ope's 5 Star Short Let Apartment in Lekki_x000C_</v>
      </c>
      <c r="S25" t="str">
        <f t="shared" si="1"/>
        <v>Ope's 5 Star Short Let Apartment in Lekki</v>
      </c>
      <c r="T25">
        <f>Table1[[#This Row],[Adults]]+Table1[[#This Row],[Children]]</f>
        <v>3</v>
      </c>
      <c r="U25">
        <f>_xlfn.DAYS(Table1[[#This Row],[Depart]],Table1[[#This Row],[Arrive]])</f>
        <v>1</v>
      </c>
    </row>
    <row r="26" spans="1:21" x14ac:dyDescent="0.25">
      <c r="A26" t="s">
        <v>38</v>
      </c>
      <c r="B26" t="s">
        <v>39</v>
      </c>
      <c r="C26" t="s">
        <v>1175</v>
      </c>
      <c r="D26" s="1">
        <v>43888</v>
      </c>
      <c r="E26" s="1">
        <v>43889</v>
      </c>
      <c r="F26">
        <f t="shared" si="2"/>
        <v>1</v>
      </c>
      <c r="G26" s="1">
        <v>43875</v>
      </c>
      <c r="H26" s="2">
        <v>0.33333333333333331</v>
      </c>
      <c r="I26" s="3">
        <v>1</v>
      </c>
      <c r="J26" t="s">
        <v>1190</v>
      </c>
      <c r="K26" t="s">
        <v>1190</v>
      </c>
      <c r="L26" t="s">
        <v>26</v>
      </c>
      <c r="M26" s="12" t="s">
        <v>18</v>
      </c>
      <c r="N26">
        <v>1</v>
      </c>
      <c r="O26">
        <v>0</v>
      </c>
      <c r="P26" t="s">
        <v>19</v>
      </c>
      <c r="Q26" s="6">
        <v>106</v>
      </c>
      <c r="R26" t="str">
        <f t="shared" si="0"/>
        <v>Keji's 5 Star Short let Apartment in Lekki_x000C_</v>
      </c>
      <c r="S26" t="str">
        <f t="shared" si="1"/>
        <v>Keji's 5 Star Short let Apartment in Lekki</v>
      </c>
      <c r="T26">
        <f>Table1[[#This Row],[Adults]]+Table1[[#This Row],[Children]]</f>
        <v>1</v>
      </c>
      <c r="U26">
        <f>_xlfn.DAYS(Table1[[#This Row],[Depart]],Table1[[#This Row],[Arrive]])</f>
        <v>1</v>
      </c>
    </row>
    <row r="27" spans="1:21" x14ac:dyDescent="0.25">
      <c r="A27" t="s">
        <v>42</v>
      </c>
      <c r="B27" t="s">
        <v>43</v>
      </c>
      <c r="C27" t="s">
        <v>1178</v>
      </c>
      <c r="D27" s="1">
        <v>43888</v>
      </c>
      <c r="E27" s="1">
        <v>43889</v>
      </c>
      <c r="F27">
        <f t="shared" si="2"/>
        <v>1</v>
      </c>
      <c r="G27" s="1">
        <v>43879</v>
      </c>
      <c r="H27" s="2">
        <v>0.33333333333333331</v>
      </c>
      <c r="I27" s="3">
        <v>1</v>
      </c>
      <c r="J27" t="s">
        <v>1193</v>
      </c>
      <c r="K27" t="s">
        <v>1193</v>
      </c>
      <c r="L27" t="s">
        <v>22</v>
      </c>
      <c r="M27" s="12" t="s">
        <v>18</v>
      </c>
      <c r="N27">
        <v>3</v>
      </c>
      <c r="O27">
        <v>0</v>
      </c>
      <c r="P27" t="s">
        <v>19</v>
      </c>
      <c r="Q27" s="6">
        <v>110</v>
      </c>
      <c r="R27" t="str">
        <f t="shared" si="0"/>
        <v>Ope's 5 Star Short Let Apartment in Lekki_x000C_</v>
      </c>
      <c r="S27" t="str">
        <f t="shared" si="1"/>
        <v>Ope's 5 Star Short Let Apartment in Lekki</v>
      </c>
      <c r="T27">
        <f>Table1[[#This Row],[Adults]]+Table1[[#This Row],[Children]]</f>
        <v>3</v>
      </c>
      <c r="U27">
        <f>_xlfn.DAYS(Table1[[#This Row],[Depart]],Table1[[#This Row],[Arrive]])</f>
        <v>1</v>
      </c>
    </row>
    <row r="28" spans="1:21" x14ac:dyDescent="0.25">
      <c r="A28" t="s">
        <v>50</v>
      </c>
      <c r="B28" t="s">
        <v>51</v>
      </c>
      <c r="C28" t="s">
        <v>1175</v>
      </c>
      <c r="D28" s="1">
        <v>43888</v>
      </c>
      <c r="E28" s="1">
        <v>43889</v>
      </c>
      <c r="F28">
        <f t="shared" si="2"/>
        <v>1</v>
      </c>
      <c r="G28" s="1">
        <v>43880</v>
      </c>
      <c r="H28" s="2">
        <v>0.33333333333333331</v>
      </c>
      <c r="I28" s="3">
        <v>1</v>
      </c>
      <c r="J28" t="s">
        <v>1200</v>
      </c>
      <c r="K28" t="s">
        <v>1200</v>
      </c>
      <c r="L28" t="s">
        <v>26</v>
      </c>
      <c r="M28" s="12" t="s">
        <v>18</v>
      </c>
      <c r="N28">
        <v>1</v>
      </c>
      <c r="O28">
        <v>0</v>
      </c>
      <c r="P28" t="s">
        <v>19</v>
      </c>
      <c r="Q28" s="6">
        <v>106</v>
      </c>
      <c r="R28" t="str">
        <f t="shared" si="0"/>
        <v>Keji's 5 Star Short let Apartment in Lekki_x000C_</v>
      </c>
      <c r="S28" t="str">
        <f t="shared" si="1"/>
        <v>Keji's 5 Star Short let Apartment in Lekki</v>
      </c>
      <c r="T28">
        <f>Table1[[#This Row],[Adults]]+Table1[[#This Row],[Children]]</f>
        <v>1</v>
      </c>
      <c r="U28">
        <f>_xlfn.DAYS(Table1[[#This Row],[Depart]],Table1[[#This Row],[Arrive]])</f>
        <v>1</v>
      </c>
    </row>
    <row r="29" spans="1:21" x14ac:dyDescent="0.25">
      <c r="A29" t="s">
        <v>42</v>
      </c>
      <c r="B29" t="s">
        <v>43</v>
      </c>
      <c r="C29" t="s">
        <v>1178</v>
      </c>
      <c r="D29" s="1">
        <v>43889</v>
      </c>
      <c r="E29" s="1">
        <v>43890</v>
      </c>
      <c r="F29">
        <f t="shared" si="2"/>
        <v>1</v>
      </c>
      <c r="G29" s="1">
        <v>43879</v>
      </c>
      <c r="H29" s="2">
        <v>0.33333333333333331</v>
      </c>
      <c r="I29" s="3">
        <v>1</v>
      </c>
      <c r="J29" t="s">
        <v>1194</v>
      </c>
      <c r="K29" t="s">
        <v>1194</v>
      </c>
      <c r="L29" t="s">
        <v>22</v>
      </c>
      <c r="M29" s="12" t="s">
        <v>23</v>
      </c>
      <c r="N29">
        <v>2</v>
      </c>
      <c r="O29">
        <v>0</v>
      </c>
      <c r="P29" t="s">
        <v>19</v>
      </c>
      <c r="Q29" s="6">
        <v>110</v>
      </c>
      <c r="R29" t="str">
        <f t="shared" si="0"/>
        <v>Ope's 5 Star Short Let Apartment in Lekki_x000C_</v>
      </c>
      <c r="S29" t="str">
        <f t="shared" si="1"/>
        <v>Ope's 5 Star Short Let Apartment in Lekki</v>
      </c>
      <c r="T29">
        <f>Table1[[#This Row],[Adults]]+Table1[[#This Row],[Children]]</f>
        <v>2</v>
      </c>
      <c r="U29">
        <f>_xlfn.DAYS(Table1[[#This Row],[Depart]],Table1[[#This Row],[Arrive]])</f>
        <v>1</v>
      </c>
    </row>
    <row r="30" spans="1:21" x14ac:dyDescent="0.25">
      <c r="A30" t="s">
        <v>64</v>
      </c>
      <c r="B30" t="s">
        <v>65</v>
      </c>
      <c r="C30" t="s">
        <v>1175</v>
      </c>
      <c r="D30" s="1">
        <v>43889</v>
      </c>
      <c r="E30" s="1">
        <v>43890</v>
      </c>
      <c r="F30">
        <f t="shared" si="2"/>
        <v>1</v>
      </c>
      <c r="G30" s="1">
        <v>43884</v>
      </c>
      <c r="H30" s="2">
        <v>0.33333333333333331</v>
      </c>
      <c r="I30" s="3">
        <v>1</v>
      </c>
      <c r="J30" t="s">
        <v>1207</v>
      </c>
      <c r="K30" t="s">
        <v>1207</v>
      </c>
      <c r="L30" t="s">
        <v>22</v>
      </c>
      <c r="M30" s="12" t="s">
        <v>23</v>
      </c>
      <c r="N30">
        <v>3</v>
      </c>
      <c r="O30">
        <v>0</v>
      </c>
      <c r="P30" t="s">
        <v>19</v>
      </c>
      <c r="Q30" s="6">
        <v>110</v>
      </c>
      <c r="R30" t="str">
        <f t="shared" si="0"/>
        <v>Keji's 5 Star Short let Apartment in Lekki_x000C_</v>
      </c>
      <c r="S30" t="str">
        <f t="shared" si="1"/>
        <v>Keji's 5 Star Short let Apartment in Lekki</v>
      </c>
      <c r="T30">
        <f>Table1[[#This Row],[Adults]]+Table1[[#This Row],[Children]]</f>
        <v>3</v>
      </c>
      <c r="U30">
        <f>_xlfn.DAYS(Table1[[#This Row],[Depart]],Table1[[#This Row],[Arrive]])</f>
        <v>1</v>
      </c>
    </row>
    <row r="31" spans="1:21" x14ac:dyDescent="0.25">
      <c r="A31" t="s">
        <v>56</v>
      </c>
      <c r="B31" t="s">
        <v>57</v>
      </c>
      <c r="C31" t="s">
        <v>1179</v>
      </c>
      <c r="D31" s="1">
        <v>43890</v>
      </c>
      <c r="E31" s="1">
        <v>43894</v>
      </c>
      <c r="F31">
        <f t="shared" si="2"/>
        <v>4</v>
      </c>
      <c r="G31" s="1">
        <v>43880</v>
      </c>
      <c r="H31" s="2">
        <v>0.33333333333333331</v>
      </c>
      <c r="I31" s="3">
        <v>1</v>
      </c>
      <c r="J31" t="s">
        <v>1203</v>
      </c>
      <c r="K31" t="s">
        <v>1203</v>
      </c>
      <c r="L31" t="s">
        <v>22</v>
      </c>
      <c r="M31" s="12" t="s">
        <v>18</v>
      </c>
      <c r="N31">
        <v>4</v>
      </c>
      <c r="O31">
        <v>0</v>
      </c>
      <c r="P31" t="s">
        <v>19</v>
      </c>
      <c r="Q31" s="6">
        <v>220</v>
      </c>
      <c r="R31" t="str">
        <f t="shared" si="0"/>
        <v>Phiola's 5 Star Short Let Apartment in Lekki_x000C_</v>
      </c>
      <c r="S31" t="str">
        <f t="shared" si="1"/>
        <v>Phiola's 5 Star Short Let Apartment in Lekki</v>
      </c>
      <c r="T31">
        <f>Table1[[#This Row],[Adults]]+Table1[[#This Row],[Children]]</f>
        <v>4</v>
      </c>
      <c r="U31">
        <f>_xlfn.DAYS(Table1[[#This Row],[Depart]],Table1[[#This Row],[Arrive]])</f>
        <v>4</v>
      </c>
    </row>
    <row r="32" spans="1:21" x14ac:dyDescent="0.25">
      <c r="A32" t="s">
        <v>64</v>
      </c>
      <c r="B32" t="s">
        <v>65</v>
      </c>
      <c r="C32" t="s">
        <v>1175</v>
      </c>
      <c r="D32" s="1">
        <v>43890</v>
      </c>
      <c r="E32" s="1">
        <v>43891</v>
      </c>
      <c r="F32">
        <f t="shared" si="2"/>
        <v>1</v>
      </c>
      <c r="G32" s="1">
        <v>43884</v>
      </c>
      <c r="H32" s="2">
        <v>0.33333333333333331</v>
      </c>
      <c r="I32" s="3">
        <v>1</v>
      </c>
      <c r="J32" t="s">
        <v>1208</v>
      </c>
      <c r="K32" t="s">
        <v>1208</v>
      </c>
      <c r="L32" t="s">
        <v>22</v>
      </c>
      <c r="M32" s="12" t="s">
        <v>23</v>
      </c>
      <c r="N32">
        <v>3</v>
      </c>
      <c r="O32">
        <v>0</v>
      </c>
      <c r="P32" t="s">
        <v>19</v>
      </c>
      <c r="Q32" s="6">
        <v>110</v>
      </c>
      <c r="R32" t="str">
        <f t="shared" si="0"/>
        <v>Keji's 5 Star Short let Apartment in Lekki_x000C_</v>
      </c>
      <c r="S32" t="str">
        <f t="shared" si="1"/>
        <v>Keji's 5 Star Short let Apartment in Lekki</v>
      </c>
      <c r="T32">
        <f>Table1[[#This Row],[Adults]]+Table1[[#This Row],[Children]]</f>
        <v>3</v>
      </c>
      <c r="U32">
        <f>_xlfn.DAYS(Table1[[#This Row],[Depart]],Table1[[#This Row],[Arrive]])</f>
        <v>1</v>
      </c>
    </row>
    <row r="33" spans="1:21" x14ac:dyDescent="0.25">
      <c r="A33" t="s">
        <v>72</v>
      </c>
      <c r="B33" t="s">
        <v>73</v>
      </c>
      <c r="C33" t="s">
        <v>1178</v>
      </c>
      <c r="D33" s="1">
        <v>43890</v>
      </c>
      <c r="E33" s="1">
        <v>43891</v>
      </c>
      <c r="F33">
        <f t="shared" si="2"/>
        <v>1</v>
      </c>
      <c r="G33" s="1">
        <v>43885</v>
      </c>
      <c r="H33" s="2">
        <v>0.33333333333333331</v>
      </c>
      <c r="I33" s="3">
        <v>1</v>
      </c>
      <c r="J33" t="s">
        <v>1213</v>
      </c>
      <c r="K33" t="s">
        <v>1213</v>
      </c>
      <c r="L33" t="s">
        <v>26</v>
      </c>
      <c r="M33" s="12" t="s">
        <v>18</v>
      </c>
      <c r="N33">
        <v>1</v>
      </c>
      <c r="O33">
        <v>0</v>
      </c>
      <c r="P33" t="s">
        <v>19</v>
      </c>
      <c r="Q33" s="6">
        <v>106</v>
      </c>
      <c r="R33" t="str">
        <f t="shared" si="0"/>
        <v>Ope's 5 Star Short Let Apartment in Lekki_x000C_</v>
      </c>
      <c r="S33" t="str">
        <f t="shared" si="1"/>
        <v>Ope's 5 Star Short Let Apartment in Lekki</v>
      </c>
      <c r="T33">
        <f>Table1[[#This Row],[Adults]]+Table1[[#This Row],[Children]]</f>
        <v>1</v>
      </c>
      <c r="U33">
        <f>_xlfn.DAYS(Table1[[#This Row],[Depart]],Table1[[#This Row],[Arrive]])</f>
        <v>1</v>
      </c>
    </row>
    <row r="34" spans="1:21" x14ac:dyDescent="0.25">
      <c r="A34" t="s">
        <v>80</v>
      </c>
      <c r="B34" t="s">
        <v>81</v>
      </c>
      <c r="C34" t="s">
        <v>1178</v>
      </c>
      <c r="D34" s="1">
        <v>43890</v>
      </c>
      <c r="E34" s="1">
        <v>43891</v>
      </c>
      <c r="F34">
        <f t="shared" si="2"/>
        <v>1</v>
      </c>
      <c r="G34" s="1">
        <v>43889</v>
      </c>
      <c r="H34" s="2">
        <v>0.33333333333333331</v>
      </c>
      <c r="I34" s="3">
        <v>1</v>
      </c>
      <c r="J34" t="s">
        <v>1217</v>
      </c>
      <c r="K34" t="s">
        <v>1217</v>
      </c>
      <c r="L34" t="s">
        <v>26</v>
      </c>
      <c r="M34" s="12" t="s">
        <v>18</v>
      </c>
      <c r="N34">
        <v>4</v>
      </c>
      <c r="O34">
        <v>0</v>
      </c>
      <c r="P34" t="s">
        <v>19</v>
      </c>
      <c r="Q34" s="6">
        <v>106</v>
      </c>
      <c r="R34" t="str">
        <f t="shared" si="0"/>
        <v>Ope's 5 Star Short Let Apartment in Lekki_x000C_</v>
      </c>
      <c r="S34" t="str">
        <f t="shared" si="1"/>
        <v>Ope's 5 Star Short Let Apartment in Lekki</v>
      </c>
      <c r="T34">
        <f>Table1[[#This Row],[Adults]]+Table1[[#This Row],[Children]]</f>
        <v>4</v>
      </c>
      <c r="U34">
        <f>_xlfn.DAYS(Table1[[#This Row],[Depart]],Table1[[#This Row],[Arrive]])</f>
        <v>1</v>
      </c>
    </row>
    <row r="35" spans="1:21" x14ac:dyDescent="0.25">
      <c r="A35" t="s">
        <v>56</v>
      </c>
      <c r="B35" t="s">
        <v>57</v>
      </c>
      <c r="C35" t="s">
        <v>1179</v>
      </c>
      <c r="D35" s="1">
        <v>43890</v>
      </c>
      <c r="E35" s="1">
        <v>43894</v>
      </c>
      <c r="F35">
        <f t="shared" si="2"/>
        <v>4</v>
      </c>
      <c r="G35" s="1">
        <v>43889</v>
      </c>
      <c r="H35" s="2">
        <v>0.33333333333333331</v>
      </c>
      <c r="I35" s="3">
        <v>1</v>
      </c>
      <c r="J35" t="s">
        <v>1219</v>
      </c>
      <c r="K35" t="s">
        <v>1219</v>
      </c>
      <c r="L35" t="s">
        <v>22</v>
      </c>
      <c r="M35" s="12" t="s">
        <v>23</v>
      </c>
      <c r="N35">
        <v>3</v>
      </c>
      <c r="O35">
        <v>0</v>
      </c>
      <c r="P35" t="s">
        <v>19</v>
      </c>
      <c r="Q35" s="6">
        <v>96</v>
      </c>
      <c r="R35" t="str">
        <f t="shared" si="0"/>
        <v>Phiola's 5 Star Short Let Apartment in Lekki_x000C_</v>
      </c>
      <c r="S35" t="str">
        <f t="shared" si="1"/>
        <v>Phiola's 5 Star Short Let Apartment in Lekki</v>
      </c>
      <c r="T35">
        <f>Table1[[#This Row],[Adults]]+Table1[[#This Row],[Children]]</f>
        <v>3</v>
      </c>
      <c r="U35">
        <f>_xlfn.DAYS(Table1[[#This Row],[Depart]],Table1[[#This Row],[Arrive]])</f>
        <v>4</v>
      </c>
    </row>
    <row r="36" spans="1:21" x14ac:dyDescent="0.25">
      <c r="A36" t="s">
        <v>86</v>
      </c>
      <c r="B36" t="s">
        <v>87</v>
      </c>
      <c r="C36" t="s">
        <v>1178</v>
      </c>
      <c r="D36" s="1">
        <v>43890</v>
      </c>
      <c r="E36" s="1">
        <v>43892</v>
      </c>
      <c r="F36">
        <f t="shared" si="2"/>
        <v>2</v>
      </c>
      <c r="G36" s="1">
        <v>43890</v>
      </c>
      <c r="H36" s="2">
        <v>0.33333333333333331</v>
      </c>
      <c r="I36" s="3">
        <v>1</v>
      </c>
      <c r="J36" t="s">
        <v>1222</v>
      </c>
      <c r="K36" t="s">
        <v>1222</v>
      </c>
      <c r="L36" t="s">
        <v>22</v>
      </c>
      <c r="M36" s="12" t="s">
        <v>23</v>
      </c>
      <c r="N36">
        <v>2</v>
      </c>
      <c r="O36">
        <v>0</v>
      </c>
      <c r="P36" t="s">
        <v>19</v>
      </c>
      <c r="Q36" s="6">
        <v>220</v>
      </c>
      <c r="R36" t="str">
        <f t="shared" si="0"/>
        <v>Ope's 5 Star Short Let Apartment in Lekki_x000C_</v>
      </c>
      <c r="S36" t="str">
        <f t="shared" si="1"/>
        <v>Ope's 5 Star Short Let Apartment in Lekki</v>
      </c>
      <c r="T36">
        <f>Table1[[#This Row],[Adults]]+Table1[[#This Row],[Children]]</f>
        <v>2</v>
      </c>
      <c r="U36">
        <f>_xlfn.DAYS(Table1[[#This Row],[Depart]],Table1[[#This Row],[Arrive]])</f>
        <v>2</v>
      </c>
    </row>
    <row r="37" spans="1:21" x14ac:dyDescent="0.25">
      <c r="A37" t="s">
        <v>801</v>
      </c>
      <c r="B37" t="s">
        <v>802</v>
      </c>
      <c r="C37" t="s">
        <v>1178</v>
      </c>
      <c r="D37" s="1">
        <v>43890</v>
      </c>
      <c r="E37" s="1">
        <v>43892</v>
      </c>
      <c r="F37">
        <f t="shared" si="2"/>
        <v>2</v>
      </c>
      <c r="G37" s="1">
        <v>43890</v>
      </c>
      <c r="H37" s="2">
        <v>0.33333333333333331</v>
      </c>
      <c r="I37" s="3">
        <v>1</v>
      </c>
      <c r="J37" s="4" t="s">
        <v>1796</v>
      </c>
      <c r="K37" s="4" t="s">
        <v>1796</v>
      </c>
      <c r="L37" t="s">
        <v>26</v>
      </c>
      <c r="M37" s="12" t="s">
        <v>18</v>
      </c>
      <c r="N37">
        <v>3</v>
      </c>
      <c r="O37">
        <v>0</v>
      </c>
      <c r="P37" t="s">
        <v>19</v>
      </c>
      <c r="Q37" s="6">
        <v>212</v>
      </c>
      <c r="R37" t="str">
        <f t="shared" si="0"/>
        <v>Ope's 5 Star Short Let Apartment in Lekki_x000C_</v>
      </c>
      <c r="S37" t="str">
        <f t="shared" si="1"/>
        <v>Ope's 5 Star Short Let Apartment in Lekki</v>
      </c>
      <c r="T37">
        <f>Table1[[#This Row],[Adults]]+Table1[[#This Row],[Children]]</f>
        <v>3</v>
      </c>
      <c r="U37">
        <f>_xlfn.DAYS(Table1[[#This Row],[Depart]],Table1[[#This Row],[Arrive]])</f>
        <v>2</v>
      </c>
    </row>
    <row r="38" spans="1:21" x14ac:dyDescent="0.25">
      <c r="A38" t="s">
        <v>68</v>
      </c>
      <c r="B38" t="s">
        <v>69</v>
      </c>
      <c r="C38" t="s">
        <v>1179</v>
      </c>
      <c r="D38" s="1">
        <v>43891</v>
      </c>
      <c r="E38" s="1">
        <v>43897</v>
      </c>
      <c r="F38">
        <f t="shared" si="2"/>
        <v>6</v>
      </c>
      <c r="G38" s="1">
        <v>43885</v>
      </c>
      <c r="H38" s="2">
        <v>0.33333333333333331</v>
      </c>
      <c r="I38" s="3">
        <v>1</v>
      </c>
      <c r="J38" t="s">
        <v>1210</v>
      </c>
      <c r="K38" t="s">
        <v>1210</v>
      </c>
      <c r="L38" t="s">
        <v>26</v>
      </c>
      <c r="M38" s="12" t="s">
        <v>18</v>
      </c>
      <c r="N38">
        <v>1</v>
      </c>
      <c r="O38">
        <v>0</v>
      </c>
      <c r="P38" t="s">
        <v>19</v>
      </c>
      <c r="Q38" s="6">
        <v>656</v>
      </c>
      <c r="R38" t="str">
        <f t="shared" si="0"/>
        <v>Phiola's 5 Star Short Let Apartment in Lekki_x000C_</v>
      </c>
      <c r="S38" t="str">
        <f t="shared" si="1"/>
        <v>Phiola's 5 Star Short Let Apartment in Lekki</v>
      </c>
      <c r="T38">
        <f>Table1[[#This Row],[Adults]]+Table1[[#This Row],[Children]]</f>
        <v>1</v>
      </c>
      <c r="U38">
        <f>_xlfn.DAYS(Table1[[#This Row],[Depart]],Table1[[#This Row],[Arrive]])</f>
        <v>6</v>
      </c>
    </row>
    <row r="39" spans="1:21" x14ac:dyDescent="0.25">
      <c r="A39" t="s">
        <v>90</v>
      </c>
      <c r="B39" t="s">
        <v>91</v>
      </c>
      <c r="C39" t="s">
        <v>1178</v>
      </c>
      <c r="D39" s="1">
        <v>43892</v>
      </c>
      <c r="E39" s="1">
        <v>43893</v>
      </c>
      <c r="F39">
        <f t="shared" si="2"/>
        <v>1</v>
      </c>
      <c r="G39" s="1">
        <v>43892</v>
      </c>
      <c r="H39" s="2">
        <v>0.33333333333333331</v>
      </c>
      <c r="I39" s="3">
        <v>1</v>
      </c>
      <c r="J39" t="s">
        <v>1224</v>
      </c>
      <c r="K39" t="s">
        <v>1224</v>
      </c>
      <c r="L39" t="s">
        <v>22</v>
      </c>
      <c r="M39" s="12" t="s">
        <v>23</v>
      </c>
      <c r="N39">
        <v>2</v>
      </c>
      <c r="O39">
        <v>0</v>
      </c>
      <c r="P39" t="s">
        <v>19</v>
      </c>
      <c r="Q39" s="6">
        <v>110</v>
      </c>
      <c r="R39" t="str">
        <f t="shared" si="0"/>
        <v>Ope's 5 Star Short Let Apartment in Lekki_x000C_</v>
      </c>
      <c r="S39" t="str">
        <f t="shared" si="1"/>
        <v>Ope's 5 Star Short Let Apartment in Lekki</v>
      </c>
      <c r="T39">
        <f>Table1[[#This Row],[Adults]]+Table1[[#This Row],[Children]]</f>
        <v>2</v>
      </c>
      <c r="U39">
        <f>_xlfn.DAYS(Table1[[#This Row],[Depart]],Table1[[#This Row],[Arrive]])</f>
        <v>1</v>
      </c>
    </row>
    <row r="40" spans="1:21" x14ac:dyDescent="0.25">
      <c r="A40" t="s">
        <v>98</v>
      </c>
      <c r="B40" t="s">
        <v>99</v>
      </c>
      <c r="C40" t="s">
        <v>1179</v>
      </c>
      <c r="D40" s="1">
        <v>43895</v>
      </c>
      <c r="E40" s="1">
        <v>43897</v>
      </c>
      <c r="F40">
        <f t="shared" si="2"/>
        <v>2</v>
      </c>
      <c r="G40" s="1">
        <v>43895</v>
      </c>
      <c r="H40" s="2">
        <v>0.33333333333333331</v>
      </c>
      <c r="I40" s="3">
        <v>1</v>
      </c>
      <c r="J40" t="s">
        <v>1229</v>
      </c>
      <c r="K40" t="s">
        <v>1229</v>
      </c>
      <c r="L40" t="s">
        <v>22</v>
      </c>
      <c r="M40" s="12" t="s">
        <v>23</v>
      </c>
      <c r="N40">
        <v>2</v>
      </c>
      <c r="O40">
        <v>0</v>
      </c>
      <c r="P40" t="s">
        <v>19</v>
      </c>
      <c r="Q40" s="6">
        <v>220</v>
      </c>
      <c r="R40" t="str">
        <f t="shared" si="0"/>
        <v>Phiola's 5 Star Short Let Apartment in Lekki_x000C_</v>
      </c>
      <c r="S40" t="str">
        <f t="shared" si="1"/>
        <v>Phiola's 5 Star Short Let Apartment in Lekki</v>
      </c>
      <c r="T40">
        <f>Table1[[#This Row],[Adults]]+Table1[[#This Row],[Children]]</f>
        <v>2</v>
      </c>
      <c r="U40">
        <f>_xlfn.DAYS(Table1[[#This Row],[Depart]],Table1[[#This Row],[Arrive]])</f>
        <v>2</v>
      </c>
    </row>
    <row r="41" spans="1:21" x14ac:dyDescent="0.25">
      <c r="A41" t="s">
        <v>60</v>
      </c>
      <c r="B41" t="s">
        <v>61</v>
      </c>
      <c r="C41" t="s">
        <v>1178</v>
      </c>
      <c r="D41" s="1">
        <v>43897</v>
      </c>
      <c r="E41" s="1">
        <v>43905</v>
      </c>
      <c r="F41">
        <f t="shared" si="2"/>
        <v>8</v>
      </c>
      <c r="G41" s="1">
        <v>43882</v>
      </c>
      <c r="H41" s="2">
        <v>0.33333333333333331</v>
      </c>
      <c r="I41" s="3">
        <v>1</v>
      </c>
      <c r="J41" t="s">
        <v>1205</v>
      </c>
      <c r="K41" t="s">
        <v>1205</v>
      </c>
      <c r="L41" t="s">
        <v>26</v>
      </c>
      <c r="M41" s="12" t="s">
        <v>18</v>
      </c>
      <c r="N41">
        <v>1</v>
      </c>
      <c r="O41">
        <v>0</v>
      </c>
      <c r="P41" t="s">
        <v>19</v>
      </c>
      <c r="Q41" s="6">
        <v>849</v>
      </c>
      <c r="R41" t="str">
        <f t="shared" si="0"/>
        <v>Ope's 5 Star Short Let Apartment in Lekki_x000C_</v>
      </c>
      <c r="S41" t="str">
        <f t="shared" si="1"/>
        <v>Ope's 5 Star Short Let Apartment in Lekki</v>
      </c>
      <c r="T41">
        <f>Table1[[#This Row],[Adults]]+Table1[[#This Row],[Children]]</f>
        <v>1</v>
      </c>
      <c r="U41">
        <f>_xlfn.DAYS(Table1[[#This Row],[Depart]],Table1[[#This Row],[Arrive]])</f>
        <v>8</v>
      </c>
    </row>
    <row r="42" spans="1:21" x14ac:dyDescent="0.25">
      <c r="A42" t="s">
        <v>96</v>
      </c>
      <c r="B42" t="s">
        <v>97</v>
      </c>
      <c r="C42" t="s">
        <v>1179</v>
      </c>
      <c r="D42" s="1">
        <v>43897</v>
      </c>
      <c r="E42" s="1">
        <v>43898</v>
      </c>
      <c r="F42">
        <f t="shared" si="2"/>
        <v>1</v>
      </c>
      <c r="G42" s="1">
        <v>43894</v>
      </c>
      <c r="H42" s="2">
        <v>0.33333333333333331</v>
      </c>
      <c r="I42" s="3">
        <v>1</v>
      </c>
      <c r="J42" t="s">
        <v>1228</v>
      </c>
      <c r="K42" t="s">
        <v>1228</v>
      </c>
      <c r="L42" t="s">
        <v>22</v>
      </c>
      <c r="M42" s="12" t="s">
        <v>23</v>
      </c>
      <c r="N42">
        <v>1</v>
      </c>
      <c r="O42">
        <v>0</v>
      </c>
      <c r="P42" t="s">
        <v>19</v>
      </c>
      <c r="Q42" s="6">
        <v>110</v>
      </c>
      <c r="R42" t="str">
        <f t="shared" si="0"/>
        <v>Phiola's 5 Star Short Let Apartment in Lekki_x000C_</v>
      </c>
      <c r="S42" t="str">
        <f t="shared" si="1"/>
        <v>Phiola's 5 Star Short Let Apartment in Lekki</v>
      </c>
      <c r="T42">
        <f>Table1[[#This Row],[Adults]]+Table1[[#This Row],[Children]]</f>
        <v>1</v>
      </c>
      <c r="U42">
        <f>_xlfn.DAYS(Table1[[#This Row],[Depart]],Table1[[#This Row],[Arrive]])</f>
        <v>1</v>
      </c>
    </row>
    <row r="43" spans="1:21" x14ac:dyDescent="0.25">
      <c r="A43" t="s">
        <v>84</v>
      </c>
      <c r="B43" t="s">
        <v>85</v>
      </c>
      <c r="C43" t="s">
        <v>1175</v>
      </c>
      <c r="D43" s="1">
        <v>43899</v>
      </c>
      <c r="E43" s="1">
        <v>43900</v>
      </c>
      <c r="F43">
        <f t="shared" si="2"/>
        <v>1</v>
      </c>
      <c r="G43" s="1">
        <v>43883</v>
      </c>
      <c r="H43" s="2">
        <v>0.33333333333333331</v>
      </c>
      <c r="I43" s="3">
        <v>1</v>
      </c>
      <c r="J43" t="s">
        <v>1220</v>
      </c>
      <c r="K43" t="s">
        <v>1220</v>
      </c>
      <c r="L43" t="s">
        <v>26</v>
      </c>
      <c r="M43" s="12" t="s">
        <v>18</v>
      </c>
      <c r="N43">
        <v>1</v>
      </c>
      <c r="O43">
        <v>0</v>
      </c>
      <c r="P43" t="s">
        <v>19</v>
      </c>
      <c r="Q43" s="6">
        <v>106</v>
      </c>
      <c r="R43" t="str">
        <f t="shared" si="0"/>
        <v>Keji's 5 Star Short let Apartment in Lekki_x000C_</v>
      </c>
      <c r="S43" t="str">
        <f t="shared" si="1"/>
        <v>Keji's 5 Star Short let Apartment in Lekki</v>
      </c>
      <c r="T43">
        <f>Table1[[#This Row],[Adults]]+Table1[[#This Row],[Children]]</f>
        <v>1</v>
      </c>
      <c r="U43">
        <f>_xlfn.DAYS(Table1[[#This Row],[Depart]],Table1[[#This Row],[Arrive]])</f>
        <v>1</v>
      </c>
    </row>
    <row r="44" spans="1:21" x14ac:dyDescent="0.25">
      <c r="A44" t="s">
        <v>52</v>
      </c>
      <c r="B44" t="s">
        <v>53</v>
      </c>
      <c r="C44" t="s">
        <v>1178</v>
      </c>
      <c r="D44" s="1">
        <v>43900</v>
      </c>
      <c r="E44" s="1">
        <v>43905</v>
      </c>
      <c r="F44">
        <f t="shared" si="2"/>
        <v>5</v>
      </c>
      <c r="G44" s="1">
        <v>43879</v>
      </c>
      <c r="H44" s="2">
        <v>0.33333333333333331</v>
      </c>
      <c r="I44" s="3">
        <v>1</v>
      </c>
      <c r="J44" t="s">
        <v>1201</v>
      </c>
      <c r="K44" t="s">
        <v>1201</v>
      </c>
      <c r="L44" t="s">
        <v>26</v>
      </c>
      <c r="M44" s="12" t="s">
        <v>18</v>
      </c>
      <c r="N44">
        <v>1</v>
      </c>
      <c r="O44">
        <v>0</v>
      </c>
      <c r="P44" t="s">
        <v>19</v>
      </c>
      <c r="Q44" s="6">
        <v>531</v>
      </c>
      <c r="R44" t="str">
        <f t="shared" si="0"/>
        <v>Ope's 5 Star Short Let Apartment in Lekki_x000C_</v>
      </c>
      <c r="S44" t="str">
        <f t="shared" si="1"/>
        <v>Ope's 5 Star Short Let Apartment in Lekki</v>
      </c>
      <c r="T44">
        <f>Table1[[#This Row],[Adults]]+Table1[[#This Row],[Children]]</f>
        <v>1</v>
      </c>
      <c r="U44">
        <f>_xlfn.DAYS(Table1[[#This Row],[Depart]],Table1[[#This Row],[Arrive]])</f>
        <v>5</v>
      </c>
    </row>
    <row r="45" spans="1:21" x14ac:dyDescent="0.25">
      <c r="A45" t="s">
        <v>102</v>
      </c>
      <c r="B45" t="s">
        <v>103</v>
      </c>
      <c r="C45" t="s">
        <v>1175</v>
      </c>
      <c r="D45" s="1">
        <v>43900</v>
      </c>
      <c r="E45" s="1">
        <v>43909</v>
      </c>
      <c r="F45">
        <f t="shared" si="2"/>
        <v>9</v>
      </c>
      <c r="G45" s="1">
        <v>43851</v>
      </c>
      <c r="H45" s="2">
        <v>0.33333333333333331</v>
      </c>
      <c r="I45" s="3">
        <v>1</v>
      </c>
      <c r="J45" t="s">
        <v>2169</v>
      </c>
      <c r="K45" t="s">
        <v>1215</v>
      </c>
      <c r="L45" t="s">
        <v>17</v>
      </c>
      <c r="M45" s="12" t="s">
        <v>18</v>
      </c>
      <c r="N45">
        <v>3</v>
      </c>
      <c r="O45">
        <v>0</v>
      </c>
      <c r="P45" t="s">
        <v>19</v>
      </c>
      <c r="Q45" s="6">
        <v>1197</v>
      </c>
      <c r="R45" t="str">
        <f t="shared" si="0"/>
        <v>Keji's 5 Star Short let Apartment in Lekki_x000C_</v>
      </c>
      <c r="S45" t="str">
        <f t="shared" si="1"/>
        <v>Keji's 5 Star Short let Apartment in Lekki</v>
      </c>
      <c r="T45">
        <f>Table1[[#This Row],[Adults]]+Table1[[#This Row],[Children]]</f>
        <v>3</v>
      </c>
      <c r="U45">
        <f>_xlfn.DAYS(Table1[[#This Row],[Depart]],Table1[[#This Row],[Arrive]])</f>
        <v>9</v>
      </c>
    </row>
    <row r="46" spans="1:21" x14ac:dyDescent="0.25">
      <c r="A46" t="s">
        <v>108</v>
      </c>
      <c r="B46" t="s">
        <v>109</v>
      </c>
      <c r="C46" t="s">
        <v>1179</v>
      </c>
      <c r="D46" s="1">
        <v>43900</v>
      </c>
      <c r="E46" s="1">
        <v>43901</v>
      </c>
      <c r="F46">
        <f t="shared" si="2"/>
        <v>1</v>
      </c>
      <c r="G46" s="1">
        <v>43900</v>
      </c>
      <c r="H46" s="2">
        <v>0.33333333333333331</v>
      </c>
      <c r="I46" s="3">
        <v>1</v>
      </c>
      <c r="J46" t="s">
        <v>1235</v>
      </c>
      <c r="K46" t="s">
        <v>1235</v>
      </c>
      <c r="L46" t="s">
        <v>22</v>
      </c>
      <c r="M46" s="12" t="s">
        <v>23</v>
      </c>
      <c r="N46">
        <v>5</v>
      </c>
      <c r="O46">
        <v>0</v>
      </c>
      <c r="P46" t="s">
        <v>19</v>
      </c>
      <c r="Q46" s="6">
        <v>110</v>
      </c>
      <c r="R46" t="str">
        <f t="shared" si="0"/>
        <v>Phiola's 5 Star Short Let Apartment in Lekki_x000C_</v>
      </c>
      <c r="S46" t="str">
        <f t="shared" si="1"/>
        <v>Phiola's 5 Star Short Let Apartment in Lekki</v>
      </c>
      <c r="T46">
        <f>Table1[[#This Row],[Adults]]+Table1[[#This Row],[Children]]</f>
        <v>5</v>
      </c>
      <c r="U46">
        <f>_xlfn.DAYS(Table1[[#This Row],[Depart]],Table1[[#This Row],[Arrive]])</f>
        <v>1</v>
      </c>
    </row>
    <row r="47" spans="1:21" x14ac:dyDescent="0.25">
      <c r="A47" t="s">
        <v>136</v>
      </c>
      <c r="B47" t="s">
        <v>137</v>
      </c>
      <c r="C47" t="s">
        <v>1175</v>
      </c>
      <c r="D47" s="1">
        <v>43900</v>
      </c>
      <c r="E47" s="1">
        <v>43902</v>
      </c>
      <c r="F47">
        <f t="shared" si="2"/>
        <v>2</v>
      </c>
      <c r="G47" s="1">
        <v>43897</v>
      </c>
      <c r="H47" s="2">
        <v>0.33333333333333331</v>
      </c>
      <c r="I47" s="3">
        <v>1</v>
      </c>
      <c r="J47" t="s">
        <v>1254</v>
      </c>
      <c r="K47" t="s">
        <v>1254</v>
      </c>
      <c r="L47" t="s">
        <v>22</v>
      </c>
      <c r="M47" s="12" t="s">
        <v>18</v>
      </c>
      <c r="N47">
        <v>3</v>
      </c>
      <c r="O47">
        <v>0</v>
      </c>
      <c r="P47" t="s">
        <v>19</v>
      </c>
      <c r="Q47" s="6">
        <v>220</v>
      </c>
      <c r="R47" t="str">
        <f t="shared" si="0"/>
        <v>Keji's 5 Star Short let Apartment in Lekki_x000C_</v>
      </c>
      <c r="S47" t="str">
        <f t="shared" si="1"/>
        <v>Keji's 5 Star Short let Apartment in Lekki</v>
      </c>
      <c r="T47">
        <f>Table1[[#This Row],[Adults]]+Table1[[#This Row],[Children]]</f>
        <v>3</v>
      </c>
      <c r="U47">
        <f>_xlfn.DAYS(Table1[[#This Row],[Depart]],Table1[[#This Row],[Arrive]])</f>
        <v>2</v>
      </c>
    </row>
    <row r="48" spans="1:21" x14ac:dyDescent="0.25">
      <c r="A48" t="s">
        <v>961</v>
      </c>
      <c r="B48" t="s">
        <v>962</v>
      </c>
      <c r="C48" t="s">
        <v>1175</v>
      </c>
      <c r="D48" s="1">
        <v>43901</v>
      </c>
      <c r="E48" s="1">
        <v>43932</v>
      </c>
      <c r="F48">
        <f t="shared" si="2"/>
        <v>31</v>
      </c>
      <c r="G48" s="1">
        <v>44134</v>
      </c>
      <c r="H48" s="2">
        <v>0.5</v>
      </c>
      <c r="I48" s="2">
        <v>0.58333333333333337</v>
      </c>
      <c r="J48" t="s">
        <v>1949</v>
      </c>
      <c r="K48" t="s">
        <v>1949</v>
      </c>
      <c r="L48" t="s">
        <v>22</v>
      </c>
      <c r="M48" s="12" t="s">
        <v>18</v>
      </c>
      <c r="N48">
        <v>2</v>
      </c>
      <c r="O48">
        <v>0</v>
      </c>
      <c r="P48" t="s">
        <v>19</v>
      </c>
      <c r="Q48" s="6">
        <v>85000</v>
      </c>
      <c r="R48" t="str">
        <f t="shared" si="0"/>
        <v>Keji's 5 Star Short let Apartment in Lekki_x000C_</v>
      </c>
      <c r="S48" t="str">
        <f t="shared" si="1"/>
        <v>Keji's 5 Star Short let Apartment in Lekki</v>
      </c>
      <c r="T48">
        <f>Table1[[#This Row],[Adults]]+Table1[[#This Row],[Children]]</f>
        <v>2</v>
      </c>
      <c r="U48">
        <f>_xlfn.DAYS(Table1[[#This Row],[Depart]],Table1[[#This Row],[Arrive]])</f>
        <v>31</v>
      </c>
    </row>
    <row r="49" spans="1:21" x14ac:dyDescent="0.25">
      <c r="A49" t="s">
        <v>961</v>
      </c>
      <c r="B49" t="s">
        <v>962</v>
      </c>
      <c r="C49" t="s">
        <v>1175</v>
      </c>
      <c r="D49" s="1">
        <v>43901</v>
      </c>
      <c r="E49" s="1">
        <v>43932</v>
      </c>
      <c r="F49">
        <f t="shared" si="2"/>
        <v>31</v>
      </c>
      <c r="G49" s="1">
        <v>44134</v>
      </c>
      <c r="H49" s="2">
        <v>0.5</v>
      </c>
      <c r="I49" s="2">
        <v>0.58333333333333337</v>
      </c>
      <c r="J49" t="s">
        <v>1950</v>
      </c>
      <c r="K49" t="s">
        <v>1950</v>
      </c>
      <c r="L49" t="s">
        <v>22</v>
      </c>
      <c r="M49" s="12" t="s">
        <v>18</v>
      </c>
      <c r="N49">
        <v>2</v>
      </c>
      <c r="O49">
        <v>0</v>
      </c>
      <c r="P49" t="s">
        <v>19</v>
      </c>
      <c r="Q49" s="6">
        <v>85000</v>
      </c>
      <c r="R49" t="str">
        <f t="shared" si="0"/>
        <v>Keji's 5 Star Short let Apartment in Lekki_x000C_</v>
      </c>
      <c r="S49" t="str">
        <f t="shared" si="1"/>
        <v>Keji's 5 Star Short let Apartment in Lekki</v>
      </c>
      <c r="T49">
        <f>Table1[[#This Row],[Adults]]+Table1[[#This Row],[Children]]</f>
        <v>2</v>
      </c>
      <c r="U49">
        <f>_xlfn.DAYS(Table1[[#This Row],[Depart]],Table1[[#This Row],[Arrive]])</f>
        <v>31</v>
      </c>
    </row>
    <row r="50" spans="1:21" x14ac:dyDescent="0.25">
      <c r="A50" t="s">
        <v>961</v>
      </c>
      <c r="B50" t="s">
        <v>962</v>
      </c>
      <c r="C50" t="s">
        <v>1175</v>
      </c>
      <c r="D50" s="1">
        <v>43901</v>
      </c>
      <c r="E50" s="1">
        <v>43932</v>
      </c>
      <c r="F50">
        <f t="shared" si="2"/>
        <v>31</v>
      </c>
      <c r="G50" s="1">
        <v>44134</v>
      </c>
      <c r="H50" s="2">
        <v>0.5</v>
      </c>
      <c r="I50" s="2">
        <v>0.58333333333333337</v>
      </c>
      <c r="J50" t="s">
        <v>1951</v>
      </c>
      <c r="K50" t="s">
        <v>1951</v>
      </c>
      <c r="L50" t="s">
        <v>22</v>
      </c>
      <c r="M50" s="12" t="s">
        <v>18</v>
      </c>
      <c r="N50">
        <v>2</v>
      </c>
      <c r="O50">
        <v>0</v>
      </c>
      <c r="P50" t="s">
        <v>19</v>
      </c>
      <c r="Q50" s="6">
        <v>85000</v>
      </c>
      <c r="R50" t="str">
        <f t="shared" si="0"/>
        <v>Keji's 5 Star Short let Apartment in Lekki_x000C_</v>
      </c>
      <c r="S50" t="str">
        <f t="shared" si="1"/>
        <v>Keji's 5 Star Short let Apartment in Lekki</v>
      </c>
      <c r="T50">
        <f>Table1[[#This Row],[Adults]]+Table1[[#This Row],[Children]]</f>
        <v>2</v>
      </c>
      <c r="U50">
        <f>_xlfn.DAYS(Table1[[#This Row],[Depart]],Table1[[#This Row],[Arrive]])</f>
        <v>31</v>
      </c>
    </row>
    <row r="51" spans="1:21" x14ac:dyDescent="0.25">
      <c r="A51" t="s">
        <v>965</v>
      </c>
      <c r="B51" t="s">
        <v>966</v>
      </c>
      <c r="C51" t="s">
        <v>1175</v>
      </c>
      <c r="D51" s="1">
        <v>43901</v>
      </c>
      <c r="E51" s="1">
        <v>43932</v>
      </c>
      <c r="F51">
        <f t="shared" si="2"/>
        <v>31</v>
      </c>
      <c r="G51" s="1">
        <v>44134</v>
      </c>
      <c r="H51" s="2">
        <v>0.5</v>
      </c>
      <c r="I51" s="2">
        <v>0.58333333333333337</v>
      </c>
      <c r="J51" t="s">
        <v>1953</v>
      </c>
      <c r="K51" t="s">
        <v>1953</v>
      </c>
      <c r="L51" t="s">
        <v>22</v>
      </c>
      <c r="M51" s="12" t="s">
        <v>18</v>
      </c>
      <c r="N51">
        <v>1</v>
      </c>
      <c r="O51">
        <v>0</v>
      </c>
      <c r="P51" t="s">
        <v>19</v>
      </c>
      <c r="Q51" s="6">
        <v>85000</v>
      </c>
      <c r="R51" t="str">
        <f t="shared" si="0"/>
        <v>Keji's 5 Star Short let Apartment in Lekki_x000C_</v>
      </c>
      <c r="S51" t="str">
        <f t="shared" si="1"/>
        <v>Keji's 5 Star Short let Apartment in Lekki</v>
      </c>
      <c r="T51">
        <f>Table1[[#This Row],[Adults]]+Table1[[#This Row],[Children]]</f>
        <v>1</v>
      </c>
      <c r="U51">
        <f>_xlfn.DAYS(Table1[[#This Row],[Depart]],Table1[[#This Row],[Arrive]])</f>
        <v>31</v>
      </c>
    </row>
    <row r="52" spans="1:21" x14ac:dyDescent="0.25">
      <c r="A52" t="s">
        <v>114</v>
      </c>
      <c r="B52" t="s">
        <v>115</v>
      </c>
      <c r="C52" t="s">
        <v>1175</v>
      </c>
      <c r="D52" s="1">
        <v>43902</v>
      </c>
      <c r="E52" s="1">
        <v>43903</v>
      </c>
      <c r="F52">
        <f t="shared" si="2"/>
        <v>1</v>
      </c>
      <c r="G52" s="1">
        <v>43902</v>
      </c>
      <c r="H52" s="2">
        <v>0.33333333333333331</v>
      </c>
      <c r="I52" s="3">
        <v>1</v>
      </c>
      <c r="J52" t="s">
        <v>2171</v>
      </c>
      <c r="K52" t="s">
        <v>1215</v>
      </c>
      <c r="L52" t="s">
        <v>17</v>
      </c>
      <c r="M52" s="12" t="s">
        <v>18</v>
      </c>
      <c r="N52">
        <v>2</v>
      </c>
      <c r="O52">
        <v>0</v>
      </c>
      <c r="P52" t="s">
        <v>19</v>
      </c>
      <c r="Q52" s="6">
        <v>121.41</v>
      </c>
      <c r="R52" t="str">
        <f t="shared" si="0"/>
        <v>Keji's 5 Star Short let Apartment in Lekki_x000C_</v>
      </c>
      <c r="S52" t="str">
        <f t="shared" si="1"/>
        <v>Keji's 5 Star Short let Apartment in Lekki</v>
      </c>
      <c r="T52">
        <f>Table1[[#This Row],[Adults]]+Table1[[#This Row],[Children]]</f>
        <v>2</v>
      </c>
      <c r="U52">
        <f>_xlfn.DAYS(Table1[[#This Row],[Depart]],Table1[[#This Row],[Arrive]])</f>
        <v>1</v>
      </c>
    </row>
    <row r="53" spans="1:21" x14ac:dyDescent="0.25">
      <c r="A53" t="s">
        <v>112</v>
      </c>
      <c r="B53" t="s">
        <v>113</v>
      </c>
      <c r="C53" t="s">
        <v>1175</v>
      </c>
      <c r="D53" s="1">
        <v>43903</v>
      </c>
      <c r="E53" s="1">
        <v>43905</v>
      </c>
      <c r="F53">
        <f t="shared" si="2"/>
        <v>2</v>
      </c>
      <c r="G53" s="1">
        <v>43901</v>
      </c>
      <c r="H53" s="2">
        <v>0.33333333333333331</v>
      </c>
      <c r="I53" s="3">
        <v>1</v>
      </c>
      <c r="J53" t="s">
        <v>1237</v>
      </c>
      <c r="K53" t="s">
        <v>1237</v>
      </c>
      <c r="L53" t="s">
        <v>22</v>
      </c>
      <c r="M53" s="12" t="s">
        <v>23</v>
      </c>
      <c r="N53">
        <v>3</v>
      </c>
      <c r="O53">
        <v>0</v>
      </c>
      <c r="P53" t="s">
        <v>19</v>
      </c>
      <c r="Q53" s="6">
        <v>220</v>
      </c>
      <c r="R53" t="str">
        <f t="shared" si="0"/>
        <v>Keji's 5 Star Short let Apartment in Lekki_x000C_</v>
      </c>
      <c r="S53" t="str">
        <f t="shared" si="1"/>
        <v>Keji's 5 Star Short let Apartment in Lekki</v>
      </c>
      <c r="T53">
        <f>Table1[[#This Row],[Adults]]+Table1[[#This Row],[Children]]</f>
        <v>3</v>
      </c>
      <c r="U53">
        <f>_xlfn.DAYS(Table1[[#This Row],[Depart]],Table1[[#This Row],[Arrive]])</f>
        <v>2</v>
      </c>
    </row>
    <row r="54" spans="1:21" x14ac:dyDescent="0.25">
      <c r="A54" t="s">
        <v>110</v>
      </c>
      <c r="B54" t="s">
        <v>111</v>
      </c>
      <c r="C54" t="s">
        <v>1179</v>
      </c>
      <c r="D54" s="1">
        <v>43907</v>
      </c>
      <c r="E54" s="1">
        <v>43909</v>
      </c>
      <c r="F54">
        <f t="shared" si="2"/>
        <v>2</v>
      </c>
      <c r="G54" s="1">
        <v>43898</v>
      </c>
      <c r="H54" s="2">
        <v>0.33333333333333331</v>
      </c>
      <c r="I54" s="3">
        <v>1</v>
      </c>
      <c r="J54" t="s">
        <v>2170</v>
      </c>
      <c r="K54" t="s">
        <v>1215</v>
      </c>
      <c r="L54" t="s">
        <v>17</v>
      </c>
      <c r="M54" s="12" t="s">
        <v>18</v>
      </c>
      <c r="N54">
        <v>6</v>
      </c>
      <c r="O54">
        <v>0</v>
      </c>
      <c r="P54" t="s">
        <v>19</v>
      </c>
      <c r="Q54" s="6">
        <v>255.6</v>
      </c>
      <c r="R54" t="str">
        <f t="shared" si="0"/>
        <v>Phiola's 5 Star Short Let Apartment in Lekki_x000C_</v>
      </c>
      <c r="S54" t="str">
        <f t="shared" si="1"/>
        <v>Phiola's 5 Star Short Let Apartment in Lekki</v>
      </c>
      <c r="T54">
        <f>Table1[[#This Row],[Adults]]+Table1[[#This Row],[Children]]</f>
        <v>6</v>
      </c>
      <c r="U54">
        <f>_xlfn.DAYS(Table1[[#This Row],[Depart]],Table1[[#This Row],[Arrive]])</f>
        <v>2</v>
      </c>
    </row>
    <row r="55" spans="1:21" x14ac:dyDescent="0.25">
      <c r="A55" t="s">
        <v>116</v>
      </c>
      <c r="B55" t="s">
        <v>117</v>
      </c>
      <c r="C55" t="s">
        <v>1179</v>
      </c>
      <c r="D55" s="1">
        <v>43907</v>
      </c>
      <c r="E55" s="1">
        <v>43908</v>
      </c>
      <c r="F55">
        <f t="shared" si="2"/>
        <v>1</v>
      </c>
      <c r="G55" s="1">
        <v>43902</v>
      </c>
      <c r="H55" s="2">
        <v>0.33333333333333331</v>
      </c>
      <c r="I55" s="3">
        <v>1</v>
      </c>
      <c r="J55" t="s">
        <v>1239</v>
      </c>
      <c r="K55" t="s">
        <v>1239</v>
      </c>
      <c r="L55" t="s">
        <v>22</v>
      </c>
      <c r="M55" s="12" t="s">
        <v>18</v>
      </c>
      <c r="N55">
        <v>3</v>
      </c>
      <c r="O55">
        <v>0</v>
      </c>
      <c r="P55" t="s">
        <v>19</v>
      </c>
      <c r="Q55" s="6">
        <v>110</v>
      </c>
      <c r="R55" t="str">
        <f t="shared" si="0"/>
        <v>Phiola's 5 Star Short Let Apartment in Lekki_x000C_</v>
      </c>
      <c r="S55" t="str">
        <f t="shared" si="1"/>
        <v>Phiola's 5 Star Short Let Apartment in Lekki</v>
      </c>
      <c r="T55">
        <f>Table1[[#This Row],[Adults]]+Table1[[#This Row],[Children]]</f>
        <v>3</v>
      </c>
      <c r="U55">
        <f>_xlfn.DAYS(Table1[[#This Row],[Depart]],Table1[[#This Row],[Arrive]])</f>
        <v>1</v>
      </c>
    </row>
    <row r="56" spans="1:21" x14ac:dyDescent="0.25">
      <c r="A56" t="s">
        <v>116</v>
      </c>
      <c r="B56" t="s">
        <v>117</v>
      </c>
      <c r="C56" t="s">
        <v>1179</v>
      </c>
      <c r="D56" s="1">
        <v>43907</v>
      </c>
      <c r="E56" s="1">
        <v>43908</v>
      </c>
      <c r="F56">
        <f t="shared" si="2"/>
        <v>1</v>
      </c>
      <c r="G56" s="1">
        <v>43903</v>
      </c>
      <c r="H56" s="2">
        <v>0.33333333333333331</v>
      </c>
      <c r="I56" s="3">
        <v>1</v>
      </c>
      <c r="J56" t="s">
        <v>1241</v>
      </c>
      <c r="K56" t="s">
        <v>1241</v>
      </c>
      <c r="L56" t="s">
        <v>22</v>
      </c>
      <c r="M56" s="12" t="s">
        <v>18</v>
      </c>
      <c r="N56">
        <v>2</v>
      </c>
      <c r="O56">
        <v>0</v>
      </c>
      <c r="P56" t="s">
        <v>19</v>
      </c>
      <c r="Q56" s="6">
        <v>110</v>
      </c>
      <c r="R56" t="str">
        <f t="shared" si="0"/>
        <v>Phiola's 5 Star Short Let Apartment in Lekki_x000C_</v>
      </c>
      <c r="S56" t="str">
        <f t="shared" si="1"/>
        <v>Phiola's 5 Star Short Let Apartment in Lekki</v>
      </c>
      <c r="T56">
        <f>Table1[[#This Row],[Adults]]+Table1[[#This Row],[Children]]</f>
        <v>2</v>
      </c>
      <c r="U56">
        <f>_xlfn.DAYS(Table1[[#This Row],[Depart]],Table1[[#This Row],[Arrive]])</f>
        <v>1</v>
      </c>
    </row>
    <row r="57" spans="1:21" x14ac:dyDescent="0.25">
      <c r="A57" t="s">
        <v>110</v>
      </c>
      <c r="B57" t="s">
        <v>111</v>
      </c>
      <c r="C57" t="s">
        <v>1179</v>
      </c>
      <c r="D57" s="1">
        <v>43908</v>
      </c>
      <c r="E57" s="1">
        <v>43910</v>
      </c>
      <c r="F57">
        <f t="shared" si="2"/>
        <v>2</v>
      </c>
      <c r="G57" s="1">
        <v>43902</v>
      </c>
      <c r="H57" s="2">
        <v>0.33333333333333331</v>
      </c>
      <c r="I57" s="3">
        <v>1</v>
      </c>
      <c r="J57" t="s">
        <v>1238</v>
      </c>
      <c r="K57" t="s">
        <v>1238</v>
      </c>
      <c r="L57" t="s">
        <v>22</v>
      </c>
      <c r="M57" s="12" t="s">
        <v>18</v>
      </c>
      <c r="N57">
        <v>3</v>
      </c>
      <c r="O57">
        <v>0</v>
      </c>
      <c r="P57" t="s">
        <v>19</v>
      </c>
      <c r="Q57" s="6">
        <v>220</v>
      </c>
      <c r="R57" t="str">
        <f t="shared" si="0"/>
        <v>Phiola's 5 Star Short Let Apartment in Lekki_x000C_</v>
      </c>
      <c r="S57" t="str">
        <f t="shared" si="1"/>
        <v>Phiola's 5 Star Short Let Apartment in Lekki</v>
      </c>
      <c r="T57">
        <f>Table1[[#This Row],[Adults]]+Table1[[#This Row],[Children]]</f>
        <v>3</v>
      </c>
      <c r="U57">
        <f>_xlfn.DAYS(Table1[[#This Row],[Depart]],Table1[[#This Row],[Arrive]])</f>
        <v>2</v>
      </c>
    </row>
    <row r="58" spans="1:21" x14ac:dyDescent="0.25">
      <c r="A58" t="s">
        <v>48</v>
      </c>
      <c r="B58" t="s">
        <v>49</v>
      </c>
      <c r="C58" t="s">
        <v>1178</v>
      </c>
      <c r="D58" s="1">
        <v>43908</v>
      </c>
      <c r="E58" s="1">
        <v>43909</v>
      </c>
      <c r="F58">
        <f t="shared" si="2"/>
        <v>1</v>
      </c>
      <c r="G58" s="1">
        <v>43895</v>
      </c>
      <c r="H58" s="2">
        <v>0.33333333333333331</v>
      </c>
      <c r="I58" s="3">
        <v>1</v>
      </c>
      <c r="J58" t="s">
        <v>1252</v>
      </c>
      <c r="K58" t="s">
        <v>1252</v>
      </c>
      <c r="L58" t="s">
        <v>22</v>
      </c>
      <c r="M58" s="12" t="s">
        <v>18</v>
      </c>
      <c r="N58">
        <v>2</v>
      </c>
      <c r="O58">
        <v>0</v>
      </c>
      <c r="P58" t="s">
        <v>19</v>
      </c>
      <c r="Q58" s="6">
        <v>110</v>
      </c>
      <c r="R58" t="str">
        <f t="shared" si="0"/>
        <v>Ope's 5 Star Short Let Apartment in Lekki_x000C_</v>
      </c>
      <c r="S58" t="str">
        <f t="shared" si="1"/>
        <v>Ope's 5 Star Short Let Apartment in Lekki</v>
      </c>
      <c r="T58">
        <f>Table1[[#This Row],[Adults]]+Table1[[#This Row],[Children]]</f>
        <v>2</v>
      </c>
      <c r="U58">
        <f>_xlfn.DAYS(Table1[[#This Row],[Depart]],Table1[[#This Row],[Arrive]])</f>
        <v>1</v>
      </c>
    </row>
    <row r="59" spans="1:21" x14ac:dyDescent="0.25">
      <c r="A59" t="s">
        <v>116</v>
      </c>
      <c r="B59" t="s">
        <v>117</v>
      </c>
      <c r="C59" t="s">
        <v>1179</v>
      </c>
      <c r="D59" s="1">
        <v>43908</v>
      </c>
      <c r="E59" s="1">
        <v>43911</v>
      </c>
      <c r="F59">
        <f t="shared" si="2"/>
        <v>3</v>
      </c>
      <c r="G59" s="1">
        <v>43903</v>
      </c>
      <c r="H59" s="2">
        <v>0.33333333333333331</v>
      </c>
      <c r="I59" s="3">
        <v>1</v>
      </c>
      <c r="J59" t="s">
        <v>1258</v>
      </c>
      <c r="K59" t="s">
        <v>1258</v>
      </c>
      <c r="L59" t="s">
        <v>22</v>
      </c>
      <c r="M59" s="12" t="s">
        <v>23</v>
      </c>
      <c r="N59">
        <v>2</v>
      </c>
      <c r="O59">
        <v>0</v>
      </c>
      <c r="P59" t="s">
        <v>19</v>
      </c>
      <c r="Q59" s="6">
        <v>454.65</v>
      </c>
      <c r="R59" t="str">
        <f t="shared" si="0"/>
        <v>Phiola's 5 Star Short Let Apartment in Lekki_x000C_</v>
      </c>
      <c r="S59" t="str">
        <f t="shared" si="1"/>
        <v>Phiola's 5 Star Short Let Apartment in Lekki</v>
      </c>
      <c r="T59">
        <f>Table1[[#This Row],[Adults]]+Table1[[#This Row],[Children]]</f>
        <v>2</v>
      </c>
      <c r="U59">
        <f>_xlfn.DAYS(Table1[[#This Row],[Depart]],Table1[[#This Row],[Arrive]])</f>
        <v>3</v>
      </c>
    </row>
    <row r="60" spans="1:21" x14ac:dyDescent="0.25">
      <c r="A60" t="s">
        <v>48</v>
      </c>
      <c r="B60" t="s">
        <v>49</v>
      </c>
      <c r="C60" t="s">
        <v>1173</v>
      </c>
      <c r="D60" s="1">
        <v>43909</v>
      </c>
      <c r="E60" s="1">
        <v>43914</v>
      </c>
      <c r="F60">
        <f t="shared" si="2"/>
        <v>5</v>
      </c>
      <c r="G60" s="1">
        <v>43879</v>
      </c>
      <c r="H60" s="2">
        <v>0.33333333333333331</v>
      </c>
      <c r="I60" s="3">
        <v>1</v>
      </c>
      <c r="J60" t="s">
        <v>1197</v>
      </c>
      <c r="K60" t="s">
        <v>1197</v>
      </c>
      <c r="L60" t="s">
        <v>26</v>
      </c>
      <c r="M60" s="12" t="s">
        <v>18</v>
      </c>
      <c r="N60">
        <v>1</v>
      </c>
      <c r="O60">
        <v>0</v>
      </c>
      <c r="P60" t="s">
        <v>19</v>
      </c>
      <c r="Q60" s="6">
        <v>550</v>
      </c>
      <c r="R60" t="str">
        <f t="shared" si="0"/>
        <v xml:space="preserve"> The Daniels 5 Star Short Let Apartment in Lekki_x000C_</v>
      </c>
      <c r="S60" t="str">
        <f t="shared" si="1"/>
        <v xml:space="preserve"> The Daniels 5 Star Short Let Apartment in Lekki</v>
      </c>
      <c r="T60">
        <f>Table1[[#This Row],[Adults]]+Table1[[#This Row],[Children]]</f>
        <v>1</v>
      </c>
      <c r="U60">
        <f>_xlfn.DAYS(Table1[[#This Row],[Depart]],Table1[[#This Row],[Arrive]])</f>
        <v>5</v>
      </c>
    </row>
    <row r="61" spans="1:21" x14ac:dyDescent="0.25">
      <c r="A61" t="s">
        <v>110</v>
      </c>
      <c r="B61" t="s">
        <v>111</v>
      </c>
      <c r="C61" t="s">
        <v>1179</v>
      </c>
      <c r="D61" s="1">
        <v>43909</v>
      </c>
      <c r="E61" s="1">
        <v>43910</v>
      </c>
      <c r="F61">
        <f t="shared" si="2"/>
        <v>1</v>
      </c>
      <c r="G61" s="1">
        <v>43901</v>
      </c>
      <c r="H61" s="2">
        <v>0.33333333333333331</v>
      </c>
      <c r="I61" s="3">
        <v>1</v>
      </c>
      <c r="J61" s="4" t="s">
        <v>1236</v>
      </c>
      <c r="K61" s="4" t="s">
        <v>1236</v>
      </c>
      <c r="L61" t="s">
        <v>22</v>
      </c>
      <c r="M61" s="12" t="s">
        <v>18</v>
      </c>
      <c r="N61">
        <v>3</v>
      </c>
      <c r="O61">
        <v>0</v>
      </c>
      <c r="P61" t="s">
        <v>19</v>
      </c>
      <c r="Q61" s="6">
        <v>110</v>
      </c>
      <c r="R61" t="str">
        <f t="shared" si="0"/>
        <v>Phiola's 5 Star Short Let Apartment in Lekki_x000C_</v>
      </c>
      <c r="S61" t="str">
        <f t="shared" si="1"/>
        <v>Phiola's 5 Star Short Let Apartment in Lekki</v>
      </c>
      <c r="T61">
        <f>Table1[[#This Row],[Adults]]+Table1[[#This Row],[Children]]</f>
        <v>3</v>
      </c>
      <c r="U61">
        <f>_xlfn.DAYS(Table1[[#This Row],[Depart]],Table1[[#This Row],[Arrive]])</f>
        <v>1</v>
      </c>
    </row>
    <row r="62" spans="1:21" x14ac:dyDescent="0.25">
      <c r="A62" t="s">
        <v>96</v>
      </c>
      <c r="B62" t="s">
        <v>97</v>
      </c>
      <c r="C62" t="s">
        <v>1178</v>
      </c>
      <c r="D62" s="1">
        <v>43909</v>
      </c>
      <c r="E62" s="1">
        <v>43910</v>
      </c>
      <c r="F62">
        <f t="shared" si="2"/>
        <v>1</v>
      </c>
      <c r="G62" s="1">
        <v>43903</v>
      </c>
      <c r="H62" s="2">
        <v>0.33333333333333331</v>
      </c>
      <c r="I62" s="3">
        <v>1</v>
      </c>
      <c r="J62" t="s">
        <v>1250</v>
      </c>
      <c r="K62" t="s">
        <v>1250</v>
      </c>
      <c r="L62" t="s">
        <v>22</v>
      </c>
      <c r="M62" s="12" t="s">
        <v>18</v>
      </c>
      <c r="N62">
        <v>2</v>
      </c>
      <c r="O62">
        <v>0</v>
      </c>
      <c r="P62" t="s">
        <v>19</v>
      </c>
      <c r="Q62" s="6">
        <v>110</v>
      </c>
      <c r="R62" t="str">
        <f t="shared" si="0"/>
        <v>Ope's 5 Star Short Let Apartment in Lekki_x000C_</v>
      </c>
      <c r="S62" t="str">
        <f t="shared" si="1"/>
        <v>Ope's 5 Star Short Let Apartment in Lekki</v>
      </c>
      <c r="T62">
        <f>Table1[[#This Row],[Adults]]+Table1[[#This Row],[Children]]</f>
        <v>2</v>
      </c>
      <c r="U62">
        <f>_xlfn.DAYS(Table1[[#This Row],[Depart]],Table1[[#This Row],[Arrive]])</f>
        <v>1</v>
      </c>
    </row>
    <row r="63" spans="1:21" x14ac:dyDescent="0.25">
      <c r="A63" t="s">
        <v>110</v>
      </c>
      <c r="B63" t="s">
        <v>111</v>
      </c>
      <c r="C63" t="s">
        <v>1178</v>
      </c>
      <c r="D63" s="1">
        <v>43909</v>
      </c>
      <c r="E63" s="1">
        <v>43911</v>
      </c>
      <c r="F63">
        <f t="shared" si="2"/>
        <v>2</v>
      </c>
      <c r="G63" s="1">
        <v>43908</v>
      </c>
      <c r="H63" s="2">
        <v>0.33333333333333331</v>
      </c>
      <c r="I63" s="3">
        <v>1</v>
      </c>
      <c r="J63" t="s">
        <v>1257</v>
      </c>
      <c r="K63" t="s">
        <v>1257</v>
      </c>
      <c r="L63" t="s">
        <v>22</v>
      </c>
      <c r="M63" s="12" t="s">
        <v>23</v>
      </c>
      <c r="N63">
        <v>6</v>
      </c>
      <c r="O63">
        <v>0</v>
      </c>
      <c r="P63" t="s">
        <v>19</v>
      </c>
      <c r="Q63" s="6">
        <v>307</v>
      </c>
      <c r="R63" t="str">
        <f t="shared" si="0"/>
        <v>Ope's 5 Star Short Let Apartment in Lekki_x000C_</v>
      </c>
      <c r="S63" t="str">
        <f t="shared" si="1"/>
        <v>Ope's 5 Star Short Let Apartment in Lekki</v>
      </c>
      <c r="T63">
        <f>Table1[[#This Row],[Adults]]+Table1[[#This Row],[Children]]</f>
        <v>6</v>
      </c>
      <c r="U63">
        <f>_xlfn.DAYS(Table1[[#This Row],[Depart]],Table1[[#This Row],[Arrive]])</f>
        <v>2</v>
      </c>
    </row>
    <row r="64" spans="1:21" x14ac:dyDescent="0.25">
      <c r="A64" t="s">
        <v>148</v>
      </c>
      <c r="B64" t="s">
        <v>149</v>
      </c>
      <c r="C64" t="s">
        <v>1173</v>
      </c>
      <c r="D64" s="1">
        <v>43909</v>
      </c>
      <c r="E64" s="1">
        <v>43911</v>
      </c>
      <c r="F64">
        <f t="shared" si="2"/>
        <v>2</v>
      </c>
      <c r="G64" s="1">
        <v>43909</v>
      </c>
      <c r="H64" s="2">
        <v>0.33333333333333331</v>
      </c>
      <c r="I64" s="3">
        <v>1</v>
      </c>
      <c r="J64" t="s">
        <v>1264</v>
      </c>
      <c r="K64" t="s">
        <v>1264</v>
      </c>
      <c r="L64" t="s">
        <v>22</v>
      </c>
      <c r="M64" s="12" t="s">
        <v>23</v>
      </c>
      <c r="N64">
        <v>2</v>
      </c>
      <c r="O64">
        <v>0</v>
      </c>
      <c r="P64" t="s">
        <v>19</v>
      </c>
      <c r="Q64" s="6">
        <v>220</v>
      </c>
      <c r="R64" t="str">
        <f t="shared" si="0"/>
        <v xml:space="preserve"> The Daniels 5 Star Short Let Apartment in Lekki_x000C_</v>
      </c>
      <c r="S64" t="str">
        <f t="shared" si="1"/>
        <v xml:space="preserve"> The Daniels 5 Star Short Let Apartment in Lekki</v>
      </c>
      <c r="T64">
        <f>Table1[[#This Row],[Adults]]+Table1[[#This Row],[Children]]</f>
        <v>2</v>
      </c>
      <c r="U64">
        <f>_xlfn.DAYS(Table1[[#This Row],[Depart]],Table1[[#This Row],[Arrive]])</f>
        <v>2</v>
      </c>
    </row>
    <row r="65" spans="1:21" x14ac:dyDescent="0.25">
      <c r="A65" t="s">
        <v>118</v>
      </c>
      <c r="B65" t="s">
        <v>119</v>
      </c>
      <c r="C65" t="s">
        <v>1178</v>
      </c>
      <c r="D65" s="1">
        <v>43910</v>
      </c>
      <c r="E65" s="1">
        <v>43911</v>
      </c>
      <c r="F65">
        <f t="shared" si="2"/>
        <v>1</v>
      </c>
      <c r="G65" s="1">
        <v>43896</v>
      </c>
      <c r="H65" s="2">
        <v>0.33333333333333331</v>
      </c>
      <c r="I65" s="3">
        <v>1</v>
      </c>
      <c r="J65" t="s">
        <v>1240</v>
      </c>
      <c r="K65" t="s">
        <v>1240</v>
      </c>
      <c r="L65" t="s">
        <v>22</v>
      </c>
      <c r="M65" s="12" t="s">
        <v>18</v>
      </c>
      <c r="N65">
        <v>1</v>
      </c>
      <c r="O65">
        <v>0</v>
      </c>
      <c r="P65" t="s">
        <v>19</v>
      </c>
      <c r="Q65" s="6">
        <v>110</v>
      </c>
      <c r="R65" t="str">
        <f t="shared" si="0"/>
        <v>Ope's 5 Star Short Let Apartment in Lekki_x000C_</v>
      </c>
      <c r="S65" t="str">
        <f t="shared" si="1"/>
        <v>Ope's 5 Star Short Let Apartment in Lekki</v>
      </c>
      <c r="T65">
        <f>Table1[[#This Row],[Adults]]+Table1[[#This Row],[Children]]</f>
        <v>1</v>
      </c>
      <c r="U65">
        <f>_xlfn.DAYS(Table1[[#This Row],[Depart]],Table1[[#This Row],[Arrive]])</f>
        <v>1</v>
      </c>
    </row>
    <row r="66" spans="1:21" x14ac:dyDescent="0.25">
      <c r="A66" t="s">
        <v>48</v>
      </c>
      <c r="B66" t="s">
        <v>49</v>
      </c>
      <c r="C66" t="s">
        <v>1173</v>
      </c>
      <c r="D66" s="1">
        <v>43910</v>
      </c>
      <c r="E66" s="1">
        <v>43915</v>
      </c>
      <c r="F66">
        <f t="shared" si="2"/>
        <v>5</v>
      </c>
      <c r="G66" s="1">
        <v>43885</v>
      </c>
      <c r="H66" s="2">
        <v>0.33333333333333331</v>
      </c>
      <c r="I66" s="3">
        <v>1</v>
      </c>
      <c r="J66" t="s">
        <v>1255</v>
      </c>
      <c r="K66" t="s">
        <v>1255</v>
      </c>
      <c r="L66" t="s">
        <v>22</v>
      </c>
      <c r="M66" s="12" t="s">
        <v>18</v>
      </c>
      <c r="N66">
        <v>2</v>
      </c>
      <c r="O66">
        <v>0</v>
      </c>
      <c r="P66" t="s">
        <v>19</v>
      </c>
      <c r="Q66" s="6">
        <v>550</v>
      </c>
      <c r="R66" t="str">
        <f t="shared" ref="R66:R129" si="3">SUBSTITUTE(C:C,"?","'")</f>
        <v xml:space="preserve"> The Daniels 5 Star Short Let Apartment in Lekki_x000C_</v>
      </c>
      <c r="S66" t="str">
        <f t="shared" ref="S66:S129" si="4">CLEAN(R:R)</f>
        <v xml:space="preserve"> The Daniels 5 Star Short Let Apartment in Lekki</v>
      </c>
      <c r="T66">
        <f>Table1[[#This Row],[Adults]]+Table1[[#This Row],[Children]]</f>
        <v>2</v>
      </c>
      <c r="U66">
        <f>_xlfn.DAYS(Table1[[#This Row],[Depart]],Table1[[#This Row],[Arrive]])</f>
        <v>5</v>
      </c>
    </row>
    <row r="67" spans="1:21" x14ac:dyDescent="0.25">
      <c r="A67" t="s">
        <v>140</v>
      </c>
      <c r="B67" t="s">
        <v>141</v>
      </c>
      <c r="C67" t="s">
        <v>1179</v>
      </c>
      <c r="D67" s="1">
        <v>43910</v>
      </c>
      <c r="E67" s="1">
        <v>43912</v>
      </c>
      <c r="F67">
        <f t="shared" ref="F67:F130" si="5">_xlfn.DAYS(E67,D67)</f>
        <v>2</v>
      </c>
      <c r="G67" s="1">
        <v>43908</v>
      </c>
      <c r="H67" s="2">
        <v>0.33333333333333331</v>
      </c>
      <c r="I67" s="3">
        <v>1</v>
      </c>
      <c r="J67" t="s">
        <v>2172</v>
      </c>
      <c r="K67" t="s">
        <v>1215</v>
      </c>
      <c r="L67" t="s">
        <v>17</v>
      </c>
      <c r="M67" s="12" t="s">
        <v>18</v>
      </c>
      <c r="N67">
        <v>2</v>
      </c>
      <c r="O67">
        <v>0</v>
      </c>
      <c r="P67" t="s">
        <v>19</v>
      </c>
      <c r="Q67" s="6">
        <v>255.6</v>
      </c>
      <c r="R67" t="str">
        <f t="shared" si="3"/>
        <v>Phiola's 5 Star Short Let Apartment in Lekki_x000C_</v>
      </c>
      <c r="S67" t="str">
        <f t="shared" si="4"/>
        <v>Phiola's 5 Star Short Let Apartment in Lekki</v>
      </c>
      <c r="T67">
        <f>Table1[[#This Row],[Adults]]+Table1[[#This Row],[Children]]</f>
        <v>2</v>
      </c>
      <c r="U67">
        <f>_xlfn.DAYS(Table1[[#This Row],[Depart]],Table1[[#This Row],[Arrive]])</f>
        <v>2</v>
      </c>
    </row>
    <row r="68" spans="1:21" x14ac:dyDescent="0.25">
      <c r="A68" t="s">
        <v>134</v>
      </c>
      <c r="B68" t="s">
        <v>135</v>
      </c>
      <c r="C68" t="s">
        <v>1179</v>
      </c>
      <c r="D68" s="1">
        <v>43911</v>
      </c>
      <c r="E68" s="1">
        <v>43926</v>
      </c>
      <c r="F68">
        <f t="shared" si="5"/>
        <v>15</v>
      </c>
      <c r="G68" s="1">
        <v>43881</v>
      </c>
      <c r="H68" s="2">
        <v>0.33333333333333331</v>
      </c>
      <c r="I68" s="3">
        <v>1</v>
      </c>
      <c r="J68" t="s">
        <v>1253</v>
      </c>
      <c r="K68" t="s">
        <v>1253</v>
      </c>
      <c r="L68" t="s">
        <v>22</v>
      </c>
      <c r="M68" s="12" t="s">
        <v>18</v>
      </c>
      <c r="N68">
        <v>2</v>
      </c>
      <c r="O68">
        <v>0</v>
      </c>
      <c r="P68" t="s">
        <v>19</v>
      </c>
      <c r="Q68" s="6">
        <v>1650</v>
      </c>
      <c r="R68" t="str">
        <f t="shared" si="3"/>
        <v>Phiola's 5 Star Short Let Apartment in Lekki_x000C_</v>
      </c>
      <c r="S68" t="str">
        <f t="shared" si="4"/>
        <v>Phiola's 5 Star Short Let Apartment in Lekki</v>
      </c>
      <c r="T68">
        <f>Table1[[#This Row],[Adults]]+Table1[[#This Row],[Children]]</f>
        <v>2</v>
      </c>
      <c r="U68">
        <f>_xlfn.DAYS(Table1[[#This Row],[Depart]],Table1[[#This Row],[Arrive]])</f>
        <v>15</v>
      </c>
    </row>
    <row r="69" spans="1:21" x14ac:dyDescent="0.25">
      <c r="A69" t="s">
        <v>108</v>
      </c>
      <c r="B69" t="s">
        <v>109</v>
      </c>
      <c r="C69" t="s">
        <v>1179</v>
      </c>
      <c r="D69" s="1">
        <v>43911</v>
      </c>
      <c r="E69" s="1">
        <v>43914</v>
      </c>
      <c r="F69">
        <f t="shared" si="5"/>
        <v>3</v>
      </c>
      <c r="G69" s="1">
        <v>43910</v>
      </c>
      <c r="H69" s="2">
        <v>0.33333333333333331</v>
      </c>
      <c r="I69" s="3">
        <v>1</v>
      </c>
      <c r="J69" t="s">
        <v>1263</v>
      </c>
      <c r="K69" t="s">
        <v>1263</v>
      </c>
      <c r="L69" t="s">
        <v>22</v>
      </c>
      <c r="M69" s="12" t="s">
        <v>18</v>
      </c>
      <c r="N69">
        <v>1</v>
      </c>
      <c r="O69">
        <v>0</v>
      </c>
      <c r="P69" t="s">
        <v>19</v>
      </c>
      <c r="Q69" s="6">
        <v>330</v>
      </c>
      <c r="R69" t="str">
        <f t="shared" si="3"/>
        <v>Phiola's 5 Star Short Let Apartment in Lekki_x000C_</v>
      </c>
      <c r="S69" t="str">
        <f t="shared" si="4"/>
        <v>Phiola's 5 Star Short Let Apartment in Lekki</v>
      </c>
      <c r="T69">
        <f>Table1[[#This Row],[Adults]]+Table1[[#This Row],[Children]]</f>
        <v>1</v>
      </c>
      <c r="U69">
        <f>_xlfn.DAYS(Table1[[#This Row],[Depart]],Table1[[#This Row],[Arrive]])</f>
        <v>3</v>
      </c>
    </row>
    <row r="70" spans="1:21" x14ac:dyDescent="0.25">
      <c r="A70" t="s">
        <v>110</v>
      </c>
      <c r="B70" t="s">
        <v>111</v>
      </c>
      <c r="C70" t="s">
        <v>1173</v>
      </c>
      <c r="D70" s="1">
        <v>43911</v>
      </c>
      <c r="E70" s="1">
        <v>43914</v>
      </c>
      <c r="F70">
        <f t="shared" si="5"/>
        <v>3</v>
      </c>
      <c r="G70" s="1">
        <v>43911</v>
      </c>
      <c r="H70" s="2">
        <v>0.33333333333333331</v>
      </c>
      <c r="I70" s="3">
        <v>1</v>
      </c>
      <c r="J70" t="s">
        <v>1265</v>
      </c>
      <c r="K70" t="s">
        <v>1265</v>
      </c>
      <c r="L70" t="s">
        <v>22</v>
      </c>
      <c r="M70" s="12" t="s">
        <v>23</v>
      </c>
      <c r="N70">
        <v>2</v>
      </c>
      <c r="O70">
        <v>0</v>
      </c>
      <c r="P70" t="s">
        <v>19</v>
      </c>
      <c r="Q70" s="6">
        <v>440</v>
      </c>
      <c r="R70" t="str">
        <f t="shared" si="3"/>
        <v xml:space="preserve"> The Daniels 5 Star Short Let Apartment in Lekki_x000C_</v>
      </c>
      <c r="S70" t="str">
        <f t="shared" si="4"/>
        <v xml:space="preserve"> The Daniels 5 Star Short Let Apartment in Lekki</v>
      </c>
      <c r="T70">
        <f>Table1[[#This Row],[Adults]]+Table1[[#This Row],[Children]]</f>
        <v>2</v>
      </c>
      <c r="U70">
        <f>_xlfn.DAYS(Table1[[#This Row],[Depart]],Table1[[#This Row],[Arrive]])</f>
        <v>3</v>
      </c>
    </row>
    <row r="71" spans="1:21" x14ac:dyDescent="0.25">
      <c r="A71" t="s">
        <v>120</v>
      </c>
      <c r="B71" t="s">
        <v>121</v>
      </c>
      <c r="C71" t="s">
        <v>1175</v>
      </c>
      <c r="D71" s="1">
        <v>43912</v>
      </c>
      <c r="E71" s="1">
        <v>43918</v>
      </c>
      <c r="F71">
        <f t="shared" si="5"/>
        <v>6</v>
      </c>
      <c r="G71" s="1">
        <v>43904</v>
      </c>
      <c r="H71" s="2">
        <v>0.33333333333333331</v>
      </c>
      <c r="I71" s="3">
        <v>1</v>
      </c>
      <c r="J71" t="s">
        <v>1259</v>
      </c>
      <c r="K71" t="s">
        <v>1259</v>
      </c>
      <c r="L71" t="s">
        <v>22</v>
      </c>
      <c r="M71" s="12" t="s">
        <v>18</v>
      </c>
      <c r="N71">
        <v>2</v>
      </c>
      <c r="O71">
        <v>0</v>
      </c>
      <c r="P71" t="s">
        <v>19</v>
      </c>
      <c r="Q71" s="6">
        <v>660</v>
      </c>
      <c r="R71" t="str">
        <f t="shared" si="3"/>
        <v>Keji's 5 Star Short let Apartment in Lekki_x000C_</v>
      </c>
      <c r="S71" t="str">
        <f t="shared" si="4"/>
        <v>Keji's 5 Star Short let Apartment in Lekki</v>
      </c>
      <c r="T71">
        <f>Table1[[#This Row],[Adults]]+Table1[[#This Row],[Children]]</f>
        <v>2</v>
      </c>
      <c r="U71">
        <f>_xlfn.DAYS(Table1[[#This Row],[Depart]],Table1[[#This Row],[Arrive]])</f>
        <v>6</v>
      </c>
    </row>
    <row r="72" spans="1:21" x14ac:dyDescent="0.25">
      <c r="A72" t="s">
        <v>146</v>
      </c>
      <c r="B72" t="s">
        <v>147</v>
      </c>
      <c r="C72" t="s">
        <v>1175</v>
      </c>
      <c r="D72" s="1">
        <v>43912</v>
      </c>
      <c r="E72" s="1">
        <v>43915</v>
      </c>
      <c r="F72">
        <f t="shared" si="5"/>
        <v>3</v>
      </c>
      <c r="G72" s="1">
        <v>43910</v>
      </c>
      <c r="H72" s="2">
        <v>0.33333333333333331</v>
      </c>
      <c r="I72" s="3">
        <v>1</v>
      </c>
      <c r="J72" t="s">
        <v>1262</v>
      </c>
      <c r="K72" t="s">
        <v>1262</v>
      </c>
      <c r="L72" t="s">
        <v>26</v>
      </c>
      <c r="M72" s="12" t="s">
        <v>18</v>
      </c>
      <c r="N72">
        <v>1</v>
      </c>
      <c r="O72">
        <v>0</v>
      </c>
      <c r="P72" t="s">
        <v>19</v>
      </c>
      <c r="Q72" s="6">
        <v>319</v>
      </c>
      <c r="R72" t="str">
        <f t="shared" si="3"/>
        <v>Keji's 5 Star Short let Apartment in Lekki_x000C_</v>
      </c>
      <c r="S72" t="str">
        <f t="shared" si="4"/>
        <v>Keji's 5 Star Short let Apartment in Lekki</v>
      </c>
      <c r="T72">
        <f>Table1[[#This Row],[Adults]]+Table1[[#This Row],[Children]]</f>
        <v>1</v>
      </c>
      <c r="U72">
        <f>_xlfn.DAYS(Table1[[#This Row],[Depart]],Table1[[#This Row],[Arrive]])</f>
        <v>3</v>
      </c>
    </row>
    <row r="73" spans="1:21" x14ac:dyDescent="0.25">
      <c r="A73" t="s">
        <v>152</v>
      </c>
      <c r="B73" t="s">
        <v>153</v>
      </c>
      <c r="C73" t="s">
        <v>1178</v>
      </c>
      <c r="D73" s="1">
        <v>43912</v>
      </c>
      <c r="E73" s="1">
        <v>43913</v>
      </c>
      <c r="F73">
        <f t="shared" si="5"/>
        <v>1</v>
      </c>
      <c r="G73" s="1">
        <v>43912</v>
      </c>
      <c r="H73" s="2">
        <v>0.33333333333333331</v>
      </c>
      <c r="I73" s="3">
        <v>1</v>
      </c>
      <c r="J73" t="s">
        <v>1267</v>
      </c>
      <c r="K73" t="s">
        <v>1267</v>
      </c>
      <c r="L73" t="s">
        <v>22</v>
      </c>
      <c r="M73" s="12" t="s">
        <v>18</v>
      </c>
      <c r="N73">
        <v>2</v>
      </c>
      <c r="O73">
        <v>0</v>
      </c>
      <c r="P73" t="s">
        <v>19</v>
      </c>
      <c r="Q73" s="6">
        <v>105</v>
      </c>
      <c r="R73" t="str">
        <f t="shared" si="3"/>
        <v>Ope's 5 Star Short Let Apartment in Lekki_x000C_</v>
      </c>
      <c r="S73" t="str">
        <f t="shared" si="4"/>
        <v>Ope's 5 Star Short Let Apartment in Lekki</v>
      </c>
      <c r="T73">
        <f>Table1[[#This Row],[Adults]]+Table1[[#This Row],[Children]]</f>
        <v>2</v>
      </c>
      <c r="U73">
        <f>_xlfn.DAYS(Table1[[#This Row],[Depart]],Table1[[#This Row],[Arrive]])</f>
        <v>1</v>
      </c>
    </row>
    <row r="74" spans="1:21" x14ac:dyDescent="0.25">
      <c r="A74" t="s">
        <v>132</v>
      </c>
      <c r="B74" t="s">
        <v>133</v>
      </c>
      <c r="C74" t="s">
        <v>1178</v>
      </c>
      <c r="D74" s="1">
        <v>43913</v>
      </c>
      <c r="E74" s="1">
        <v>43914</v>
      </c>
      <c r="F74">
        <f t="shared" si="5"/>
        <v>1</v>
      </c>
      <c r="G74" s="1">
        <v>43908</v>
      </c>
      <c r="H74" s="2">
        <v>0.33333333333333331</v>
      </c>
      <c r="I74" s="3">
        <v>1</v>
      </c>
      <c r="J74" t="s">
        <v>1251</v>
      </c>
      <c r="K74" t="s">
        <v>1251</v>
      </c>
      <c r="L74" t="s">
        <v>22</v>
      </c>
      <c r="M74" s="12" t="s">
        <v>23</v>
      </c>
      <c r="N74">
        <v>5</v>
      </c>
      <c r="O74">
        <v>0</v>
      </c>
      <c r="P74" t="s">
        <v>19</v>
      </c>
      <c r="Q74" s="6">
        <v>110</v>
      </c>
      <c r="R74" t="str">
        <f t="shared" si="3"/>
        <v>Ope's 5 Star Short Let Apartment in Lekki_x000C_</v>
      </c>
      <c r="S74" t="str">
        <f t="shared" si="4"/>
        <v>Ope's 5 Star Short Let Apartment in Lekki</v>
      </c>
      <c r="T74">
        <f>Table1[[#This Row],[Adults]]+Table1[[#This Row],[Children]]</f>
        <v>5</v>
      </c>
      <c r="U74">
        <f>_xlfn.DAYS(Table1[[#This Row],[Depart]],Table1[[#This Row],[Arrive]])</f>
        <v>1</v>
      </c>
    </row>
    <row r="75" spans="1:21" x14ac:dyDescent="0.25">
      <c r="A75" t="s">
        <v>152</v>
      </c>
      <c r="B75" t="s">
        <v>153</v>
      </c>
      <c r="C75" t="s">
        <v>1179</v>
      </c>
      <c r="D75" s="1">
        <v>43913</v>
      </c>
      <c r="E75" s="1">
        <v>43915</v>
      </c>
      <c r="F75">
        <f t="shared" si="5"/>
        <v>2</v>
      </c>
      <c r="G75" s="1">
        <v>43912</v>
      </c>
      <c r="H75" s="2">
        <v>0.33333333333333331</v>
      </c>
      <c r="I75" s="3">
        <v>1</v>
      </c>
      <c r="J75" t="s">
        <v>1268</v>
      </c>
      <c r="K75" t="s">
        <v>1268</v>
      </c>
      <c r="L75" t="s">
        <v>22</v>
      </c>
      <c r="M75" s="12" t="s">
        <v>18</v>
      </c>
      <c r="N75">
        <v>3</v>
      </c>
      <c r="O75">
        <v>0</v>
      </c>
      <c r="P75" t="s">
        <v>19</v>
      </c>
      <c r="Q75" s="6">
        <v>210</v>
      </c>
      <c r="R75" t="str">
        <f t="shared" si="3"/>
        <v>Phiola's 5 Star Short Let Apartment in Lekki_x000C_</v>
      </c>
      <c r="S75" t="str">
        <f t="shared" si="4"/>
        <v>Phiola's 5 Star Short Let Apartment in Lekki</v>
      </c>
      <c r="T75">
        <f>Table1[[#This Row],[Adults]]+Table1[[#This Row],[Children]]</f>
        <v>3</v>
      </c>
      <c r="U75">
        <f>_xlfn.DAYS(Table1[[#This Row],[Depart]],Table1[[#This Row],[Arrive]])</f>
        <v>2</v>
      </c>
    </row>
    <row r="76" spans="1:21" x14ac:dyDescent="0.25">
      <c r="A76" t="s">
        <v>136</v>
      </c>
      <c r="B76" t="s">
        <v>137</v>
      </c>
      <c r="C76" t="s">
        <v>1179</v>
      </c>
      <c r="D76" s="1">
        <v>43913</v>
      </c>
      <c r="E76" s="1">
        <v>43914</v>
      </c>
      <c r="F76">
        <f t="shared" si="5"/>
        <v>1</v>
      </c>
      <c r="G76" s="1">
        <v>43912</v>
      </c>
      <c r="H76" s="2">
        <v>0.33333333333333331</v>
      </c>
      <c r="I76" s="3">
        <v>1</v>
      </c>
      <c r="J76" t="s">
        <v>1292</v>
      </c>
      <c r="K76" t="s">
        <v>1292</v>
      </c>
      <c r="L76" t="s">
        <v>22</v>
      </c>
      <c r="M76" s="12" t="s">
        <v>18</v>
      </c>
      <c r="N76">
        <v>1</v>
      </c>
      <c r="O76">
        <v>0</v>
      </c>
      <c r="P76" t="s">
        <v>19</v>
      </c>
      <c r="Q76" s="6">
        <v>110</v>
      </c>
      <c r="R76" t="str">
        <f t="shared" si="3"/>
        <v>Phiola's 5 Star Short Let Apartment in Lekki_x000C_</v>
      </c>
      <c r="S76" t="str">
        <f t="shared" si="4"/>
        <v>Phiola's 5 Star Short Let Apartment in Lekki</v>
      </c>
      <c r="T76">
        <f>Table1[[#This Row],[Adults]]+Table1[[#This Row],[Children]]</f>
        <v>1</v>
      </c>
      <c r="U76">
        <f>_xlfn.DAYS(Table1[[#This Row],[Depart]],Table1[[#This Row],[Arrive]])</f>
        <v>1</v>
      </c>
    </row>
    <row r="77" spans="1:21" x14ac:dyDescent="0.25">
      <c r="A77" t="s">
        <v>33</v>
      </c>
      <c r="B77" t="s">
        <v>34</v>
      </c>
      <c r="C77" t="s">
        <v>1179</v>
      </c>
      <c r="D77" s="1">
        <v>43914</v>
      </c>
      <c r="E77" s="1">
        <v>43930</v>
      </c>
      <c r="F77">
        <f t="shared" si="5"/>
        <v>16</v>
      </c>
      <c r="G77" s="1">
        <v>43870</v>
      </c>
      <c r="H77" s="2">
        <v>0.33333333333333331</v>
      </c>
      <c r="I77" s="3">
        <v>1</v>
      </c>
      <c r="J77" t="s">
        <v>1188</v>
      </c>
      <c r="K77" t="s">
        <v>1188</v>
      </c>
      <c r="L77" t="s">
        <v>35</v>
      </c>
      <c r="M77" s="12" t="s">
        <v>18</v>
      </c>
      <c r="N77">
        <v>3</v>
      </c>
      <c r="O77">
        <v>0</v>
      </c>
      <c r="P77" t="s">
        <v>19</v>
      </c>
      <c r="Q77" s="6">
        <v>910</v>
      </c>
      <c r="R77" t="str">
        <f t="shared" si="3"/>
        <v>Phiola's 5 Star Short Let Apartment in Lekki_x000C_</v>
      </c>
      <c r="S77" t="str">
        <f t="shared" si="4"/>
        <v>Phiola's 5 Star Short Let Apartment in Lekki</v>
      </c>
      <c r="T77">
        <f>Table1[[#This Row],[Adults]]+Table1[[#This Row],[Children]]</f>
        <v>3</v>
      </c>
      <c r="U77">
        <f>_xlfn.DAYS(Table1[[#This Row],[Depart]],Table1[[#This Row],[Arrive]])</f>
        <v>16</v>
      </c>
    </row>
    <row r="78" spans="1:21" x14ac:dyDescent="0.25">
      <c r="A78" t="s">
        <v>156</v>
      </c>
      <c r="B78" t="s">
        <v>157</v>
      </c>
      <c r="C78" t="s">
        <v>1178</v>
      </c>
      <c r="D78" s="1">
        <v>43914</v>
      </c>
      <c r="E78" s="1">
        <v>43916</v>
      </c>
      <c r="F78">
        <f t="shared" si="5"/>
        <v>2</v>
      </c>
      <c r="G78" s="1">
        <v>43913</v>
      </c>
      <c r="H78" s="2">
        <v>0.33333333333333331</v>
      </c>
      <c r="I78" s="3">
        <v>1</v>
      </c>
      <c r="J78" t="s">
        <v>1272</v>
      </c>
      <c r="K78" t="s">
        <v>1272</v>
      </c>
      <c r="L78" t="s">
        <v>26</v>
      </c>
      <c r="M78" s="12" t="s">
        <v>18</v>
      </c>
      <c r="N78">
        <v>4</v>
      </c>
      <c r="O78">
        <v>0</v>
      </c>
      <c r="P78" t="s">
        <v>19</v>
      </c>
      <c r="Q78" s="6">
        <v>212</v>
      </c>
      <c r="R78" t="str">
        <f t="shared" si="3"/>
        <v>Ope's 5 Star Short Let Apartment in Lekki_x000C_</v>
      </c>
      <c r="S78" t="str">
        <f t="shared" si="4"/>
        <v>Ope's 5 Star Short Let Apartment in Lekki</v>
      </c>
      <c r="T78">
        <f>Table1[[#This Row],[Adults]]+Table1[[#This Row],[Children]]</f>
        <v>4</v>
      </c>
      <c r="U78">
        <f>_xlfn.DAYS(Table1[[#This Row],[Depart]],Table1[[#This Row],[Arrive]])</f>
        <v>2</v>
      </c>
    </row>
    <row r="79" spans="1:21" x14ac:dyDescent="0.25">
      <c r="A79" t="s">
        <v>108</v>
      </c>
      <c r="B79" t="s">
        <v>109</v>
      </c>
      <c r="C79" t="s">
        <v>1173</v>
      </c>
      <c r="D79" s="1">
        <v>43914</v>
      </c>
      <c r="E79" s="1">
        <v>43916</v>
      </c>
      <c r="F79">
        <f t="shared" si="5"/>
        <v>2</v>
      </c>
      <c r="G79" s="1">
        <v>43911</v>
      </c>
      <c r="H79" s="2">
        <v>0.33333333333333331</v>
      </c>
      <c r="I79" s="3">
        <v>1</v>
      </c>
      <c r="J79" t="s">
        <v>1274</v>
      </c>
      <c r="K79" t="s">
        <v>1274</v>
      </c>
      <c r="L79" t="s">
        <v>22</v>
      </c>
      <c r="M79" s="12" t="s">
        <v>18</v>
      </c>
      <c r="N79">
        <v>5</v>
      </c>
      <c r="O79">
        <v>0</v>
      </c>
      <c r="P79" t="s">
        <v>19</v>
      </c>
      <c r="Q79" s="6">
        <v>220</v>
      </c>
      <c r="R79" t="str">
        <f t="shared" si="3"/>
        <v xml:space="preserve"> The Daniels 5 Star Short Let Apartment in Lekki_x000C_</v>
      </c>
      <c r="S79" t="str">
        <f t="shared" si="4"/>
        <v xml:space="preserve"> The Daniels 5 Star Short Let Apartment in Lekki</v>
      </c>
      <c r="T79">
        <f>Table1[[#This Row],[Adults]]+Table1[[#This Row],[Children]]</f>
        <v>5</v>
      </c>
      <c r="U79">
        <f>_xlfn.DAYS(Table1[[#This Row],[Depart]],Table1[[#This Row],[Arrive]])</f>
        <v>2</v>
      </c>
    </row>
    <row r="80" spans="1:21" x14ac:dyDescent="0.25">
      <c r="A80" t="s">
        <v>110</v>
      </c>
      <c r="B80" t="s">
        <v>111</v>
      </c>
      <c r="C80" t="s">
        <v>1173</v>
      </c>
      <c r="D80" s="1">
        <v>43914</v>
      </c>
      <c r="E80" s="1">
        <v>43915</v>
      </c>
      <c r="F80">
        <f t="shared" si="5"/>
        <v>1</v>
      </c>
      <c r="G80" s="1">
        <v>43914</v>
      </c>
      <c r="H80" s="2">
        <v>0.33333333333333331</v>
      </c>
      <c r="I80" s="3">
        <v>1</v>
      </c>
      <c r="J80" t="s">
        <v>1275</v>
      </c>
      <c r="K80" t="s">
        <v>1275</v>
      </c>
      <c r="L80" t="s">
        <v>22</v>
      </c>
      <c r="M80" s="12" t="s">
        <v>23</v>
      </c>
      <c r="N80">
        <v>1</v>
      </c>
      <c r="O80">
        <v>0</v>
      </c>
      <c r="P80" t="s">
        <v>19</v>
      </c>
      <c r="Q80" s="6">
        <v>110</v>
      </c>
      <c r="R80" t="str">
        <f t="shared" si="3"/>
        <v xml:space="preserve"> The Daniels 5 Star Short Let Apartment in Lekki_x000C_</v>
      </c>
      <c r="S80" t="str">
        <f t="shared" si="4"/>
        <v xml:space="preserve"> The Daniels 5 Star Short Let Apartment in Lekki</v>
      </c>
      <c r="T80">
        <f>Table1[[#This Row],[Adults]]+Table1[[#This Row],[Children]]</f>
        <v>1</v>
      </c>
      <c r="U80">
        <f>_xlfn.DAYS(Table1[[#This Row],[Depart]],Table1[[#This Row],[Arrive]])</f>
        <v>1</v>
      </c>
    </row>
    <row r="81" spans="1:21" x14ac:dyDescent="0.25">
      <c r="A81" t="s">
        <v>110</v>
      </c>
      <c r="B81" t="s">
        <v>111</v>
      </c>
      <c r="C81" t="s">
        <v>1178</v>
      </c>
      <c r="D81" s="1">
        <v>43914</v>
      </c>
      <c r="E81" s="1">
        <v>43915</v>
      </c>
      <c r="F81">
        <f t="shared" si="5"/>
        <v>1</v>
      </c>
      <c r="G81" s="1">
        <v>43913</v>
      </c>
      <c r="H81" s="2">
        <v>0.33333333333333331</v>
      </c>
      <c r="I81" s="3">
        <v>1</v>
      </c>
      <c r="J81" t="s">
        <v>1276</v>
      </c>
      <c r="K81" t="s">
        <v>1276</v>
      </c>
      <c r="L81" t="s">
        <v>22</v>
      </c>
      <c r="M81" s="12" t="s">
        <v>18</v>
      </c>
      <c r="N81">
        <v>3</v>
      </c>
      <c r="O81">
        <v>0</v>
      </c>
      <c r="P81" t="s">
        <v>19</v>
      </c>
      <c r="Q81" s="6">
        <v>110</v>
      </c>
      <c r="R81" t="str">
        <f t="shared" si="3"/>
        <v>Ope's 5 Star Short Let Apartment in Lekki_x000C_</v>
      </c>
      <c r="S81" t="str">
        <f t="shared" si="4"/>
        <v>Ope's 5 Star Short Let Apartment in Lekki</v>
      </c>
      <c r="T81">
        <f>Table1[[#This Row],[Adults]]+Table1[[#This Row],[Children]]</f>
        <v>3</v>
      </c>
      <c r="U81">
        <f>_xlfn.DAYS(Table1[[#This Row],[Depart]],Table1[[#This Row],[Arrive]])</f>
        <v>1</v>
      </c>
    </row>
    <row r="82" spans="1:21" x14ac:dyDescent="0.25">
      <c r="A82" t="s">
        <v>160</v>
      </c>
      <c r="B82" t="s">
        <v>161</v>
      </c>
      <c r="C82" t="s">
        <v>1178</v>
      </c>
      <c r="D82" s="1">
        <v>43914</v>
      </c>
      <c r="E82" s="1">
        <v>43919</v>
      </c>
      <c r="F82">
        <f t="shared" si="5"/>
        <v>5</v>
      </c>
      <c r="G82" s="1">
        <v>43914</v>
      </c>
      <c r="H82" s="2">
        <v>0.33333333333333331</v>
      </c>
      <c r="I82" s="3">
        <v>1</v>
      </c>
      <c r="J82" t="s">
        <v>1278</v>
      </c>
      <c r="K82" t="s">
        <v>1278</v>
      </c>
      <c r="L82" t="s">
        <v>22</v>
      </c>
      <c r="M82" s="12" t="s">
        <v>23</v>
      </c>
      <c r="N82">
        <v>5</v>
      </c>
      <c r="O82">
        <v>0</v>
      </c>
      <c r="P82" t="s">
        <v>19</v>
      </c>
      <c r="Q82" s="6">
        <v>550</v>
      </c>
      <c r="R82" t="str">
        <f t="shared" si="3"/>
        <v>Ope's 5 Star Short Let Apartment in Lekki_x000C_</v>
      </c>
      <c r="S82" t="str">
        <f t="shared" si="4"/>
        <v>Ope's 5 Star Short Let Apartment in Lekki</v>
      </c>
      <c r="T82">
        <f>Table1[[#This Row],[Adults]]+Table1[[#This Row],[Children]]</f>
        <v>5</v>
      </c>
      <c r="U82">
        <f>_xlfn.DAYS(Table1[[#This Row],[Depart]],Table1[[#This Row],[Arrive]])</f>
        <v>5</v>
      </c>
    </row>
    <row r="83" spans="1:21" x14ac:dyDescent="0.25">
      <c r="A83" t="s">
        <v>152</v>
      </c>
      <c r="B83" t="s">
        <v>153</v>
      </c>
      <c r="C83" t="s">
        <v>1175</v>
      </c>
      <c r="D83" s="1">
        <v>43915</v>
      </c>
      <c r="E83" s="1">
        <v>43918</v>
      </c>
      <c r="F83">
        <f t="shared" si="5"/>
        <v>3</v>
      </c>
      <c r="G83" s="1">
        <v>43912</v>
      </c>
      <c r="H83" s="2">
        <v>0.33333333333333331</v>
      </c>
      <c r="I83" s="3">
        <v>1</v>
      </c>
      <c r="J83" t="s">
        <v>1269</v>
      </c>
      <c r="K83" t="s">
        <v>1269</v>
      </c>
      <c r="L83" t="s">
        <v>22</v>
      </c>
      <c r="M83" s="12" t="s">
        <v>18</v>
      </c>
      <c r="N83">
        <v>2</v>
      </c>
      <c r="O83">
        <v>0</v>
      </c>
      <c r="P83" t="s">
        <v>19</v>
      </c>
      <c r="Q83" s="6">
        <v>315</v>
      </c>
      <c r="R83" t="str">
        <f t="shared" si="3"/>
        <v>Keji's 5 Star Short let Apartment in Lekki_x000C_</v>
      </c>
      <c r="S83" t="str">
        <f t="shared" si="4"/>
        <v>Keji's 5 Star Short let Apartment in Lekki</v>
      </c>
      <c r="T83">
        <f>Table1[[#This Row],[Adults]]+Table1[[#This Row],[Children]]</f>
        <v>2</v>
      </c>
      <c r="U83">
        <f>_xlfn.DAYS(Table1[[#This Row],[Depart]],Table1[[#This Row],[Arrive]])</f>
        <v>3</v>
      </c>
    </row>
    <row r="84" spans="1:21" x14ac:dyDescent="0.25">
      <c r="A84" t="s">
        <v>166</v>
      </c>
      <c r="B84" t="s">
        <v>167</v>
      </c>
      <c r="C84" t="s">
        <v>1173</v>
      </c>
      <c r="D84" s="1">
        <v>43915</v>
      </c>
      <c r="E84" s="1">
        <v>43918</v>
      </c>
      <c r="F84">
        <f t="shared" si="5"/>
        <v>3</v>
      </c>
      <c r="G84" s="1">
        <v>43914</v>
      </c>
      <c r="H84" s="2">
        <v>0.33333333333333331</v>
      </c>
      <c r="I84" s="3">
        <v>1</v>
      </c>
      <c r="J84" t="s">
        <v>1281</v>
      </c>
      <c r="K84" t="s">
        <v>1281</v>
      </c>
      <c r="L84" t="s">
        <v>22</v>
      </c>
      <c r="M84" s="12" t="s">
        <v>23</v>
      </c>
      <c r="N84">
        <v>4</v>
      </c>
      <c r="O84">
        <v>0</v>
      </c>
      <c r="P84" t="s">
        <v>19</v>
      </c>
      <c r="Q84" s="6">
        <v>330</v>
      </c>
      <c r="R84" t="str">
        <f t="shared" si="3"/>
        <v xml:space="preserve"> The Daniels 5 Star Short Let Apartment in Lekki_x000C_</v>
      </c>
      <c r="S84" t="str">
        <f t="shared" si="4"/>
        <v xml:space="preserve"> The Daniels 5 Star Short Let Apartment in Lekki</v>
      </c>
      <c r="T84">
        <f>Table1[[#This Row],[Adults]]+Table1[[#This Row],[Children]]</f>
        <v>4</v>
      </c>
      <c r="U84">
        <f>_xlfn.DAYS(Table1[[#This Row],[Depart]],Table1[[#This Row],[Arrive]])</f>
        <v>3</v>
      </c>
    </row>
    <row r="85" spans="1:21" x14ac:dyDescent="0.25">
      <c r="A85" t="s">
        <v>108</v>
      </c>
      <c r="B85" t="s">
        <v>109</v>
      </c>
      <c r="C85" t="s">
        <v>1178</v>
      </c>
      <c r="D85" s="1">
        <v>43916</v>
      </c>
      <c r="E85" s="1">
        <v>43919</v>
      </c>
      <c r="F85">
        <f t="shared" si="5"/>
        <v>3</v>
      </c>
      <c r="G85" s="1">
        <v>43911</v>
      </c>
      <c r="H85" s="2">
        <v>0.33333333333333331</v>
      </c>
      <c r="I85" s="3">
        <v>1</v>
      </c>
      <c r="J85" s="4" t="s">
        <v>1277</v>
      </c>
      <c r="K85" s="4" t="s">
        <v>1277</v>
      </c>
      <c r="L85" t="s">
        <v>22</v>
      </c>
      <c r="M85" s="12" t="s">
        <v>18</v>
      </c>
      <c r="N85">
        <v>3</v>
      </c>
      <c r="O85">
        <v>0</v>
      </c>
      <c r="P85" t="s">
        <v>19</v>
      </c>
      <c r="Q85" s="6">
        <v>330</v>
      </c>
      <c r="R85" t="str">
        <f t="shared" si="3"/>
        <v>Ope's 5 Star Short Let Apartment in Lekki_x000C_</v>
      </c>
      <c r="S85" t="str">
        <f t="shared" si="4"/>
        <v>Ope's 5 Star Short Let Apartment in Lekki</v>
      </c>
      <c r="T85">
        <f>Table1[[#This Row],[Adults]]+Table1[[#This Row],[Children]]</f>
        <v>3</v>
      </c>
      <c r="U85">
        <f>_xlfn.DAYS(Table1[[#This Row],[Depart]],Table1[[#This Row],[Arrive]])</f>
        <v>3</v>
      </c>
    </row>
    <row r="86" spans="1:21" x14ac:dyDescent="0.25">
      <c r="A86" t="s">
        <v>120</v>
      </c>
      <c r="B86" t="s">
        <v>121</v>
      </c>
      <c r="C86" t="s">
        <v>1175</v>
      </c>
      <c r="D86" s="1">
        <v>43917</v>
      </c>
      <c r="E86" s="1">
        <v>43918</v>
      </c>
      <c r="F86">
        <f t="shared" si="5"/>
        <v>1</v>
      </c>
      <c r="G86" s="1">
        <v>43905</v>
      </c>
      <c r="H86" s="2">
        <v>0.33333333333333331</v>
      </c>
      <c r="I86" s="3">
        <v>1</v>
      </c>
      <c r="J86" t="s">
        <v>1242</v>
      </c>
      <c r="K86" t="s">
        <v>1242</v>
      </c>
      <c r="L86" t="s">
        <v>22</v>
      </c>
      <c r="M86" s="12" t="s">
        <v>18</v>
      </c>
      <c r="N86">
        <v>4</v>
      </c>
      <c r="O86">
        <v>0</v>
      </c>
      <c r="P86" t="s">
        <v>19</v>
      </c>
      <c r="Q86" s="6">
        <v>110</v>
      </c>
      <c r="R86" t="str">
        <f t="shared" si="3"/>
        <v>Keji's 5 Star Short let Apartment in Lekki_x000C_</v>
      </c>
      <c r="S86" t="str">
        <f t="shared" si="4"/>
        <v>Keji's 5 Star Short let Apartment in Lekki</v>
      </c>
      <c r="T86">
        <f>Table1[[#This Row],[Adults]]+Table1[[#This Row],[Children]]</f>
        <v>4</v>
      </c>
      <c r="U86">
        <f>_xlfn.DAYS(Table1[[#This Row],[Depart]],Table1[[#This Row],[Arrive]])</f>
        <v>1</v>
      </c>
    </row>
    <row r="87" spans="1:21" x14ac:dyDescent="0.25">
      <c r="A87" t="s">
        <v>150</v>
      </c>
      <c r="B87" t="s">
        <v>151</v>
      </c>
      <c r="C87" t="s">
        <v>1173</v>
      </c>
      <c r="D87" s="1">
        <v>43917</v>
      </c>
      <c r="E87" s="1">
        <v>43926</v>
      </c>
      <c r="F87">
        <f t="shared" si="5"/>
        <v>9</v>
      </c>
      <c r="G87" s="1">
        <v>43911</v>
      </c>
      <c r="H87" s="2">
        <v>0.33333333333333331</v>
      </c>
      <c r="I87" s="3">
        <v>1</v>
      </c>
      <c r="J87" t="s">
        <v>1266</v>
      </c>
      <c r="K87" t="s">
        <v>1266</v>
      </c>
      <c r="L87" t="s">
        <v>26</v>
      </c>
      <c r="M87" s="12" t="s">
        <v>18</v>
      </c>
      <c r="N87">
        <v>1</v>
      </c>
      <c r="O87">
        <v>0</v>
      </c>
      <c r="P87" t="s">
        <v>19</v>
      </c>
      <c r="Q87" s="6">
        <v>955</v>
      </c>
      <c r="R87" t="str">
        <f t="shared" si="3"/>
        <v xml:space="preserve"> The Daniels 5 Star Short Let Apartment in Lekki_x000C_</v>
      </c>
      <c r="S87" t="str">
        <f t="shared" si="4"/>
        <v xml:space="preserve"> The Daniels 5 Star Short Let Apartment in Lekki</v>
      </c>
      <c r="T87">
        <f>Table1[[#This Row],[Adults]]+Table1[[#This Row],[Children]]</f>
        <v>1</v>
      </c>
      <c r="U87">
        <f>_xlfn.DAYS(Table1[[#This Row],[Depart]],Table1[[#This Row],[Arrive]])</f>
        <v>9</v>
      </c>
    </row>
    <row r="88" spans="1:21" x14ac:dyDescent="0.25">
      <c r="A88" t="s">
        <v>162</v>
      </c>
      <c r="B88" t="s">
        <v>163</v>
      </c>
      <c r="C88" t="s">
        <v>1178</v>
      </c>
      <c r="D88" s="1">
        <v>43917</v>
      </c>
      <c r="E88" s="1">
        <v>43918</v>
      </c>
      <c r="F88">
        <f t="shared" si="5"/>
        <v>1</v>
      </c>
      <c r="G88" s="1">
        <v>43906</v>
      </c>
      <c r="H88" s="2">
        <v>0.33333333333333331</v>
      </c>
      <c r="I88" s="3">
        <v>1</v>
      </c>
      <c r="J88" t="s">
        <v>1279</v>
      </c>
      <c r="K88" t="s">
        <v>1279</v>
      </c>
      <c r="L88" t="s">
        <v>26</v>
      </c>
      <c r="M88" s="12" t="s">
        <v>18</v>
      </c>
      <c r="N88">
        <v>1</v>
      </c>
      <c r="O88">
        <v>0</v>
      </c>
      <c r="P88" t="s">
        <v>19</v>
      </c>
      <c r="Q88" s="6">
        <v>107</v>
      </c>
      <c r="R88" t="str">
        <f t="shared" si="3"/>
        <v>Ope's 5 Star Short Let Apartment in Lekki_x000C_</v>
      </c>
      <c r="S88" t="str">
        <f t="shared" si="4"/>
        <v>Ope's 5 Star Short Let Apartment in Lekki</v>
      </c>
      <c r="T88">
        <f>Table1[[#This Row],[Adults]]+Table1[[#This Row],[Children]]</f>
        <v>1</v>
      </c>
      <c r="U88">
        <f>_xlfn.DAYS(Table1[[#This Row],[Depart]],Table1[[#This Row],[Arrive]])</f>
        <v>1</v>
      </c>
    </row>
    <row r="89" spans="1:21" x14ac:dyDescent="0.25">
      <c r="A89" t="s">
        <v>138</v>
      </c>
      <c r="B89" t="s">
        <v>139</v>
      </c>
      <c r="C89" t="s">
        <v>1178</v>
      </c>
      <c r="D89" s="1">
        <v>43918</v>
      </c>
      <c r="E89" s="1">
        <v>43921</v>
      </c>
      <c r="F89">
        <f t="shared" si="5"/>
        <v>3</v>
      </c>
      <c r="G89" s="1">
        <v>43893</v>
      </c>
      <c r="H89" s="2">
        <v>0.33333333333333331</v>
      </c>
      <c r="I89" s="3">
        <v>1</v>
      </c>
      <c r="J89" t="s">
        <v>1256</v>
      </c>
      <c r="K89" t="s">
        <v>1256</v>
      </c>
      <c r="L89" t="s">
        <v>22</v>
      </c>
      <c r="M89" s="12" t="s">
        <v>18</v>
      </c>
      <c r="N89">
        <v>3</v>
      </c>
      <c r="O89">
        <v>0</v>
      </c>
      <c r="P89" t="s">
        <v>19</v>
      </c>
      <c r="Q89" s="6">
        <v>330</v>
      </c>
      <c r="R89" t="str">
        <f t="shared" si="3"/>
        <v>Ope's 5 Star Short Let Apartment in Lekki_x000C_</v>
      </c>
      <c r="S89" t="str">
        <f t="shared" si="4"/>
        <v>Ope's 5 Star Short Let Apartment in Lekki</v>
      </c>
      <c r="T89">
        <f>Table1[[#This Row],[Adults]]+Table1[[#This Row],[Children]]</f>
        <v>3</v>
      </c>
      <c r="U89">
        <f>_xlfn.DAYS(Table1[[#This Row],[Depart]],Table1[[#This Row],[Arrive]])</f>
        <v>3</v>
      </c>
    </row>
    <row r="90" spans="1:21" x14ac:dyDescent="0.25">
      <c r="A90" t="s">
        <v>70</v>
      </c>
      <c r="B90" t="s">
        <v>71</v>
      </c>
      <c r="C90" t="s">
        <v>1175</v>
      </c>
      <c r="D90" s="1">
        <v>43918</v>
      </c>
      <c r="E90" s="1">
        <v>43926</v>
      </c>
      <c r="F90">
        <f t="shared" si="5"/>
        <v>8</v>
      </c>
      <c r="G90" s="1">
        <v>43869</v>
      </c>
      <c r="H90" s="2">
        <v>0.33333333333333331</v>
      </c>
      <c r="I90" s="3">
        <v>1</v>
      </c>
      <c r="J90" t="s">
        <v>1270</v>
      </c>
      <c r="K90" t="s">
        <v>1270</v>
      </c>
      <c r="L90" t="s">
        <v>26</v>
      </c>
      <c r="M90" s="12" t="s">
        <v>18</v>
      </c>
      <c r="N90">
        <v>2</v>
      </c>
      <c r="O90">
        <v>0</v>
      </c>
      <c r="P90" t="s">
        <v>19</v>
      </c>
      <c r="Q90" s="6">
        <v>880</v>
      </c>
      <c r="R90" t="str">
        <f t="shared" si="3"/>
        <v>Keji's 5 Star Short let Apartment in Lekki_x000C_</v>
      </c>
      <c r="S90" t="str">
        <f t="shared" si="4"/>
        <v>Keji's 5 Star Short let Apartment in Lekki</v>
      </c>
      <c r="T90">
        <f>Table1[[#This Row],[Adults]]+Table1[[#This Row],[Children]]</f>
        <v>2</v>
      </c>
      <c r="U90">
        <f>_xlfn.DAYS(Table1[[#This Row],[Depart]],Table1[[#This Row],[Arrive]])</f>
        <v>8</v>
      </c>
    </row>
    <row r="91" spans="1:21" x14ac:dyDescent="0.25">
      <c r="A91" t="s">
        <v>158</v>
      </c>
      <c r="B91" t="s">
        <v>159</v>
      </c>
      <c r="C91" t="s">
        <v>1173</v>
      </c>
      <c r="D91" s="1">
        <v>43918</v>
      </c>
      <c r="E91" s="1">
        <v>43919</v>
      </c>
      <c r="F91">
        <f t="shared" si="5"/>
        <v>1</v>
      </c>
      <c r="G91" s="1">
        <v>43913</v>
      </c>
      <c r="H91" s="2">
        <v>0.33333333333333331</v>
      </c>
      <c r="I91" s="3">
        <v>1</v>
      </c>
      <c r="J91" t="s">
        <v>1273</v>
      </c>
      <c r="K91" t="s">
        <v>1273</v>
      </c>
      <c r="L91" t="s">
        <v>22</v>
      </c>
      <c r="M91" s="12" t="s">
        <v>23</v>
      </c>
      <c r="N91">
        <v>4</v>
      </c>
      <c r="O91">
        <v>0</v>
      </c>
      <c r="P91" t="s">
        <v>19</v>
      </c>
      <c r="Q91" s="6">
        <v>110</v>
      </c>
      <c r="R91" t="str">
        <f t="shared" si="3"/>
        <v xml:space="preserve"> The Daniels 5 Star Short Let Apartment in Lekki_x000C_</v>
      </c>
      <c r="S91" t="str">
        <f t="shared" si="4"/>
        <v xml:space="preserve"> The Daniels 5 Star Short Let Apartment in Lekki</v>
      </c>
      <c r="T91">
        <f>Table1[[#This Row],[Adults]]+Table1[[#This Row],[Children]]</f>
        <v>4</v>
      </c>
      <c r="U91">
        <f>_xlfn.DAYS(Table1[[#This Row],[Depart]],Table1[[#This Row],[Arrive]])</f>
        <v>1</v>
      </c>
    </row>
    <row r="92" spans="1:21" x14ac:dyDescent="0.25">
      <c r="A92" t="s">
        <v>110</v>
      </c>
      <c r="B92" t="s">
        <v>111</v>
      </c>
      <c r="C92" t="s">
        <v>1179</v>
      </c>
      <c r="D92" s="1">
        <v>43918</v>
      </c>
      <c r="E92" s="1">
        <v>43920</v>
      </c>
      <c r="F92">
        <f t="shared" si="5"/>
        <v>2</v>
      </c>
      <c r="G92" s="1">
        <v>43916</v>
      </c>
      <c r="H92" s="2">
        <v>0.33333333333333331</v>
      </c>
      <c r="I92" s="3">
        <v>1</v>
      </c>
      <c r="J92" t="s">
        <v>1287</v>
      </c>
      <c r="K92" t="s">
        <v>1287</v>
      </c>
      <c r="L92" t="s">
        <v>22</v>
      </c>
      <c r="M92" s="12" t="s">
        <v>23</v>
      </c>
      <c r="N92">
        <v>3</v>
      </c>
      <c r="O92">
        <v>0</v>
      </c>
      <c r="P92" t="s">
        <v>19</v>
      </c>
      <c r="Q92" s="6">
        <v>220</v>
      </c>
      <c r="R92" t="str">
        <f t="shared" si="3"/>
        <v>Phiola's 5 Star Short Let Apartment in Lekki_x000C_</v>
      </c>
      <c r="S92" t="str">
        <f t="shared" si="4"/>
        <v>Phiola's 5 Star Short Let Apartment in Lekki</v>
      </c>
      <c r="T92">
        <f>Table1[[#This Row],[Adults]]+Table1[[#This Row],[Children]]</f>
        <v>3</v>
      </c>
      <c r="U92">
        <f>_xlfn.DAYS(Table1[[#This Row],[Depart]],Table1[[#This Row],[Arrive]])</f>
        <v>2</v>
      </c>
    </row>
    <row r="93" spans="1:21" x14ac:dyDescent="0.25">
      <c r="A93" t="s">
        <v>70</v>
      </c>
      <c r="B93" t="s">
        <v>71</v>
      </c>
      <c r="C93" t="s">
        <v>1178</v>
      </c>
      <c r="D93" s="1">
        <v>43919</v>
      </c>
      <c r="E93" s="1">
        <v>43926</v>
      </c>
      <c r="F93">
        <f t="shared" si="5"/>
        <v>7</v>
      </c>
      <c r="G93" s="1">
        <v>43879</v>
      </c>
      <c r="H93" s="2">
        <v>0.33333333333333331</v>
      </c>
      <c r="I93" s="3">
        <v>1</v>
      </c>
      <c r="J93" t="s">
        <v>1211</v>
      </c>
      <c r="K93" t="s">
        <v>1211</v>
      </c>
      <c r="L93" t="s">
        <v>22</v>
      </c>
      <c r="M93" s="12" t="s">
        <v>18</v>
      </c>
      <c r="N93">
        <v>4</v>
      </c>
      <c r="O93">
        <v>0</v>
      </c>
      <c r="P93" t="s">
        <v>19</v>
      </c>
      <c r="Q93" s="6">
        <v>770</v>
      </c>
      <c r="R93" t="str">
        <f t="shared" si="3"/>
        <v>Ope's 5 Star Short Let Apartment in Lekki_x000C_</v>
      </c>
      <c r="S93" t="str">
        <f t="shared" si="4"/>
        <v>Ope's 5 Star Short Let Apartment in Lekki</v>
      </c>
      <c r="T93">
        <f>Table1[[#This Row],[Adults]]+Table1[[#This Row],[Children]]</f>
        <v>4</v>
      </c>
      <c r="U93">
        <f>_xlfn.DAYS(Table1[[#This Row],[Depart]],Table1[[#This Row],[Arrive]])</f>
        <v>7</v>
      </c>
    </row>
    <row r="94" spans="1:21" x14ac:dyDescent="0.25">
      <c r="A94" t="s">
        <v>170</v>
      </c>
      <c r="B94" t="s">
        <v>171</v>
      </c>
      <c r="C94" t="s">
        <v>1173</v>
      </c>
      <c r="D94" s="1">
        <v>43919</v>
      </c>
      <c r="E94" s="1">
        <v>43922</v>
      </c>
      <c r="F94">
        <f t="shared" si="5"/>
        <v>3</v>
      </c>
      <c r="G94" s="1">
        <v>43918</v>
      </c>
      <c r="H94" s="2">
        <v>0.33333333333333331</v>
      </c>
      <c r="I94" s="3">
        <v>1</v>
      </c>
      <c r="J94" t="s">
        <v>1283</v>
      </c>
      <c r="K94" t="s">
        <v>1283</v>
      </c>
      <c r="L94" t="s">
        <v>26</v>
      </c>
      <c r="M94" s="12" t="s">
        <v>18</v>
      </c>
      <c r="N94">
        <v>2</v>
      </c>
      <c r="O94">
        <v>0</v>
      </c>
      <c r="P94" t="s">
        <v>19</v>
      </c>
      <c r="Q94" s="6">
        <v>319</v>
      </c>
      <c r="R94" t="str">
        <f t="shared" si="3"/>
        <v xml:space="preserve"> The Daniels 5 Star Short Let Apartment in Lekki_x000C_</v>
      </c>
      <c r="S94" t="str">
        <f t="shared" si="4"/>
        <v xml:space="preserve"> The Daniels 5 Star Short Let Apartment in Lekki</v>
      </c>
      <c r="T94">
        <f>Table1[[#This Row],[Adults]]+Table1[[#This Row],[Children]]</f>
        <v>2</v>
      </c>
      <c r="U94">
        <f>_xlfn.DAYS(Table1[[#This Row],[Depart]],Table1[[#This Row],[Arrive]])</f>
        <v>3</v>
      </c>
    </row>
    <row r="95" spans="1:21" x14ac:dyDescent="0.25">
      <c r="A95" t="s">
        <v>166</v>
      </c>
      <c r="B95" t="s">
        <v>167</v>
      </c>
      <c r="C95" t="s">
        <v>1173</v>
      </c>
      <c r="D95" s="1">
        <v>43919</v>
      </c>
      <c r="E95" s="1">
        <v>43921</v>
      </c>
      <c r="F95">
        <f t="shared" si="5"/>
        <v>2</v>
      </c>
      <c r="G95" s="1">
        <v>43918</v>
      </c>
      <c r="H95" s="2">
        <v>0.33333333333333331</v>
      </c>
      <c r="I95" s="3">
        <v>1</v>
      </c>
      <c r="J95" t="s">
        <v>1286</v>
      </c>
      <c r="K95" t="s">
        <v>1286</v>
      </c>
      <c r="L95" t="s">
        <v>22</v>
      </c>
      <c r="M95" s="12" t="s">
        <v>18</v>
      </c>
      <c r="N95">
        <v>2</v>
      </c>
      <c r="O95">
        <v>0</v>
      </c>
      <c r="P95" t="s">
        <v>19</v>
      </c>
      <c r="Q95" s="6">
        <v>220</v>
      </c>
      <c r="R95" t="str">
        <f t="shared" si="3"/>
        <v xml:space="preserve"> The Daniels 5 Star Short Let Apartment in Lekki_x000C_</v>
      </c>
      <c r="S95" t="str">
        <f t="shared" si="4"/>
        <v xml:space="preserve"> The Daniels 5 Star Short Let Apartment in Lekki</v>
      </c>
      <c r="T95">
        <f>Table1[[#This Row],[Adults]]+Table1[[#This Row],[Children]]</f>
        <v>2</v>
      </c>
      <c r="U95">
        <f>_xlfn.DAYS(Table1[[#This Row],[Depart]],Table1[[#This Row],[Arrive]])</f>
        <v>2</v>
      </c>
    </row>
    <row r="96" spans="1:21" x14ac:dyDescent="0.25">
      <c r="A96" t="s">
        <v>160</v>
      </c>
      <c r="B96" t="s">
        <v>161</v>
      </c>
      <c r="C96" t="s">
        <v>1178</v>
      </c>
      <c r="D96" s="1">
        <v>43919</v>
      </c>
      <c r="E96" s="1">
        <v>43925</v>
      </c>
      <c r="F96">
        <f t="shared" si="5"/>
        <v>6</v>
      </c>
      <c r="G96" s="1">
        <v>43917</v>
      </c>
      <c r="H96" s="2">
        <v>0.33333333333333331</v>
      </c>
      <c r="I96" s="3">
        <v>1</v>
      </c>
      <c r="J96" t="s">
        <v>1298</v>
      </c>
      <c r="K96" t="s">
        <v>1298</v>
      </c>
      <c r="L96" t="s">
        <v>22</v>
      </c>
      <c r="M96" s="12" t="s">
        <v>23</v>
      </c>
      <c r="N96">
        <v>3</v>
      </c>
      <c r="O96">
        <v>0</v>
      </c>
      <c r="P96" t="s">
        <v>19</v>
      </c>
      <c r="Q96" s="6">
        <v>660</v>
      </c>
      <c r="R96" t="str">
        <f t="shared" si="3"/>
        <v>Ope's 5 Star Short Let Apartment in Lekki_x000C_</v>
      </c>
      <c r="S96" t="str">
        <f t="shared" si="4"/>
        <v>Ope's 5 Star Short Let Apartment in Lekki</v>
      </c>
      <c r="T96">
        <f>Table1[[#This Row],[Adults]]+Table1[[#This Row],[Children]]</f>
        <v>3</v>
      </c>
      <c r="U96">
        <f>_xlfn.DAYS(Table1[[#This Row],[Depart]],Table1[[#This Row],[Arrive]])</f>
        <v>6</v>
      </c>
    </row>
    <row r="97" spans="1:21" x14ac:dyDescent="0.25">
      <c r="A97" t="s">
        <v>56</v>
      </c>
      <c r="B97" t="s">
        <v>57</v>
      </c>
      <c r="C97" t="s">
        <v>1179</v>
      </c>
      <c r="D97" s="1">
        <v>43920</v>
      </c>
      <c r="E97" s="1">
        <v>43925</v>
      </c>
      <c r="F97">
        <f t="shared" si="5"/>
        <v>5</v>
      </c>
      <c r="G97" s="1">
        <v>43886</v>
      </c>
      <c r="H97" s="2">
        <v>0.33333333333333331</v>
      </c>
      <c r="I97" s="3">
        <v>1</v>
      </c>
      <c r="J97" t="s">
        <v>1225</v>
      </c>
      <c r="K97" t="s">
        <v>1225</v>
      </c>
      <c r="L97" t="s">
        <v>22</v>
      </c>
      <c r="M97" s="12" t="s">
        <v>18</v>
      </c>
      <c r="N97">
        <v>3</v>
      </c>
      <c r="O97">
        <v>0</v>
      </c>
      <c r="P97" t="s">
        <v>19</v>
      </c>
      <c r="Q97" s="6">
        <v>550</v>
      </c>
      <c r="R97" t="str">
        <f t="shared" si="3"/>
        <v>Phiola's 5 Star Short Let Apartment in Lekki_x000C_</v>
      </c>
      <c r="S97" t="str">
        <f t="shared" si="4"/>
        <v>Phiola's 5 Star Short Let Apartment in Lekki</v>
      </c>
      <c r="T97">
        <f>Table1[[#This Row],[Adults]]+Table1[[#This Row],[Children]]</f>
        <v>3</v>
      </c>
      <c r="U97">
        <f>_xlfn.DAYS(Table1[[#This Row],[Depart]],Table1[[#This Row],[Arrive]])</f>
        <v>5</v>
      </c>
    </row>
    <row r="98" spans="1:21" x14ac:dyDescent="0.25">
      <c r="A98" t="s">
        <v>110</v>
      </c>
      <c r="B98" t="s">
        <v>111</v>
      </c>
      <c r="C98" t="s">
        <v>1173</v>
      </c>
      <c r="D98" s="1">
        <v>43920</v>
      </c>
      <c r="E98" s="1">
        <v>43922</v>
      </c>
      <c r="F98">
        <f t="shared" si="5"/>
        <v>2</v>
      </c>
      <c r="G98" s="1">
        <v>43920</v>
      </c>
      <c r="H98" s="2">
        <v>0.33333333333333331</v>
      </c>
      <c r="I98" s="3">
        <v>1</v>
      </c>
      <c r="J98" t="s">
        <v>1288</v>
      </c>
      <c r="K98" t="s">
        <v>1288</v>
      </c>
      <c r="L98" t="s">
        <v>22</v>
      </c>
      <c r="M98" s="12" t="s">
        <v>23</v>
      </c>
      <c r="N98">
        <v>3</v>
      </c>
      <c r="O98">
        <v>0</v>
      </c>
      <c r="P98" t="s">
        <v>19</v>
      </c>
      <c r="Q98" s="6">
        <v>220</v>
      </c>
      <c r="R98" t="str">
        <f t="shared" si="3"/>
        <v xml:space="preserve"> The Daniels 5 Star Short Let Apartment in Lekki_x000C_</v>
      </c>
      <c r="S98" t="str">
        <f t="shared" si="4"/>
        <v xml:space="preserve"> The Daniels 5 Star Short Let Apartment in Lekki</v>
      </c>
      <c r="T98">
        <f>Table1[[#This Row],[Adults]]+Table1[[#This Row],[Children]]</f>
        <v>3</v>
      </c>
      <c r="U98">
        <f>_xlfn.DAYS(Table1[[#This Row],[Depart]],Table1[[#This Row],[Arrive]])</f>
        <v>2</v>
      </c>
    </row>
    <row r="99" spans="1:21" x14ac:dyDescent="0.25">
      <c r="A99" t="s">
        <v>130</v>
      </c>
      <c r="B99" t="s">
        <v>131</v>
      </c>
      <c r="C99" t="s">
        <v>1176</v>
      </c>
      <c r="D99" s="1">
        <v>43921</v>
      </c>
      <c r="E99" s="1">
        <v>43928</v>
      </c>
      <c r="F99">
        <f t="shared" si="5"/>
        <v>7</v>
      </c>
      <c r="G99" s="1">
        <v>43879</v>
      </c>
      <c r="H99" s="2">
        <v>0.33333333333333331</v>
      </c>
      <c r="I99" s="3">
        <v>1</v>
      </c>
      <c r="J99" t="s">
        <v>1249</v>
      </c>
      <c r="K99" t="s">
        <v>1249</v>
      </c>
      <c r="L99" t="s">
        <v>22</v>
      </c>
      <c r="M99" s="12" t="s">
        <v>18</v>
      </c>
      <c r="N99">
        <v>4</v>
      </c>
      <c r="O99">
        <v>3</v>
      </c>
      <c r="P99" t="s">
        <v>19</v>
      </c>
      <c r="Q99" s="6">
        <v>110</v>
      </c>
      <c r="R99" t="str">
        <f t="shared" si="3"/>
        <v>Tiara's Luxury Home Away From Home_x000C_</v>
      </c>
      <c r="S99" t="str">
        <f t="shared" si="4"/>
        <v>Tiara's Luxury Home Away From Home</v>
      </c>
      <c r="T99">
        <f>Table1[[#This Row],[Adults]]+Table1[[#This Row],[Children]]</f>
        <v>7</v>
      </c>
      <c r="U99">
        <f>_xlfn.DAYS(Table1[[#This Row],[Depart]],Table1[[#This Row],[Arrive]])</f>
        <v>7</v>
      </c>
    </row>
    <row r="100" spans="1:21" x14ac:dyDescent="0.25">
      <c r="A100" t="s">
        <v>126</v>
      </c>
      <c r="B100" t="s">
        <v>127</v>
      </c>
      <c r="C100" t="s">
        <v>1178</v>
      </c>
      <c r="D100" s="1">
        <v>43922</v>
      </c>
      <c r="E100" s="1">
        <v>43923</v>
      </c>
      <c r="F100">
        <f t="shared" si="5"/>
        <v>1</v>
      </c>
      <c r="G100" s="1">
        <v>43907</v>
      </c>
      <c r="H100" s="2">
        <v>0.33333333333333331</v>
      </c>
      <c r="I100" s="3">
        <v>1</v>
      </c>
      <c r="J100" t="s">
        <v>1247</v>
      </c>
      <c r="K100" t="s">
        <v>1247</v>
      </c>
      <c r="L100" t="s">
        <v>26</v>
      </c>
      <c r="M100" s="12" t="s">
        <v>18</v>
      </c>
      <c r="N100">
        <v>1</v>
      </c>
      <c r="O100">
        <v>0</v>
      </c>
      <c r="P100" t="s">
        <v>19</v>
      </c>
      <c r="Q100" s="6">
        <v>107</v>
      </c>
      <c r="R100" t="str">
        <f t="shared" si="3"/>
        <v>Ope's 5 Star Short Let Apartment in Lekki_x000C_</v>
      </c>
      <c r="S100" t="str">
        <f t="shared" si="4"/>
        <v>Ope's 5 Star Short Let Apartment in Lekki</v>
      </c>
      <c r="T100">
        <f>Table1[[#This Row],[Adults]]+Table1[[#This Row],[Children]]</f>
        <v>1</v>
      </c>
      <c r="U100">
        <f>_xlfn.DAYS(Table1[[#This Row],[Depart]],Table1[[#This Row],[Arrive]])</f>
        <v>1</v>
      </c>
    </row>
    <row r="101" spans="1:21" x14ac:dyDescent="0.25">
      <c r="A101" t="s">
        <v>110</v>
      </c>
      <c r="B101" t="s">
        <v>111</v>
      </c>
      <c r="C101" t="s">
        <v>1173</v>
      </c>
      <c r="D101" s="1">
        <v>43922</v>
      </c>
      <c r="E101" s="1">
        <v>43933</v>
      </c>
      <c r="F101">
        <f t="shared" si="5"/>
        <v>11</v>
      </c>
      <c r="G101" s="1">
        <v>43920</v>
      </c>
      <c r="H101" s="2">
        <v>0.33333333333333331</v>
      </c>
      <c r="I101" s="3">
        <v>1</v>
      </c>
      <c r="J101" t="s">
        <v>1291</v>
      </c>
      <c r="K101" t="s">
        <v>1291</v>
      </c>
      <c r="L101" t="s">
        <v>22</v>
      </c>
      <c r="M101" s="12" t="s">
        <v>23</v>
      </c>
      <c r="N101">
        <v>2</v>
      </c>
      <c r="O101">
        <v>0</v>
      </c>
      <c r="P101" t="s">
        <v>19</v>
      </c>
      <c r="Q101" s="6">
        <v>1210</v>
      </c>
      <c r="R101" t="str">
        <f t="shared" si="3"/>
        <v xml:space="preserve"> The Daniels 5 Star Short Let Apartment in Lekki_x000C_</v>
      </c>
      <c r="S101" t="str">
        <f t="shared" si="4"/>
        <v xml:space="preserve"> The Daniels 5 Star Short Let Apartment in Lekki</v>
      </c>
      <c r="T101">
        <f>Table1[[#This Row],[Adults]]+Table1[[#This Row],[Children]]</f>
        <v>2</v>
      </c>
      <c r="U101">
        <f>_xlfn.DAYS(Table1[[#This Row],[Depart]],Table1[[#This Row],[Arrive]])</f>
        <v>11</v>
      </c>
    </row>
    <row r="102" spans="1:21" x14ac:dyDescent="0.25">
      <c r="A102" t="s">
        <v>180</v>
      </c>
      <c r="B102" t="s">
        <v>181</v>
      </c>
      <c r="C102" t="s">
        <v>1179</v>
      </c>
      <c r="D102" s="1">
        <v>43923</v>
      </c>
      <c r="E102" s="1">
        <v>43926</v>
      </c>
      <c r="F102">
        <f t="shared" si="5"/>
        <v>3</v>
      </c>
      <c r="G102" s="1">
        <v>43923</v>
      </c>
      <c r="H102" s="2">
        <v>0.33333333333333331</v>
      </c>
      <c r="I102" s="3">
        <v>1</v>
      </c>
      <c r="J102" t="s">
        <v>1294</v>
      </c>
      <c r="K102" t="s">
        <v>1294</v>
      </c>
      <c r="L102" t="s">
        <v>22</v>
      </c>
      <c r="M102" s="12" t="s">
        <v>23</v>
      </c>
      <c r="N102">
        <v>4</v>
      </c>
      <c r="O102">
        <v>0</v>
      </c>
      <c r="P102" t="s">
        <v>19</v>
      </c>
      <c r="Q102" s="6">
        <v>330</v>
      </c>
      <c r="R102" t="str">
        <f t="shared" si="3"/>
        <v>Phiola's 5 Star Short Let Apartment in Lekki_x000C_</v>
      </c>
      <c r="S102" t="str">
        <f t="shared" si="4"/>
        <v>Phiola's 5 Star Short Let Apartment in Lekki</v>
      </c>
      <c r="T102">
        <f>Table1[[#This Row],[Adults]]+Table1[[#This Row],[Children]]</f>
        <v>4</v>
      </c>
      <c r="U102">
        <f>_xlfn.DAYS(Table1[[#This Row],[Depart]],Table1[[#This Row],[Arrive]])</f>
        <v>3</v>
      </c>
    </row>
    <row r="103" spans="1:21" x14ac:dyDescent="0.25">
      <c r="A103" t="s">
        <v>160</v>
      </c>
      <c r="B103" t="s">
        <v>161</v>
      </c>
      <c r="C103" t="s">
        <v>1178</v>
      </c>
      <c r="D103" s="1">
        <v>43925</v>
      </c>
      <c r="E103" s="1">
        <v>43926</v>
      </c>
      <c r="F103">
        <f t="shared" si="5"/>
        <v>1</v>
      </c>
      <c r="G103" s="1">
        <v>43930</v>
      </c>
      <c r="H103" s="2">
        <v>0.33333333333333331</v>
      </c>
      <c r="I103" s="3">
        <v>1</v>
      </c>
      <c r="J103" t="s">
        <v>1299</v>
      </c>
      <c r="K103" t="s">
        <v>1299</v>
      </c>
      <c r="L103" t="s">
        <v>22</v>
      </c>
      <c r="M103" s="12" t="s">
        <v>23</v>
      </c>
      <c r="N103">
        <v>2</v>
      </c>
      <c r="O103">
        <v>0</v>
      </c>
      <c r="P103" t="s">
        <v>19</v>
      </c>
      <c r="Q103" s="6">
        <v>110</v>
      </c>
      <c r="R103" t="str">
        <f t="shared" si="3"/>
        <v>Ope's 5 Star Short Let Apartment in Lekki_x000C_</v>
      </c>
      <c r="S103" t="str">
        <f t="shared" si="4"/>
        <v>Ope's 5 Star Short Let Apartment in Lekki</v>
      </c>
      <c r="T103">
        <f>Table1[[#This Row],[Adults]]+Table1[[#This Row],[Children]]</f>
        <v>2</v>
      </c>
      <c r="U103">
        <f>_xlfn.DAYS(Table1[[#This Row],[Depart]],Table1[[#This Row],[Arrive]])</f>
        <v>1</v>
      </c>
    </row>
    <row r="104" spans="1:21" x14ac:dyDescent="0.25">
      <c r="A104" t="s">
        <v>168</v>
      </c>
      <c r="B104" t="s">
        <v>169</v>
      </c>
      <c r="C104" t="s">
        <v>1178</v>
      </c>
      <c r="D104" s="1">
        <v>43926</v>
      </c>
      <c r="E104" s="1">
        <v>43927</v>
      </c>
      <c r="F104">
        <f t="shared" si="5"/>
        <v>1</v>
      </c>
      <c r="G104" s="1">
        <v>43917</v>
      </c>
      <c r="H104" s="2">
        <v>0.33333333333333331</v>
      </c>
      <c r="I104" s="3">
        <v>1</v>
      </c>
      <c r="J104" t="s">
        <v>1282</v>
      </c>
      <c r="K104" t="s">
        <v>1282</v>
      </c>
      <c r="L104" t="s">
        <v>26</v>
      </c>
      <c r="M104" s="12" t="s">
        <v>18</v>
      </c>
      <c r="N104">
        <v>1</v>
      </c>
      <c r="O104">
        <v>0</v>
      </c>
      <c r="P104" t="s">
        <v>19</v>
      </c>
      <c r="Q104" s="6">
        <v>107</v>
      </c>
      <c r="R104" t="str">
        <f t="shared" si="3"/>
        <v>Ope's 5 Star Short Let Apartment in Lekki_x000C_</v>
      </c>
      <c r="S104" t="str">
        <f t="shared" si="4"/>
        <v>Ope's 5 Star Short Let Apartment in Lekki</v>
      </c>
      <c r="T104">
        <f>Table1[[#This Row],[Adults]]+Table1[[#This Row],[Children]]</f>
        <v>1</v>
      </c>
      <c r="U104">
        <f>_xlfn.DAYS(Table1[[#This Row],[Depart]],Table1[[#This Row],[Arrive]])</f>
        <v>1</v>
      </c>
    </row>
    <row r="105" spans="1:21" x14ac:dyDescent="0.25">
      <c r="A105" t="s">
        <v>160</v>
      </c>
      <c r="B105" t="s">
        <v>161</v>
      </c>
      <c r="C105" t="s">
        <v>1178</v>
      </c>
      <c r="D105" s="1">
        <v>43926</v>
      </c>
      <c r="E105" s="1">
        <v>43927</v>
      </c>
      <c r="F105">
        <f t="shared" si="5"/>
        <v>1</v>
      </c>
      <c r="G105" s="1">
        <v>43925</v>
      </c>
      <c r="H105" s="2">
        <v>0.33333333333333331</v>
      </c>
      <c r="I105" s="3">
        <v>1</v>
      </c>
      <c r="J105" t="s">
        <v>1295</v>
      </c>
      <c r="K105" t="s">
        <v>1295</v>
      </c>
      <c r="L105" t="s">
        <v>22</v>
      </c>
      <c r="M105" s="12" t="s">
        <v>23</v>
      </c>
      <c r="N105">
        <v>3</v>
      </c>
      <c r="O105">
        <v>0</v>
      </c>
      <c r="P105" t="s">
        <v>19</v>
      </c>
      <c r="Q105" s="6">
        <v>110</v>
      </c>
      <c r="R105" t="str">
        <f t="shared" si="3"/>
        <v>Ope's 5 Star Short Let Apartment in Lekki_x000C_</v>
      </c>
      <c r="S105" t="str">
        <f t="shared" si="4"/>
        <v>Ope's 5 Star Short Let Apartment in Lekki</v>
      </c>
      <c r="T105">
        <f>Table1[[#This Row],[Adults]]+Table1[[#This Row],[Children]]</f>
        <v>3</v>
      </c>
      <c r="U105">
        <f>_xlfn.DAYS(Table1[[#This Row],[Depart]],Table1[[#This Row],[Arrive]])</f>
        <v>1</v>
      </c>
    </row>
    <row r="106" spans="1:21" x14ac:dyDescent="0.25">
      <c r="A106" t="s">
        <v>164</v>
      </c>
      <c r="B106" t="s">
        <v>165</v>
      </c>
      <c r="C106" t="s">
        <v>1175</v>
      </c>
      <c r="D106" s="1">
        <v>43927</v>
      </c>
      <c r="E106" s="1">
        <v>43928</v>
      </c>
      <c r="F106">
        <f t="shared" si="5"/>
        <v>1</v>
      </c>
      <c r="G106" s="1">
        <v>43916</v>
      </c>
      <c r="H106" s="2">
        <v>0.33333333333333331</v>
      </c>
      <c r="I106" s="3">
        <v>1</v>
      </c>
      <c r="J106" t="s">
        <v>1280</v>
      </c>
      <c r="K106" t="s">
        <v>1280</v>
      </c>
      <c r="L106" t="s">
        <v>26</v>
      </c>
      <c r="M106" s="12" t="s">
        <v>18</v>
      </c>
      <c r="N106">
        <v>6</v>
      </c>
      <c r="O106">
        <v>0</v>
      </c>
      <c r="P106" t="s">
        <v>19</v>
      </c>
      <c r="Q106" s="6">
        <v>107</v>
      </c>
      <c r="R106" t="str">
        <f t="shared" si="3"/>
        <v>Keji's 5 Star Short let Apartment in Lekki_x000C_</v>
      </c>
      <c r="S106" t="str">
        <f t="shared" si="4"/>
        <v>Keji's 5 Star Short let Apartment in Lekki</v>
      </c>
      <c r="T106">
        <f>Table1[[#This Row],[Adults]]+Table1[[#This Row],[Children]]</f>
        <v>6</v>
      </c>
      <c r="U106">
        <f>_xlfn.DAYS(Table1[[#This Row],[Depart]],Table1[[#This Row],[Arrive]])</f>
        <v>1</v>
      </c>
    </row>
    <row r="107" spans="1:21" x14ac:dyDescent="0.25">
      <c r="A107" t="s">
        <v>160</v>
      </c>
      <c r="B107" t="s">
        <v>161</v>
      </c>
      <c r="C107" t="s">
        <v>1178</v>
      </c>
      <c r="D107" s="1">
        <v>43927</v>
      </c>
      <c r="E107" s="1">
        <v>43933</v>
      </c>
      <c r="F107">
        <f t="shared" si="5"/>
        <v>6</v>
      </c>
      <c r="G107" s="1">
        <v>43923</v>
      </c>
      <c r="H107" s="2">
        <v>0.33333333333333331</v>
      </c>
      <c r="I107" s="3">
        <v>1</v>
      </c>
      <c r="J107" t="s">
        <v>1293</v>
      </c>
      <c r="K107" t="s">
        <v>1293</v>
      </c>
      <c r="L107" t="s">
        <v>22</v>
      </c>
      <c r="M107" s="12" t="s">
        <v>23</v>
      </c>
      <c r="N107">
        <v>3</v>
      </c>
      <c r="O107">
        <v>0</v>
      </c>
      <c r="P107" t="s">
        <v>19</v>
      </c>
      <c r="Q107" s="6">
        <v>110</v>
      </c>
      <c r="R107" t="str">
        <f t="shared" si="3"/>
        <v>Ope's 5 Star Short Let Apartment in Lekki_x000C_</v>
      </c>
      <c r="S107" t="str">
        <f t="shared" si="4"/>
        <v>Ope's 5 Star Short Let Apartment in Lekki</v>
      </c>
      <c r="T107">
        <f>Table1[[#This Row],[Adults]]+Table1[[#This Row],[Children]]</f>
        <v>3</v>
      </c>
      <c r="U107">
        <f>_xlfn.DAYS(Table1[[#This Row],[Depart]],Table1[[#This Row],[Arrive]])</f>
        <v>6</v>
      </c>
    </row>
    <row r="108" spans="1:21" x14ac:dyDescent="0.25">
      <c r="A108" t="s">
        <v>100</v>
      </c>
      <c r="B108" t="s">
        <v>101</v>
      </c>
      <c r="C108" t="s">
        <v>1175</v>
      </c>
      <c r="D108" s="1">
        <v>43928</v>
      </c>
      <c r="E108" s="1">
        <v>43934</v>
      </c>
      <c r="F108">
        <f t="shared" si="5"/>
        <v>6</v>
      </c>
      <c r="G108" s="1">
        <v>43895</v>
      </c>
      <c r="H108" s="2">
        <v>0.33333333333333331</v>
      </c>
      <c r="I108" s="3">
        <v>1</v>
      </c>
      <c r="J108" t="s">
        <v>1230</v>
      </c>
      <c r="K108" t="s">
        <v>1230</v>
      </c>
      <c r="L108" t="s">
        <v>26</v>
      </c>
      <c r="M108" s="12" t="s">
        <v>18</v>
      </c>
      <c r="N108">
        <v>1</v>
      </c>
      <c r="O108">
        <v>0</v>
      </c>
      <c r="P108" t="s">
        <v>19</v>
      </c>
      <c r="Q108" s="6">
        <v>637</v>
      </c>
      <c r="R108" t="str">
        <f t="shared" si="3"/>
        <v>Keji's 5 Star Short let Apartment in Lekki_x000C_</v>
      </c>
      <c r="S108" t="str">
        <f t="shared" si="4"/>
        <v>Keji's 5 Star Short let Apartment in Lekki</v>
      </c>
      <c r="T108">
        <f>Table1[[#This Row],[Adults]]+Table1[[#This Row],[Children]]</f>
        <v>1</v>
      </c>
      <c r="U108">
        <f>_xlfn.DAYS(Table1[[#This Row],[Depart]],Table1[[#This Row],[Arrive]])</f>
        <v>6</v>
      </c>
    </row>
    <row r="109" spans="1:21" x14ac:dyDescent="0.25">
      <c r="A109" t="s">
        <v>88</v>
      </c>
      <c r="B109" t="s">
        <v>89</v>
      </c>
      <c r="C109" t="s">
        <v>1175</v>
      </c>
      <c r="D109" s="1">
        <v>43929</v>
      </c>
      <c r="E109" s="1">
        <v>43946</v>
      </c>
      <c r="F109">
        <f t="shared" si="5"/>
        <v>17</v>
      </c>
      <c r="G109" s="1">
        <v>43890</v>
      </c>
      <c r="H109" s="2">
        <v>0.33333333333333331</v>
      </c>
      <c r="I109" s="3">
        <v>1</v>
      </c>
      <c r="J109" t="s">
        <v>1223</v>
      </c>
      <c r="K109" t="s">
        <v>1223</v>
      </c>
      <c r="L109" t="s">
        <v>26</v>
      </c>
      <c r="M109" s="12" t="s">
        <v>18</v>
      </c>
      <c r="N109">
        <v>1</v>
      </c>
      <c r="O109">
        <v>0</v>
      </c>
      <c r="P109" t="s">
        <v>19</v>
      </c>
      <c r="Q109" s="6">
        <v>1749</v>
      </c>
      <c r="R109" t="str">
        <f t="shared" si="3"/>
        <v>Keji's 5 Star Short let Apartment in Lekki_x000C_</v>
      </c>
      <c r="S109" t="str">
        <f t="shared" si="4"/>
        <v>Keji's 5 Star Short let Apartment in Lekki</v>
      </c>
      <c r="T109">
        <f>Table1[[#This Row],[Adults]]+Table1[[#This Row],[Children]]</f>
        <v>1</v>
      </c>
      <c r="U109">
        <f>_xlfn.DAYS(Table1[[#This Row],[Depart]],Table1[[#This Row],[Arrive]])</f>
        <v>17</v>
      </c>
    </row>
    <row r="110" spans="1:21" x14ac:dyDescent="0.25">
      <c r="A110" t="s">
        <v>62</v>
      </c>
      <c r="B110" t="s">
        <v>63</v>
      </c>
      <c r="C110" t="s">
        <v>1179</v>
      </c>
      <c r="D110" s="1">
        <v>43931</v>
      </c>
      <c r="E110" s="1">
        <v>43938</v>
      </c>
      <c r="F110">
        <f t="shared" si="5"/>
        <v>7</v>
      </c>
      <c r="G110" s="1">
        <v>43884</v>
      </c>
      <c r="H110" s="2">
        <v>0.33333333333333331</v>
      </c>
      <c r="I110" s="3">
        <v>1</v>
      </c>
      <c r="J110" t="s">
        <v>1206</v>
      </c>
      <c r="K110" t="s">
        <v>1206</v>
      </c>
      <c r="L110" t="s">
        <v>26</v>
      </c>
      <c r="M110" s="12" t="s">
        <v>18</v>
      </c>
      <c r="N110">
        <v>1</v>
      </c>
      <c r="O110">
        <v>0</v>
      </c>
      <c r="P110" t="s">
        <v>19</v>
      </c>
      <c r="Q110" s="6">
        <v>740</v>
      </c>
      <c r="R110" t="str">
        <f t="shared" si="3"/>
        <v>Phiola's 5 Star Short Let Apartment in Lekki_x000C_</v>
      </c>
      <c r="S110" t="str">
        <f t="shared" si="4"/>
        <v>Phiola's 5 Star Short Let Apartment in Lekki</v>
      </c>
      <c r="T110">
        <f>Table1[[#This Row],[Adults]]+Table1[[#This Row],[Children]]</f>
        <v>1</v>
      </c>
      <c r="U110">
        <f>_xlfn.DAYS(Table1[[#This Row],[Depart]],Table1[[#This Row],[Arrive]])</f>
        <v>7</v>
      </c>
    </row>
    <row r="111" spans="1:21" x14ac:dyDescent="0.25">
      <c r="A111" t="s">
        <v>945</v>
      </c>
      <c r="B111" t="s">
        <v>946</v>
      </c>
      <c r="C111" t="s">
        <v>1175</v>
      </c>
      <c r="D111" s="1">
        <v>43932</v>
      </c>
      <c r="E111" s="1">
        <v>43962</v>
      </c>
      <c r="F111">
        <f t="shared" si="5"/>
        <v>30</v>
      </c>
      <c r="G111" s="1">
        <v>44137</v>
      </c>
      <c r="H111" s="2">
        <v>0.5</v>
      </c>
      <c r="I111" s="2">
        <v>0.58333333333333337</v>
      </c>
      <c r="J111" t="s">
        <v>1970</v>
      </c>
      <c r="K111" t="s">
        <v>1970</v>
      </c>
      <c r="L111" t="s">
        <v>22</v>
      </c>
      <c r="M111" s="12" t="s">
        <v>18</v>
      </c>
      <c r="N111">
        <v>1</v>
      </c>
      <c r="O111">
        <v>0</v>
      </c>
      <c r="P111" t="s">
        <v>19</v>
      </c>
      <c r="Q111" s="6">
        <v>130000</v>
      </c>
      <c r="R111" t="str">
        <f t="shared" si="3"/>
        <v>Keji's 5 Star Short let Apartment in Lekki_x000C_</v>
      </c>
      <c r="S111" t="str">
        <f t="shared" si="4"/>
        <v>Keji's 5 Star Short let Apartment in Lekki</v>
      </c>
      <c r="T111">
        <f>Table1[[#This Row],[Adults]]+Table1[[#This Row],[Children]]</f>
        <v>1</v>
      </c>
      <c r="U111">
        <f>_xlfn.DAYS(Table1[[#This Row],[Depart]],Table1[[#This Row],[Arrive]])</f>
        <v>30</v>
      </c>
    </row>
    <row r="112" spans="1:21" x14ac:dyDescent="0.25">
      <c r="A112" t="s">
        <v>945</v>
      </c>
      <c r="B112" t="s">
        <v>946</v>
      </c>
      <c r="C112" t="s">
        <v>1175</v>
      </c>
      <c r="D112" s="1">
        <v>43932</v>
      </c>
      <c r="E112" s="1">
        <v>43962</v>
      </c>
      <c r="F112">
        <f t="shared" si="5"/>
        <v>30</v>
      </c>
      <c r="G112" s="1">
        <v>44137</v>
      </c>
      <c r="H112" s="2">
        <v>0.5</v>
      </c>
      <c r="I112" s="2">
        <v>0.58333333333333337</v>
      </c>
      <c r="J112" t="s">
        <v>1971</v>
      </c>
      <c r="K112" t="s">
        <v>1971</v>
      </c>
      <c r="L112" t="s">
        <v>22</v>
      </c>
      <c r="M112" s="12" t="s">
        <v>18</v>
      </c>
      <c r="N112">
        <v>1</v>
      </c>
      <c r="O112">
        <v>0</v>
      </c>
      <c r="P112" t="s">
        <v>19</v>
      </c>
      <c r="Q112" s="6">
        <v>130000</v>
      </c>
      <c r="R112" t="str">
        <f t="shared" si="3"/>
        <v>Keji's 5 Star Short let Apartment in Lekki_x000C_</v>
      </c>
      <c r="S112" t="str">
        <f t="shared" si="4"/>
        <v>Keji's 5 Star Short let Apartment in Lekki</v>
      </c>
      <c r="T112">
        <f>Table1[[#This Row],[Adults]]+Table1[[#This Row],[Children]]</f>
        <v>1</v>
      </c>
      <c r="U112">
        <f>_xlfn.DAYS(Table1[[#This Row],[Depart]],Table1[[#This Row],[Arrive]])</f>
        <v>30</v>
      </c>
    </row>
    <row r="113" spans="1:21" x14ac:dyDescent="0.25">
      <c r="A113" t="s">
        <v>110</v>
      </c>
      <c r="B113" t="s">
        <v>111</v>
      </c>
      <c r="C113" t="s">
        <v>1173</v>
      </c>
      <c r="D113" s="1">
        <v>43933</v>
      </c>
      <c r="E113" s="1">
        <v>43936</v>
      </c>
      <c r="F113">
        <f t="shared" si="5"/>
        <v>3</v>
      </c>
      <c r="G113" s="1">
        <v>43931</v>
      </c>
      <c r="H113" s="2">
        <v>0.33333333333333331</v>
      </c>
      <c r="I113" s="3">
        <v>1</v>
      </c>
      <c r="J113" t="s">
        <v>1301</v>
      </c>
      <c r="K113" t="s">
        <v>1301</v>
      </c>
      <c r="L113" t="s">
        <v>22</v>
      </c>
      <c r="M113" s="12" t="s">
        <v>23</v>
      </c>
      <c r="N113">
        <v>3</v>
      </c>
      <c r="O113">
        <v>0</v>
      </c>
      <c r="P113" t="s">
        <v>19</v>
      </c>
      <c r="Q113" s="6">
        <v>330</v>
      </c>
      <c r="R113" t="str">
        <f t="shared" si="3"/>
        <v xml:space="preserve"> The Daniels 5 Star Short Let Apartment in Lekki_x000C_</v>
      </c>
      <c r="S113" t="str">
        <f t="shared" si="4"/>
        <v xml:space="preserve"> The Daniels 5 Star Short Let Apartment in Lekki</v>
      </c>
      <c r="T113">
        <f>Table1[[#This Row],[Adults]]+Table1[[#This Row],[Children]]</f>
        <v>3</v>
      </c>
      <c r="U113">
        <f>_xlfn.DAYS(Table1[[#This Row],[Depart]],Table1[[#This Row],[Arrive]])</f>
        <v>3</v>
      </c>
    </row>
    <row r="114" spans="1:21" x14ac:dyDescent="0.25">
      <c r="A114" t="s">
        <v>160</v>
      </c>
      <c r="B114" t="s">
        <v>161</v>
      </c>
      <c r="C114" t="s">
        <v>1178</v>
      </c>
      <c r="D114" s="1">
        <v>43933</v>
      </c>
      <c r="E114" s="1">
        <v>43941</v>
      </c>
      <c r="F114">
        <f t="shared" si="5"/>
        <v>8</v>
      </c>
      <c r="G114" s="1">
        <v>43928</v>
      </c>
      <c r="H114" s="2">
        <v>0.33333333333333331</v>
      </c>
      <c r="I114" s="3">
        <v>1</v>
      </c>
      <c r="J114" t="s">
        <v>1308</v>
      </c>
      <c r="K114" t="s">
        <v>1308</v>
      </c>
      <c r="L114" t="s">
        <v>22</v>
      </c>
      <c r="M114" s="12" t="s">
        <v>23</v>
      </c>
      <c r="N114">
        <v>3</v>
      </c>
      <c r="O114">
        <v>0</v>
      </c>
      <c r="P114" t="s">
        <v>19</v>
      </c>
      <c r="Q114" s="6">
        <v>880</v>
      </c>
      <c r="R114" t="str">
        <f t="shared" si="3"/>
        <v>Ope's 5 Star Short Let Apartment in Lekki_x000C_</v>
      </c>
      <c r="S114" t="str">
        <f t="shared" si="4"/>
        <v>Ope's 5 Star Short Let Apartment in Lekki</v>
      </c>
      <c r="T114">
        <f>Table1[[#This Row],[Adults]]+Table1[[#This Row],[Children]]</f>
        <v>3</v>
      </c>
      <c r="U114">
        <f>_xlfn.DAYS(Table1[[#This Row],[Depart]],Table1[[#This Row],[Arrive]])</f>
        <v>8</v>
      </c>
    </row>
    <row r="115" spans="1:21" x14ac:dyDescent="0.25">
      <c r="A115" t="s">
        <v>945</v>
      </c>
      <c r="B115" t="s">
        <v>946</v>
      </c>
      <c r="C115" t="s">
        <v>1175</v>
      </c>
      <c r="D115" s="1">
        <v>43933</v>
      </c>
      <c r="E115" s="1">
        <v>43994</v>
      </c>
      <c r="F115">
        <f t="shared" si="5"/>
        <v>61</v>
      </c>
      <c r="G115" s="1">
        <v>44127</v>
      </c>
      <c r="H115" s="2">
        <v>0.5</v>
      </c>
      <c r="I115" s="2">
        <v>0.58333333333333337</v>
      </c>
      <c r="J115" t="s">
        <v>1924</v>
      </c>
      <c r="K115" t="s">
        <v>1924</v>
      </c>
      <c r="L115" t="s">
        <v>22</v>
      </c>
      <c r="M115" s="12" t="s">
        <v>18</v>
      </c>
      <c r="N115">
        <v>1</v>
      </c>
      <c r="O115">
        <v>0</v>
      </c>
      <c r="P115" t="s">
        <v>19</v>
      </c>
      <c r="Q115" s="6">
        <v>260000</v>
      </c>
      <c r="R115" t="str">
        <f t="shared" si="3"/>
        <v>Keji's 5 Star Short let Apartment in Lekki_x000C_</v>
      </c>
      <c r="S115" t="str">
        <f t="shared" si="4"/>
        <v>Keji's 5 Star Short let Apartment in Lekki</v>
      </c>
      <c r="T115">
        <f>Table1[[#This Row],[Adults]]+Table1[[#This Row],[Children]]</f>
        <v>1</v>
      </c>
      <c r="U115">
        <f>_xlfn.DAYS(Table1[[#This Row],[Depart]],Table1[[#This Row],[Arrive]])</f>
        <v>61</v>
      </c>
    </row>
    <row r="116" spans="1:21" x14ac:dyDescent="0.25">
      <c r="A116" t="s">
        <v>895</v>
      </c>
      <c r="B116" t="s">
        <v>896</v>
      </c>
      <c r="C116" t="s">
        <v>1175</v>
      </c>
      <c r="D116" s="1">
        <v>43933</v>
      </c>
      <c r="E116" s="1">
        <v>43963</v>
      </c>
      <c r="F116">
        <f t="shared" si="5"/>
        <v>30</v>
      </c>
      <c r="G116" s="1">
        <v>44130</v>
      </c>
      <c r="H116" s="2">
        <v>0.5</v>
      </c>
      <c r="I116" s="2">
        <v>0.58333333333333337</v>
      </c>
      <c r="J116" t="s">
        <v>1938</v>
      </c>
      <c r="K116" t="s">
        <v>1938</v>
      </c>
      <c r="L116" t="s">
        <v>22</v>
      </c>
      <c r="M116" s="12" t="s">
        <v>18</v>
      </c>
      <c r="N116">
        <v>1</v>
      </c>
      <c r="O116">
        <v>0</v>
      </c>
      <c r="P116" t="s">
        <v>19</v>
      </c>
      <c r="Q116" s="6">
        <v>130000</v>
      </c>
      <c r="R116" t="str">
        <f t="shared" si="3"/>
        <v>Keji's 5 Star Short let Apartment in Lekki_x000C_</v>
      </c>
      <c r="S116" t="str">
        <f t="shared" si="4"/>
        <v>Keji's 5 Star Short let Apartment in Lekki</v>
      </c>
      <c r="T116">
        <f>Table1[[#This Row],[Adults]]+Table1[[#This Row],[Children]]</f>
        <v>1</v>
      </c>
      <c r="U116">
        <f>_xlfn.DAYS(Table1[[#This Row],[Depart]],Table1[[#This Row],[Arrive]])</f>
        <v>30</v>
      </c>
    </row>
    <row r="117" spans="1:21" x14ac:dyDescent="0.25">
      <c r="A117" t="s">
        <v>871</v>
      </c>
      <c r="B117" t="s">
        <v>872</v>
      </c>
      <c r="C117" t="s">
        <v>1175</v>
      </c>
      <c r="D117" s="1">
        <v>43933</v>
      </c>
      <c r="E117" s="1">
        <v>43963</v>
      </c>
      <c r="F117">
        <f t="shared" si="5"/>
        <v>30</v>
      </c>
      <c r="G117" s="1">
        <v>44131</v>
      </c>
      <c r="H117" s="2">
        <v>0.5</v>
      </c>
      <c r="I117" s="2">
        <v>0.58333333333333337</v>
      </c>
      <c r="J117" t="s">
        <v>1940</v>
      </c>
      <c r="K117" t="s">
        <v>1940</v>
      </c>
      <c r="L117" t="s">
        <v>22</v>
      </c>
      <c r="M117" s="12" t="s">
        <v>18</v>
      </c>
      <c r="N117">
        <v>1</v>
      </c>
      <c r="O117">
        <v>0</v>
      </c>
      <c r="P117" t="s">
        <v>19</v>
      </c>
      <c r="Q117" s="6">
        <v>130000</v>
      </c>
      <c r="R117" t="str">
        <f t="shared" si="3"/>
        <v>Keji's 5 Star Short let Apartment in Lekki_x000C_</v>
      </c>
      <c r="S117" t="str">
        <f t="shared" si="4"/>
        <v>Keji's 5 Star Short let Apartment in Lekki</v>
      </c>
      <c r="T117">
        <f>Table1[[#This Row],[Adults]]+Table1[[#This Row],[Children]]</f>
        <v>1</v>
      </c>
      <c r="U117">
        <f>_xlfn.DAYS(Table1[[#This Row],[Depart]],Table1[[#This Row],[Arrive]])</f>
        <v>30</v>
      </c>
    </row>
    <row r="118" spans="1:21" x14ac:dyDescent="0.25">
      <c r="A118" t="s">
        <v>871</v>
      </c>
      <c r="B118" t="s">
        <v>872</v>
      </c>
      <c r="C118" t="s">
        <v>1175</v>
      </c>
      <c r="D118" s="1">
        <v>43933</v>
      </c>
      <c r="E118" s="1">
        <v>43963</v>
      </c>
      <c r="F118">
        <f t="shared" si="5"/>
        <v>30</v>
      </c>
      <c r="G118" s="1">
        <v>44132</v>
      </c>
      <c r="H118" s="2">
        <v>0.5</v>
      </c>
      <c r="I118" s="2">
        <v>0.58333333333333337</v>
      </c>
      <c r="J118" t="s">
        <v>1944</v>
      </c>
      <c r="K118" t="s">
        <v>1944</v>
      </c>
      <c r="L118" t="s">
        <v>22</v>
      </c>
      <c r="M118" s="12" t="s">
        <v>18</v>
      </c>
      <c r="N118">
        <v>1</v>
      </c>
      <c r="O118">
        <v>0</v>
      </c>
      <c r="P118" t="s">
        <v>19</v>
      </c>
      <c r="Q118" s="6">
        <v>130000</v>
      </c>
      <c r="R118" t="str">
        <f t="shared" si="3"/>
        <v>Keji's 5 Star Short let Apartment in Lekki_x000C_</v>
      </c>
      <c r="S118" t="str">
        <f t="shared" si="4"/>
        <v>Keji's 5 Star Short let Apartment in Lekki</v>
      </c>
      <c r="T118">
        <f>Table1[[#This Row],[Adults]]+Table1[[#This Row],[Children]]</f>
        <v>1</v>
      </c>
      <c r="U118">
        <f>_xlfn.DAYS(Table1[[#This Row],[Depart]],Table1[[#This Row],[Arrive]])</f>
        <v>30</v>
      </c>
    </row>
    <row r="119" spans="1:21" x14ac:dyDescent="0.25">
      <c r="A119" t="s">
        <v>993</v>
      </c>
      <c r="B119" t="s">
        <v>994</v>
      </c>
      <c r="C119" t="s">
        <v>1175</v>
      </c>
      <c r="D119" s="1">
        <v>43933</v>
      </c>
      <c r="E119" s="1">
        <v>43963</v>
      </c>
      <c r="F119">
        <f t="shared" si="5"/>
        <v>30</v>
      </c>
      <c r="G119" s="1">
        <v>44139</v>
      </c>
      <c r="H119" s="2">
        <v>0.5</v>
      </c>
      <c r="I119" s="2">
        <v>0.58333333333333337</v>
      </c>
      <c r="J119" t="s">
        <v>1984</v>
      </c>
      <c r="K119" t="s">
        <v>1984</v>
      </c>
      <c r="L119" t="s">
        <v>22</v>
      </c>
      <c r="M119" s="12" t="s">
        <v>18</v>
      </c>
      <c r="N119">
        <v>8</v>
      </c>
      <c r="O119">
        <v>0</v>
      </c>
      <c r="P119" t="s">
        <v>19</v>
      </c>
      <c r="Q119" s="6">
        <v>130000</v>
      </c>
      <c r="R119" t="str">
        <f t="shared" si="3"/>
        <v>Keji's 5 Star Short let Apartment in Lekki_x000C_</v>
      </c>
      <c r="S119" t="str">
        <f t="shared" si="4"/>
        <v>Keji's 5 Star Short let Apartment in Lekki</v>
      </c>
      <c r="T119">
        <f>Table1[[#This Row],[Adults]]+Table1[[#This Row],[Children]]</f>
        <v>8</v>
      </c>
      <c r="U119">
        <f>_xlfn.DAYS(Table1[[#This Row],[Depart]],Table1[[#This Row],[Arrive]])</f>
        <v>30</v>
      </c>
    </row>
    <row r="120" spans="1:21" x14ac:dyDescent="0.25">
      <c r="A120" t="s">
        <v>142</v>
      </c>
      <c r="B120" t="s">
        <v>143</v>
      </c>
      <c r="C120" t="s">
        <v>1179</v>
      </c>
      <c r="D120" s="1">
        <v>43934</v>
      </c>
      <c r="E120" s="1">
        <v>43942</v>
      </c>
      <c r="F120">
        <f t="shared" si="5"/>
        <v>8</v>
      </c>
      <c r="G120" s="1">
        <v>43904</v>
      </c>
      <c r="H120" s="2">
        <v>0.33333333333333331</v>
      </c>
      <c r="I120" s="3">
        <v>1</v>
      </c>
      <c r="J120" t="s">
        <v>1260</v>
      </c>
      <c r="K120" t="s">
        <v>1260</v>
      </c>
      <c r="L120" t="s">
        <v>22</v>
      </c>
      <c r="M120" s="12" t="s">
        <v>18</v>
      </c>
      <c r="N120">
        <v>3</v>
      </c>
      <c r="O120">
        <v>0</v>
      </c>
      <c r="P120" t="s">
        <v>19</v>
      </c>
      <c r="Q120" s="6">
        <v>880</v>
      </c>
      <c r="R120" t="str">
        <f t="shared" si="3"/>
        <v>Phiola's 5 Star Short Let Apartment in Lekki_x000C_</v>
      </c>
      <c r="S120" t="str">
        <f t="shared" si="4"/>
        <v>Phiola's 5 Star Short Let Apartment in Lekki</v>
      </c>
      <c r="T120">
        <f>Table1[[#This Row],[Adults]]+Table1[[#This Row],[Children]]</f>
        <v>3</v>
      </c>
      <c r="U120">
        <f>_xlfn.DAYS(Table1[[#This Row],[Depart]],Table1[[#This Row],[Arrive]])</f>
        <v>8</v>
      </c>
    </row>
    <row r="121" spans="1:21" x14ac:dyDescent="0.25">
      <c r="A121" t="s">
        <v>94</v>
      </c>
      <c r="B121" t="s">
        <v>95</v>
      </c>
      <c r="C121" t="s">
        <v>1178</v>
      </c>
      <c r="D121" s="1">
        <v>43935</v>
      </c>
      <c r="E121" s="1">
        <v>43936</v>
      </c>
      <c r="F121">
        <f t="shared" si="5"/>
        <v>1</v>
      </c>
      <c r="G121" s="1">
        <v>43894</v>
      </c>
      <c r="H121" s="2">
        <v>0.33333333333333331</v>
      </c>
      <c r="I121" s="3">
        <v>1</v>
      </c>
      <c r="J121" t="s">
        <v>1227</v>
      </c>
      <c r="K121" t="s">
        <v>1227</v>
      </c>
      <c r="L121" t="s">
        <v>26</v>
      </c>
      <c r="M121" s="12" t="s">
        <v>18</v>
      </c>
      <c r="N121">
        <v>1</v>
      </c>
      <c r="O121">
        <v>0</v>
      </c>
      <c r="P121" t="s">
        <v>19</v>
      </c>
      <c r="Q121" s="6">
        <v>106</v>
      </c>
      <c r="R121" t="str">
        <f t="shared" si="3"/>
        <v>Ope's 5 Star Short Let Apartment in Lekki_x000C_</v>
      </c>
      <c r="S121" t="str">
        <f t="shared" si="4"/>
        <v>Ope's 5 Star Short Let Apartment in Lekki</v>
      </c>
      <c r="T121">
        <f>Table1[[#This Row],[Adults]]+Table1[[#This Row],[Children]]</f>
        <v>1</v>
      </c>
      <c r="U121">
        <f>_xlfn.DAYS(Table1[[#This Row],[Depart]],Table1[[#This Row],[Arrive]])</f>
        <v>1</v>
      </c>
    </row>
    <row r="122" spans="1:21" x14ac:dyDescent="0.25">
      <c r="A122" t="s">
        <v>176</v>
      </c>
      <c r="B122" t="s">
        <v>177</v>
      </c>
      <c r="C122" t="s">
        <v>1178</v>
      </c>
      <c r="D122" s="1">
        <v>43935</v>
      </c>
      <c r="E122" s="1">
        <v>43940</v>
      </c>
      <c r="F122">
        <f t="shared" si="5"/>
        <v>5</v>
      </c>
      <c r="G122" s="1">
        <v>43897</v>
      </c>
      <c r="H122" s="2">
        <v>0.33333333333333331</v>
      </c>
      <c r="I122" s="3">
        <v>1</v>
      </c>
      <c r="J122" t="s">
        <v>1289</v>
      </c>
      <c r="K122" t="s">
        <v>1289</v>
      </c>
      <c r="L122" t="s">
        <v>22</v>
      </c>
      <c r="M122" s="12" t="s">
        <v>18</v>
      </c>
      <c r="N122">
        <v>2</v>
      </c>
      <c r="O122">
        <v>0</v>
      </c>
      <c r="P122" t="s">
        <v>19</v>
      </c>
      <c r="Q122" s="6">
        <v>550</v>
      </c>
      <c r="R122" t="str">
        <f t="shared" si="3"/>
        <v>Ope's 5 Star Short Let Apartment in Lekki_x000C_</v>
      </c>
      <c r="S122" t="str">
        <f t="shared" si="4"/>
        <v>Ope's 5 Star Short Let Apartment in Lekki</v>
      </c>
      <c r="T122">
        <f>Table1[[#This Row],[Adults]]+Table1[[#This Row],[Children]]</f>
        <v>2</v>
      </c>
      <c r="U122">
        <f>_xlfn.DAYS(Table1[[#This Row],[Depart]],Table1[[#This Row],[Arrive]])</f>
        <v>5</v>
      </c>
    </row>
    <row r="123" spans="1:21" x14ac:dyDescent="0.25">
      <c r="A123" t="s">
        <v>160</v>
      </c>
      <c r="B123" t="s">
        <v>161</v>
      </c>
      <c r="C123" t="s">
        <v>1178</v>
      </c>
      <c r="D123" s="1">
        <v>43936</v>
      </c>
      <c r="E123" s="1">
        <v>43942</v>
      </c>
      <c r="F123">
        <f t="shared" si="5"/>
        <v>6</v>
      </c>
      <c r="G123" s="1">
        <v>43935</v>
      </c>
      <c r="H123" s="2">
        <v>0.33333333333333331</v>
      </c>
      <c r="I123" s="3">
        <v>1</v>
      </c>
      <c r="J123" t="s">
        <v>1302</v>
      </c>
      <c r="K123" t="s">
        <v>1302</v>
      </c>
      <c r="L123" t="s">
        <v>22</v>
      </c>
      <c r="M123" s="12" t="s">
        <v>18</v>
      </c>
      <c r="N123">
        <v>4</v>
      </c>
      <c r="O123">
        <v>0</v>
      </c>
      <c r="P123" t="s">
        <v>19</v>
      </c>
      <c r="Q123" s="6">
        <v>660</v>
      </c>
      <c r="R123" t="str">
        <f t="shared" si="3"/>
        <v>Ope's 5 Star Short Let Apartment in Lekki_x000C_</v>
      </c>
      <c r="S123" t="str">
        <f t="shared" si="4"/>
        <v>Ope's 5 Star Short Let Apartment in Lekki</v>
      </c>
      <c r="T123">
        <f>Table1[[#This Row],[Adults]]+Table1[[#This Row],[Children]]</f>
        <v>4</v>
      </c>
      <c r="U123">
        <f>_xlfn.DAYS(Table1[[#This Row],[Depart]],Table1[[#This Row],[Arrive]])</f>
        <v>6</v>
      </c>
    </row>
    <row r="124" spans="1:21" x14ac:dyDescent="0.25">
      <c r="A124" t="s">
        <v>110</v>
      </c>
      <c r="B124" t="s">
        <v>111</v>
      </c>
      <c r="C124" t="s">
        <v>1173</v>
      </c>
      <c r="D124" s="1">
        <v>43936</v>
      </c>
      <c r="E124" s="1">
        <v>43951</v>
      </c>
      <c r="F124">
        <f t="shared" si="5"/>
        <v>15</v>
      </c>
      <c r="G124" s="1">
        <v>43935</v>
      </c>
      <c r="H124" s="2">
        <v>0.33333333333333331</v>
      </c>
      <c r="I124" s="3">
        <v>1</v>
      </c>
      <c r="J124" t="s">
        <v>1303</v>
      </c>
      <c r="K124" t="s">
        <v>1303</v>
      </c>
      <c r="L124" t="s">
        <v>22</v>
      </c>
      <c r="M124" s="12" t="s">
        <v>23</v>
      </c>
      <c r="N124">
        <v>3</v>
      </c>
      <c r="O124">
        <v>0</v>
      </c>
      <c r="P124" t="s">
        <v>19</v>
      </c>
      <c r="Q124" s="6">
        <v>1650</v>
      </c>
      <c r="R124" t="str">
        <f t="shared" si="3"/>
        <v xml:space="preserve"> The Daniels 5 Star Short Let Apartment in Lekki_x000C_</v>
      </c>
      <c r="S124" t="str">
        <f t="shared" si="4"/>
        <v xml:space="preserve"> The Daniels 5 Star Short Let Apartment in Lekki</v>
      </c>
      <c r="T124">
        <f>Table1[[#This Row],[Adults]]+Table1[[#This Row],[Children]]</f>
        <v>3</v>
      </c>
      <c r="U124">
        <f>_xlfn.DAYS(Table1[[#This Row],[Depart]],Table1[[#This Row],[Arrive]])</f>
        <v>15</v>
      </c>
    </row>
    <row r="125" spans="1:21" x14ac:dyDescent="0.25">
      <c r="A125" t="s">
        <v>160</v>
      </c>
      <c r="B125" t="s">
        <v>161</v>
      </c>
      <c r="C125" t="s">
        <v>1178</v>
      </c>
      <c r="D125" s="1">
        <v>43936</v>
      </c>
      <c r="E125" s="1">
        <v>43942</v>
      </c>
      <c r="F125">
        <f t="shared" si="5"/>
        <v>6</v>
      </c>
      <c r="G125" s="1">
        <v>43935</v>
      </c>
      <c r="H125" s="2">
        <v>0.33333333333333331</v>
      </c>
      <c r="I125" s="3">
        <v>1</v>
      </c>
      <c r="J125" t="s">
        <v>1306</v>
      </c>
      <c r="K125" t="s">
        <v>1306</v>
      </c>
      <c r="L125" t="s">
        <v>22</v>
      </c>
      <c r="M125" s="12" t="s">
        <v>18</v>
      </c>
      <c r="N125">
        <v>4</v>
      </c>
      <c r="O125">
        <v>0</v>
      </c>
      <c r="P125" t="s">
        <v>19</v>
      </c>
      <c r="Q125" s="6">
        <v>660</v>
      </c>
      <c r="R125" t="str">
        <f t="shared" si="3"/>
        <v>Ope's 5 Star Short Let Apartment in Lekki_x000C_</v>
      </c>
      <c r="S125" t="str">
        <f t="shared" si="4"/>
        <v>Ope's 5 Star Short Let Apartment in Lekki</v>
      </c>
      <c r="T125">
        <f>Table1[[#This Row],[Adults]]+Table1[[#This Row],[Children]]</f>
        <v>4</v>
      </c>
      <c r="U125">
        <f>_xlfn.DAYS(Table1[[#This Row],[Depart]],Table1[[#This Row],[Arrive]])</f>
        <v>6</v>
      </c>
    </row>
    <row r="126" spans="1:21" x14ac:dyDescent="0.25">
      <c r="A126" t="s">
        <v>160</v>
      </c>
      <c r="B126" t="s">
        <v>161</v>
      </c>
      <c r="C126" t="s">
        <v>1178</v>
      </c>
      <c r="D126" s="1">
        <v>43936</v>
      </c>
      <c r="E126" s="1">
        <v>43942</v>
      </c>
      <c r="F126">
        <f t="shared" si="5"/>
        <v>6</v>
      </c>
      <c r="G126" s="1">
        <v>43935</v>
      </c>
      <c r="H126" s="2">
        <v>0.33333333333333331</v>
      </c>
      <c r="I126" s="3">
        <v>1</v>
      </c>
      <c r="J126" t="s">
        <v>1307</v>
      </c>
      <c r="K126" t="s">
        <v>1307</v>
      </c>
      <c r="L126" t="s">
        <v>22</v>
      </c>
      <c r="M126" s="12" t="s">
        <v>18</v>
      </c>
      <c r="N126">
        <v>4</v>
      </c>
      <c r="O126">
        <v>0</v>
      </c>
      <c r="P126" t="s">
        <v>19</v>
      </c>
      <c r="Q126" s="6">
        <v>660</v>
      </c>
      <c r="R126" t="str">
        <f t="shared" si="3"/>
        <v>Ope's 5 Star Short Let Apartment in Lekki_x000C_</v>
      </c>
      <c r="S126" t="str">
        <f t="shared" si="4"/>
        <v>Ope's 5 Star Short Let Apartment in Lekki</v>
      </c>
      <c r="T126">
        <f>Table1[[#This Row],[Adults]]+Table1[[#This Row],[Children]]</f>
        <v>4</v>
      </c>
      <c r="U126">
        <f>_xlfn.DAYS(Table1[[#This Row],[Depart]],Table1[[#This Row],[Arrive]])</f>
        <v>6</v>
      </c>
    </row>
    <row r="127" spans="1:21" x14ac:dyDescent="0.25">
      <c r="A127" t="s">
        <v>184</v>
      </c>
      <c r="B127" t="s">
        <v>185</v>
      </c>
      <c r="C127" t="s">
        <v>1173</v>
      </c>
      <c r="D127" s="1">
        <v>43937</v>
      </c>
      <c r="E127" s="1">
        <v>43944</v>
      </c>
      <c r="F127">
        <f t="shared" si="5"/>
        <v>7</v>
      </c>
      <c r="G127" s="1">
        <v>43931</v>
      </c>
      <c r="H127" s="2">
        <v>0.33333333333333331</v>
      </c>
      <c r="I127" s="3">
        <v>1</v>
      </c>
      <c r="J127" t="s">
        <v>1300</v>
      </c>
      <c r="K127" t="s">
        <v>1300</v>
      </c>
      <c r="L127" t="s">
        <v>26</v>
      </c>
      <c r="M127" s="12" t="s">
        <v>18</v>
      </c>
      <c r="N127">
        <v>3</v>
      </c>
      <c r="O127">
        <v>0</v>
      </c>
      <c r="P127" t="s">
        <v>19</v>
      </c>
      <c r="Q127" s="6">
        <v>720</v>
      </c>
      <c r="R127" t="str">
        <f t="shared" si="3"/>
        <v xml:space="preserve"> The Daniels 5 Star Short Let Apartment in Lekki_x000C_</v>
      </c>
      <c r="S127" t="str">
        <f t="shared" si="4"/>
        <v xml:space="preserve"> The Daniels 5 Star Short Let Apartment in Lekki</v>
      </c>
      <c r="T127">
        <f>Table1[[#This Row],[Adults]]+Table1[[#This Row],[Children]]</f>
        <v>3</v>
      </c>
      <c r="U127">
        <f>_xlfn.DAYS(Table1[[#This Row],[Depart]],Table1[[#This Row],[Arrive]])</f>
        <v>7</v>
      </c>
    </row>
    <row r="128" spans="1:21" x14ac:dyDescent="0.25">
      <c r="A128" t="s">
        <v>190</v>
      </c>
      <c r="B128" t="s">
        <v>191</v>
      </c>
      <c r="C128" t="s">
        <v>1175</v>
      </c>
      <c r="D128" s="1">
        <v>43938</v>
      </c>
      <c r="E128" s="1">
        <v>43942</v>
      </c>
      <c r="F128">
        <f t="shared" si="5"/>
        <v>4</v>
      </c>
      <c r="G128" s="1">
        <v>43938</v>
      </c>
      <c r="H128" s="2">
        <v>0.33333333333333331</v>
      </c>
      <c r="I128" s="3">
        <v>1</v>
      </c>
      <c r="J128" t="s">
        <v>1309</v>
      </c>
      <c r="K128" t="s">
        <v>1309</v>
      </c>
      <c r="L128" t="s">
        <v>22</v>
      </c>
      <c r="M128" s="12" t="s">
        <v>23</v>
      </c>
      <c r="N128">
        <v>4</v>
      </c>
      <c r="O128">
        <v>0</v>
      </c>
      <c r="P128" t="s">
        <v>19</v>
      </c>
      <c r="Q128" s="6">
        <v>440</v>
      </c>
      <c r="R128" t="str">
        <f t="shared" si="3"/>
        <v>Keji's 5 Star Short let Apartment in Lekki_x000C_</v>
      </c>
      <c r="S128" t="str">
        <f t="shared" si="4"/>
        <v>Keji's 5 Star Short let Apartment in Lekki</v>
      </c>
      <c r="T128">
        <f>Table1[[#This Row],[Adults]]+Table1[[#This Row],[Children]]</f>
        <v>4</v>
      </c>
      <c r="U128">
        <f>_xlfn.DAYS(Table1[[#This Row],[Depart]],Table1[[#This Row],[Arrive]])</f>
        <v>4</v>
      </c>
    </row>
    <row r="129" spans="1:21" x14ac:dyDescent="0.25">
      <c r="A129" t="s">
        <v>128</v>
      </c>
      <c r="B129" t="s">
        <v>129</v>
      </c>
      <c r="C129" t="s">
        <v>1175</v>
      </c>
      <c r="D129" s="1">
        <v>43939</v>
      </c>
      <c r="E129" s="1">
        <v>43940</v>
      </c>
      <c r="F129">
        <f t="shared" si="5"/>
        <v>1</v>
      </c>
      <c r="G129" s="1">
        <v>43907</v>
      </c>
      <c r="H129" s="2">
        <v>0.33333333333333331</v>
      </c>
      <c r="I129" s="3">
        <v>1</v>
      </c>
      <c r="J129" s="4" t="s">
        <v>1248</v>
      </c>
      <c r="K129" s="4" t="s">
        <v>1248</v>
      </c>
      <c r="L129" t="s">
        <v>26</v>
      </c>
      <c r="M129" s="12" t="s">
        <v>18</v>
      </c>
      <c r="N129">
        <v>1</v>
      </c>
      <c r="O129">
        <v>0</v>
      </c>
      <c r="P129" t="s">
        <v>19</v>
      </c>
      <c r="Q129" s="6">
        <v>107</v>
      </c>
      <c r="R129" t="str">
        <f t="shared" si="3"/>
        <v>Keji's 5 Star Short let Apartment in Lekki_x000C_</v>
      </c>
      <c r="S129" t="str">
        <f t="shared" si="4"/>
        <v>Keji's 5 Star Short let Apartment in Lekki</v>
      </c>
      <c r="T129">
        <f>Table1[[#This Row],[Adults]]+Table1[[#This Row],[Children]]</f>
        <v>1</v>
      </c>
      <c r="U129">
        <f>_xlfn.DAYS(Table1[[#This Row],[Depart]],Table1[[#This Row],[Arrive]])</f>
        <v>1</v>
      </c>
    </row>
    <row r="130" spans="1:21" x14ac:dyDescent="0.25">
      <c r="A130" t="s">
        <v>192</v>
      </c>
      <c r="B130" t="s">
        <v>193</v>
      </c>
      <c r="C130" t="s">
        <v>1178</v>
      </c>
      <c r="D130" s="1">
        <v>43942</v>
      </c>
      <c r="E130" s="1">
        <v>43945</v>
      </c>
      <c r="F130">
        <f t="shared" si="5"/>
        <v>3</v>
      </c>
      <c r="G130" s="1">
        <v>43941</v>
      </c>
      <c r="H130" s="2">
        <v>0.33333333333333331</v>
      </c>
      <c r="I130" s="3">
        <v>1</v>
      </c>
      <c r="J130" t="s">
        <v>1310</v>
      </c>
      <c r="K130" t="s">
        <v>1310</v>
      </c>
      <c r="L130" t="s">
        <v>22</v>
      </c>
      <c r="M130" s="12" t="s">
        <v>18</v>
      </c>
      <c r="N130">
        <v>5</v>
      </c>
      <c r="O130">
        <v>0</v>
      </c>
      <c r="P130" t="s">
        <v>19</v>
      </c>
      <c r="Q130" s="6">
        <v>330</v>
      </c>
      <c r="R130" t="str">
        <f t="shared" ref="R130:R193" si="6">SUBSTITUTE(C:C,"?","'")</f>
        <v>Ope's 5 Star Short Let Apartment in Lekki_x000C_</v>
      </c>
      <c r="S130" t="str">
        <f t="shared" ref="S130:S193" si="7">CLEAN(R:R)</f>
        <v>Ope's 5 Star Short Let Apartment in Lekki</v>
      </c>
      <c r="T130">
        <f>Table1[[#This Row],[Adults]]+Table1[[#This Row],[Children]]</f>
        <v>5</v>
      </c>
      <c r="U130">
        <f>_xlfn.DAYS(Table1[[#This Row],[Depart]],Table1[[#This Row],[Arrive]])</f>
        <v>3</v>
      </c>
    </row>
    <row r="131" spans="1:21" x14ac:dyDescent="0.25">
      <c r="A131" t="s">
        <v>192</v>
      </c>
      <c r="B131" t="s">
        <v>193</v>
      </c>
      <c r="C131" t="s">
        <v>1178</v>
      </c>
      <c r="D131" s="1">
        <v>43942</v>
      </c>
      <c r="E131" s="1">
        <v>43945</v>
      </c>
      <c r="F131">
        <f t="shared" ref="F131:F194" si="8">_xlfn.DAYS(E131,D131)</f>
        <v>3</v>
      </c>
      <c r="G131" s="1">
        <v>43944</v>
      </c>
      <c r="H131" s="2">
        <v>0.33333333333333331</v>
      </c>
      <c r="I131" s="3">
        <v>1</v>
      </c>
      <c r="J131" t="s">
        <v>1311</v>
      </c>
      <c r="K131" t="s">
        <v>1311</v>
      </c>
      <c r="L131" t="s">
        <v>22</v>
      </c>
      <c r="M131" s="12" t="s">
        <v>23</v>
      </c>
      <c r="N131">
        <v>4</v>
      </c>
      <c r="O131">
        <v>0</v>
      </c>
      <c r="P131" t="s">
        <v>19</v>
      </c>
      <c r="Q131" s="6">
        <v>330</v>
      </c>
      <c r="R131" t="str">
        <f t="shared" si="6"/>
        <v>Ope's 5 Star Short Let Apartment in Lekki_x000C_</v>
      </c>
      <c r="S131" t="str">
        <f t="shared" si="7"/>
        <v>Ope's 5 Star Short Let Apartment in Lekki</v>
      </c>
      <c r="T131">
        <f>Table1[[#This Row],[Adults]]+Table1[[#This Row],[Children]]</f>
        <v>4</v>
      </c>
      <c r="U131">
        <f>_xlfn.DAYS(Table1[[#This Row],[Depart]],Table1[[#This Row],[Arrive]])</f>
        <v>3</v>
      </c>
    </row>
    <row r="132" spans="1:21" x14ac:dyDescent="0.25">
      <c r="A132" t="s">
        <v>174</v>
      </c>
      <c r="B132" t="s">
        <v>175</v>
      </c>
      <c r="C132" t="s">
        <v>1178</v>
      </c>
      <c r="D132" s="1">
        <v>43943</v>
      </c>
      <c r="E132" s="1">
        <v>43944</v>
      </c>
      <c r="F132">
        <f t="shared" si="8"/>
        <v>1</v>
      </c>
      <c r="G132" s="1">
        <v>43919</v>
      </c>
      <c r="H132" s="2">
        <v>0.33333333333333331</v>
      </c>
      <c r="I132" s="3">
        <v>1</v>
      </c>
      <c r="J132" t="s">
        <v>1285</v>
      </c>
      <c r="K132" t="s">
        <v>1285</v>
      </c>
      <c r="L132" t="s">
        <v>26</v>
      </c>
      <c r="M132" s="12" t="s">
        <v>18</v>
      </c>
      <c r="N132">
        <v>6</v>
      </c>
      <c r="O132">
        <v>0</v>
      </c>
      <c r="P132" t="s">
        <v>19</v>
      </c>
      <c r="Q132" s="6">
        <v>107</v>
      </c>
      <c r="R132" t="str">
        <f t="shared" si="6"/>
        <v>Ope's 5 Star Short Let Apartment in Lekki_x000C_</v>
      </c>
      <c r="S132" t="str">
        <f t="shared" si="7"/>
        <v>Ope's 5 Star Short Let Apartment in Lekki</v>
      </c>
      <c r="T132">
        <f>Table1[[#This Row],[Adults]]+Table1[[#This Row],[Children]]</f>
        <v>6</v>
      </c>
      <c r="U132">
        <f>_xlfn.DAYS(Table1[[#This Row],[Depart]],Table1[[#This Row],[Arrive]])</f>
        <v>1</v>
      </c>
    </row>
    <row r="133" spans="1:21" x14ac:dyDescent="0.25">
      <c r="A133" t="s">
        <v>194</v>
      </c>
      <c r="B133" t="s">
        <v>195</v>
      </c>
      <c r="C133" t="s">
        <v>1175</v>
      </c>
      <c r="D133" s="1">
        <v>43944</v>
      </c>
      <c r="E133" s="1">
        <v>43945</v>
      </c>
      <c r="F133">
        <f t="shared" si="8"/>
        <v>1</v>
      </c>
      <c r="G133" s="1">
        <v>43944</v>
      </c>
      <c r="H133" s="2">
        <v>0.33333333333333331</v>
      </c>
      <c r="I133" s="3">
        <v>1</v>
      </c>
      <c r="J133" t="s">
        <v>1314</v>
      </c>
      <c r="K133" t="s">
        <v>1314</v>
      </c>
      <c r="L133" t="s">
        <v>22</v>
      </c>
      <c r="M133" s="12" t="s">
        <v>23</v>
      </c>
      <c r="N133">
        <v>5</v>
      </c>
      <c r="O133">
        <v>0</v>
      </c>
      <c r="P133" t="s">
        <v>19</v>
      </c>
      <c r="Q133" s="6">
        <v>110</v>
      </c>
      <c r="R133" t="str">
        <f t="shared" si="6"/>
        <v>Keji's 5 Star Short let Apartment in Lekki_x000C_</v>
      </c>
      <c r="S133" t="str">
        <f t="shared" si="7"/>
        <v>Keji's 5 Star Short let Apartment in Lekki</v>
      </c>
      <c r="T133">
        <f>Table1[[#This Row],[Adults]]+Table1[[#This Row],[Children]]</f>
        <v>5</v>
      </c>
      <c r="U133">
        <f>_xlfn.DAYS(Table1[[#This Row],[Depart]],Table1[[#This Row],[Arrive]])</f>
        <v>1</v>
      </c>
    </row>
    <row r="134" spans="1:21" x14ac:dyDescent="0.25">
      <c r="A134" t="s">
        <v>172</v>
      </c>
      <c r="B134" t="s">
        <v>173</v>
      </c>
      <c r="C134" t="s">
        <v>1179</v>
      </c>
      <c r="D134" s="1">
        <v>43945</v>
      </c>
      <c r="E134" s="1">
        <v>43956</v>
      </c>
      <c r="F134">
        <f t="shared" si="8"/>
        <v>11</v>
      </c>
      <c r="G134" s="1">
        <v>43874</v>
      </c>
      <c r="H134" s="2">
        <v>0.33333333333333331</v>
      </c>
      <c r="I134" s="3">
        <v>1</v>
      </c>
      <c r="J134" t="s">
        <v>1284</v>
      </c>
      <c r="K134" t="s">
        <v>1284</v>
      </c>
      <c r="L134" t="s">
        <v>22</v>
      </c>
      <c r="M134" s="12" t="s">
        <v>18</v>
      </c>
      <c r="N134">
        <v>2</v>
      </c>
      <c r="O134">
        <v>0</v>
      </c>
      <c r="P134" t="s">
        <v>19</v>
      </c>
      <c r="Q134" s="6">
        <v>1210</v>
      </c>
      <c r="R134" t="str">
        <f t="shared" si="6"/>
        <v>Phiola's 5 Star Short Let Apartment in Lekki_x000C_</v>
      </c>
      <c r="S134" t="str">
        <f t="shared" si="7"/>
        <v>Phiola's 5 Star Short Let Apartment in Lekki</v>
      </c>
      <c r="T134">
        <f>Table1[[#This Row],[Adults]]+Table1[[#This Row],[Children]]</f>
        <v>2</v>
      </c>
      <c r="U134">
        <f>_xlfn.DAYS(Table1[[#This Row],[Depart]],Table1[[#This Row],[Arrive]])</f>
        <v>11</v>
      </c>
    </row>
    <row r="135" spans="1:21" x14ac:dyDescent="0.25">
      <c r="A135" t="s">
        <v>186</v>
      </c>
      <c r="B135" t="s">
        <v>187</v>
      </c>
      <c r="C135" t="s">
        <v>1175</v>
      </c>
      <c r="D135" s="1">
        <v>43945</v>
      </c>
      <c r="E135" s="1">
        <v>43960</v>
      </c>
      <c r="F135">
        <f t="shared" si="8"/>
        <v>15</v>
      </c>
      <c r="G135" s="1">
        <v>43939</v>
      </c>
      <c r="H135" s="2">
        <v>0.33333333333333331</v>
      </c>
      <c r="I135" s="3">
        <v>1</v>
      </c>
      <c r="J135" t="s">
        <v>1304</v>
      </c>
      <c r="K135" t="s">
        <v>1304</v>
      </c>
      <c r="L135" t="s">
        <v>26</v>
      </c>
      <c r="M135" s="12" t="s">
        <v>18</v>
      </c>
      <c r="N135">
        <v>2</v>
      </c>
      <c r="O135">
        <v>0</v>
      </c>
      <c r="P135" t="s">
        <v>19</v>
      </c>
      <c r="Q135" s="6">
        <v>1517.34</v>
      </c>
      <c r="R135" t="str">
        <f t="shared" si="6"/>
        <v>Keji's 5 Star Short let Apartment in Lekki_x000C_</v>
      </c>
      <c r="S135" t="str">
        <f t="shared" si="7"/>
        <v>Keji's 5 Star Short let Apartment in Lekki</v>
      </c>
      <c r="T135">
        <f>Table1[[#This Row],[Adults]]+Table1[[#This Row],[Children]]</f>
        <v>2</v>
      </c>
      <c r="U135">
        <f>_xlfn.DAYS(Table1[[#This Row],[Depart]],Table1[[#This Row],[Arrive]])</f>
        <v>15</v>
      </c>
    </row>
    <row r="136" spans="1:21" x14ac:dyDescent="0.25">
      <c r="A136" t="s">
        <v>192</v>
      </c>
      <c r="B136" t="s">
        <v>193</v>
      </c>
      <c r="C136" t="s">
        <v>1178</v>
      </c>
      <c r="D136" s="1">
        <v>43945</v>
      </c>
      <c r="E136" s="1">
        <v>43946</v>
      </c>
      <c r="F136">
        <f t="shared" si="8"/>
        <v>1</v>
      </c>
      <c r="G136" s="1">
        <v>43944</v>
      </c>
      <c r="H136" s="2">
        <v>0.33333333333333331</v>
      </c>
      <c r="I136" s="3">
        <v>1</v>
      </c>
      <c r="J136" t="s">
        <v>1312</v>
      </c>
      <c r="K136" t="s">
        <v>1312</v>
      </c>
      <c r="L136" t="s">
        <v>22</v>
      </c>
      <c r="M136" s="12" t="s">
        <v>23</v>
      </c>
      <c r="N136">
        <v>4</v>
      </c>
      <c r="O136">
        <v>0</v>
      </c>
      <c r="P136" t="s">
        <v>19</v>
      </c>
      <c r="Q136" s="6">
        <v>110</v>
      </c>
      <c r="R136" t="str">
        <f t="shared" si="6"/>
        <v>Ope's 5 Star Short Let Apartment in Lekki_x000C_</v>
      </c>
      <c r="S136" t="str">
        <f t="shared" si="7"/>
        <v>Ope's 5 Star Short Let Apartment in Lekki</v>
      </c>
      <c r="T136">
        <f>Table1[[#This Row],[Adults]]+Table1[[#This Row],[Children]]</f>
        <v>4</v>
      </c>
      <c r="U136">
        <f>_xlfn.DAYS(Table1[[#This Row],[Depart]],Table1[[#This Row],[Arrive]])</f>
        <v>1</v>
      </c>
    </row>
    <row r="137" spans="1:21" x14ac:dyDescent="0.25">
      <c r="A137" t="s">
        <v>194</v>
      </c>
      <c r="B137" t="s">
        <v>195</v>
      </c>
      <c r="C137" t="s">
        <v>1179</v>
      </c>
      <c r="D137" s="1">
        <v>43945</v>
      </c>
      <c r="E137" s="1">
        <v>43947</v>
      </c>
      <c r="F137">
        <f t="shared" si="8"/>
        <v>2</v>
      </c>
      <c r="G137" s="1">
        <v>43945</v>
      </c>
      <c r="H137" s="2">
        <v>0.33333333333333331</v>
      </c>
      <c r="I137" s="3">
        <v>1</v>
      </c>
      <c r="J137" t="s">
        <v>1315</v>
      </c>
      <c r="K137" t="s">
        <v>1315</v>
      </c>
      <c r="L137" t="s">
        <v>22</v>
      </c>
      <c r="M137" s="12" t="s">
        <v>23</v>
      </c>
      <c r="N137">
        <v>3</v>
      </c>
      <c r="O137">
        <v>0</v>
      </c>
      <c r="P137" t="s">
        <v>19</v>
      </c>
      <c r="Q137" s="6">
        <v>220</v>
      </c>
      <c r="R137" t="str">
        <f t="shared" si="6"/>
        <v>Phiola's 5 Star Short Let Apartment in Lekki_x000C_</v>
      </c>
      <c r="S137" t="str">
        <f t="shared" si="7"/>
        <v>Phiola's 5 Star Short Let Apartment in Lekki</v>
      </c>
      <c r="T137">
        <f>Table1[[#This Row],[Adults]]+Table1[[#This Row],[Children]]</f>
        <v>3</v>
      </c>
      <c r="U137">
        <f>_xlfn.DAYS(Table1[[#This Row],[Depart]],Table1[[#This Row],[Arrive]])</f>
        <v>2</v>
      </c>
    </row>
    <row r="138" spans="1:21" x14ac:dyDescent="0.25">
      <c r="A138" t="s">
        <v>198</v>
      </c>
      <c r="B138" t="s">
        <v>199</v>
      </c>
      <c r="C138" t="s">
        <v>1178</v>
      </c>
      <c r="D138" s="1">
        <v>43946</v>
      </c>
      <c r="E138" s="1">
        <v>43947</v>
      </c>
      <c r="F138">
        <f t="shared" si="8"/>
        <v>1</v>
      </c>
      <c r="G138" s="1">
        <v>43943</v>
      </c>
      <c r="H138" s="2">
        <v>0.33333333333333331</v>
      </c>
      <c r="I138" s="3">
        <v>1</v>
      </c>
      <c r="J138" t="s">
        <v>2173</v>
      </c>
      <c r="K138" t="s">
        <v>1215</v>
      </c>
      <c r="L138" t="s">
        <v>17</v>
      </c>
      <c r="M138" s="12" t="s">
        <v>18</v>
      </c>
      <c r="N138">
        <v>5</v>
      </c>
      <c r="O138">
        <v>0</v>
      </c>
      <c r="P138" t="s">
        <v>19</v>
      </c>
      <c r="Q138" s="6">
        <v>142</v>
      </c>
      <c r="R138" t="str">
        <f t="shared" si="6"/>
        <v>Ope's 5 Star Short Let Apartment in Lekki_x000C_</v>
      </c>
      <c r="S138" t="str">
        <f t="shared" si="7"/>
        <v>Ope's 5 Star Short Let Apartment in Lekki</v>
      </c>
      <c r="T138">
        <f>Table1[[#This Row],[Adults]]+Table1[[#This Row],[Children]]</f>
        <v>5</v>
      </c>
      <c r="U138">
        <f>_xlfn.DAYS(Table1[[#This Row],[Depart]],Table1[[#This Row],[Arrive]])</f>
        <v>1</v>
      </c>
    </row>
    <row r="139" spans="1:21" x14ac:dyDescent="0.25">
      <c r="A139" t="s">
        <v>192</v>
      </c>
      <c r="B139" t="s">
        <v>193</v>
      </c>
      <c r="C139" t="s">
        <v>1178</v>
      </c>
      <c r="D139" s="1">
        <v>43946</v>
      </c>
      <c r="E139" s="1">
        <v>43947</v>
      </c>
      <c r="F139">
        <f t="shared" si="8"/>
        <v>1</v>
      </c>
      <c r="G139" s="1">
        <v>43946</v>
      </c>
      <c r="H139" s="2">
        <v>0.33333333333333331</v>
      </c>
      <c r="I139" s="3">
        <v>1</v>
      </c>
      <c r="J139" t="s">
        <v>1319</v>
      </c>
      <c r="K139" t="s">
        <v>1319</v>
      </c>
      <c r="L139" t="s">
        <v>22</v>
      </c>
      <c r="M139" s="12" t="s">
        <v>23</v>
      </c>
      <c r="N139">
        <v>2</v>
      </c>
      <c r="O139">
        <v>0</v>
      </c>
      <c r="P139" t="s">
        <v>19</v>
      </c>
      <c r="Q139" s="6">
        <v>110</v>
      </c>
      <c r="R139" t="str">
        <f t="shared" si="6"/>
        <v>Ope's 5 Star Short Let Apartment in Lekki_x000C_</v>
      </c>
      <c r="S139" t="str">
        <f t="shared" si="7"/>
        <v>Ope's 5 Star Short Let Apartment in Lekki</v>
      </c>
      <c r="T139">
        <f>Table1[[#This Row],[Adults]]+Table1[[#This Row],[Children]]</f>
        <v>2</v>
      </c>
      <c r="U139">
        <f>_xlfn.DAYS(Table1[[#This Row],[Depart]],Table1[[#This Row],[Arrive]])</f>
        <v>1</v>
      </c>
    </row>
    <row r="140" spans="1:21" x14ac:dyDescent="0.25">
      <c r="A140" t="s">
        <v>122</v>
      </c>
      <c r="B140" t="s">
        <v>123</v>
      </c>
      <c r="C140" t="s">
        <v>1175</v>
      </c>
      <c r="D140" s="1">
        <v>43947</v>
      </c>
      <c r="E140" s="1">
        <v>43948</v>
      </c>
      <c r="F140">
        <f t="shared" si="8"/>
        <v>1</v>
      </c>
      <c r="G140" s="1">
        <v>43906</v>
      </c>
      <c r="H140" s="2">
        <v>0.33333333333333331</v>
      </c>
      <c r="I140" s="3">
        <v>1</v>
      </c>
      <c r="J140" t="s">
        <v>1244</v>
      </c>
      <c r="K140" t="s">
        <v>1244</v>
      </c>
      <c r="L140" t="s">
        <v>26</v>
      </c>
      <c r="M140" s="12" t="s">
        <v>18</v>
      </c>
      <c r="N140">
        <v>4</v>
      </c>
      <c r="O140">
        <v>0</v>
      </c>
      <c r="P140" t="s">
        <v>19</v>
      </c>
      <c r="Q140" s="6">
        <v>107</v>
      </c>
      <c r="R140" t="str">
        <f t="shared" si="6"/>
        <v>Keji's 5 Star Short let Apartment in Lekki_x000C_</v>
      </c>
      <c r="S140" t="str">
        <f t="shared" si="7"/>
        <v>Keji's 5 Star Short let Apartment in Lekki</v>
      </c>
      <c r="T140">
        <f>Table1[[#This Row],[Adults]]+Table1[[#This Row],[Children]]</f>
        <v>4</v>
      </c>
      <c r="U140">
        <f>_xlfn.DAYS(Table1[[#This Row],[Depart]],Table1[[#This Row],[Arrive]])</f>
        <v>1</v>
      </c>
    </row>
    <row r="141" spans="1:21" x14ac:dyDescent="0.25">
      <c r="A141" t="s">
        <v>144</v>
      </c>
      <c r="B141" t="s">
        <v>145</v>
      </c>
      <c r="C141" t="s">
        <v>1178</v>
      </c>
      <c r="D141" s="1">
        <v>43947</v>
      </c>
      <c r="E141" s="1">
        <v>43954</v>
      </c>
      <c r="F141">
        <f t="shared" si="8"/>
        <v>7</v>
      </c>
      <c r="G141" s="1">
        <v>43885</v>
      </c>
      <c r="H141" s="2">
        <v>0.33333333333333331</v>
      </c>
      <c r="I141" s="3">
        <v>1</v>
      </c>
      <c r="J141" t="s">
        <v>1261</v>
      </c>
      <c r="K141" t="s">
        <v>1261</v>
      </c>
      <c r="L141" t="s">
        <v>22</v>
      </c>
      <c r="M141" s="12" t="s">
        <v>18</v>
      </c>
      <c r="N141">
        <v>2</v>
      </c>
      <c r="O141">
        <v>0</v>
      </c>
      <c r="P141" t="s">
        <v>19</v>
      </c>
      <c r="Q141" s="6">
        <v>770</v>
      </c>
      <c r="R141" t="str">
        <f t="shared" si="6"/>
        <v>Ope's 5 Star Short Let Apartment in Lekki_x000C_</v>
      </c>
      <c r="S141" t="str">
        <f t="shared" si="7"/>
        <v>Ope's 5 Star Short Let Apartment in Lekki</v>
      </c>
      <c r="T141">
        <f>Table1[[#This Row],[Adults]]+Table1[[#This Row],[Children]]</f>
        <v>2</v>
      </c>
      <c r="U141">
        <f>_xlfn.DAYS(Table1[[#This Row],[Depart]],Table1[[#This Row],[Arrive]])</f>
        <v>7</v>
      </c>
    </row>
    <row r="142" spans="1:21" x14ac:dyDescent="0.25">
      <c r="A142" t="s">
        <v>192</v>
      </c>
      <c r="B142" t="s">
        <v>193</v>
      </c>
      <c r="C142" t="s">
        <v>1178</v>
      </c>
      <c r="D142" s="1">
        <v>43947</v>
      </c>
      <c r="E142" s="1">
        <v>43949</v>
      </c>
      <c r="F142">
        <f t="shared" si="8"/>
        <v>2</v>
      </c>
      <c r="G142" s="1">
        <v>43944</v>
      </c>
      <c r="H142" s="2">
        <v>0.33333333333333331</v>
      </c>
      <c r="I142" s="3">
        <v>1</v>
      </c>
      <c r="J142" t="s">
        <v>1313</v>
      </c>
      <c r="K142" t="s">
        <v>1313</v>
      </c>
      <c r="L142" t="s">
        <v>22</v>
      </c>
      <c r="M142" s="12" t="s">
        <v>23</v>
      </c>
      <c r="N142">
        <v>4</v>
      </c>
      <c r="O142">
        <v>0</v>
      </c>
      <c r="P142" t="s">
        <v>19</v>
      </c>
      <c r="Q142" s="6">
        <v>220</v>
      </c>
      <c r="R142" t="str">
        <f t="shared" si="6"/>
        <v>Ope's 5 Star Short Let Apartment in Lekki_x000C_</v>
      </c>
      <c r="S142" t="str">
        <f t="shared" si="7"/>
        <v>Ope's 5 Star Short Let Apartment in Lekki</v>
      </c>
      <c r="T142">
        <f>Table1[[#This Row],[Adults]]+Table1[[#This Row],[Children]]</f>
        <v>4</v>
      </c>
      <c r="U142">
        <f>_xlfn.DAYS(Table1[[#This Row],[Depart]],Table1[[#This Row],[Arrive]])</f>
        <v>2</v>
      </c>
    </row>
    <row r="143" spans="1:21" x14ac:dyDescent="0.25">
      <c r="A143" t="s">
        <v>192</v>
      </c>
      <c r="B143" t="s">
        <v>193</v>
      </c>
      <c r="C143" t="s">
        <v>1178</v>
      </c>
      <c r="D143" s="1">
        <v>43949</v>
      </c>
      <c r="E143" s="1">
        <v>43956</v>
      </c>
      <c r="F143">
        <f t="shared" si="8"/>
        <v>7</v>
      </c>
      <c r="G143" s="1">
        <v>43945</v>
      </c>
      <c r="H143" s="2">
        <v>0.33333333333333331</v>
      </c>
      <c r="I143" s="3">
        <v>1</v>
      </c>
      <c r="J143" t="s">
        <v>1317</v>
      </c>
      <c r="K143" t="s">
        <v>1317</v>
      </c>
      <c r="L143" t="s">
        <v>22</v>
      </c>
      <c r="M143" s="12" t="s">
        <v>18</v>
      </c>
      <c r="N143">
        <v>3</v>
      </c>
      <c r="O143">
        <v>0</v>
      </c>
      <c r="P143" t="s">
        <v>19</v>
      </c>
      <c r="Q143" s="6">
        <v>770</v>
      </c>
      <c r="R143" t="str">
        <f t="shared" si="6"/>
        <v>Ope's 5 Star Short Let Apartment in Lekki_x000C_</v>
      </c>
      <c r="S143" t="str">
        <f t="shared" si="7"/>
        <v>Ope's 5 Star Short Let Apartment in Lekki</v>
      </c>
      <c r="T143">
        <f>Table1[[#This Row],[Adults]]+Table1[[#This Row],[Children]]</f>
        <v>3</v>
      </c>
      <c r="U143">
        <f>_xlfn.DAYS(Table1[[#This Row],[Depart]],Table1[[#This Row],[Arrive]])</f>
        <v>7</v>
      </c>
    </row>
    <row r="144" spans="1:21" x14ac:dyDescent="0.25">
      <c r="A144" t="s">
        <v>92</v>
      </c>
      <c r="B144" t="s">
        <v>93</v>
      </c>
      <c r="C144" t="s">
        <v>1173</v>
      </c>
      <c r="D144" s="1">
        <v>43950</v>
      </c>
      <c r="E144" s="1">
        <v>43962</v>
      </c>
      <c r="F144">
        <f t="shared" si="8"/>
        <v>12</v>
      </c>
      <c r="G144" s="1">
        <v>43893</v>
      </c>
      <c r="H144" s="2">
        <v>0.33333333333333331</v>
      </c>
      <c r="I144" s="3">
        <v>1</v>
      </c>
      <c r="J144" t="s">
        <v>1226</v>
      </c>
      <c r="K144" t="s">
        <v>1226</v>
      </c>
      <c r="L144" t="s">
        <v>26</v>
      </c>
      <c r="M144" s="12" t="s">
        <v>18</v>
      </c>
      <c r="N144">
        <v>3</v>
      </c>
      <c r="O144">
        <v>0</v>
      </c>
      <c r="P144" t="s">
        <v>19</v>
      </c>
      <c r="Q144" s="6">
        <v>1273</v>
      </c>
      <c r="R144" t="str">
        <f t="shared" si="6"/>
        <v xml:space="preserve"> The Daniels 5 Star Short Let Apartment in Lekki_x000C_</v>
      </c>
      <c r="S144" t="str">
        <f t="shared" si="7"/>
        <v xml:space="preserve"> The Daniels 5 Star Short Let Apartment in Lekki</v>
      </c>
      <c r="T144">
        <f>Table1[[#This Row],[Adults]]+Table1[[#This Row],[Children]]</f>
        <v>3</v>
      </c>
      <c r="U144">
        <f>_xlfn.DAYS(Table1[[#This Row],[Depart]],Table1[[#This Row],[Arrive]])</f>
        <v>12</v>
      </c>
    </row>
    <row r="145" spans="1:21" x14ac:dyDescent="0.25">
      <c r="A145" t="s">
        <v>196</v>
      </c>
      <c r="B145" t="s">
        <v>197</v>
      </c>
      <c r="C145" t="s">
        <v>1175</v>
      </c>
      <c r="D145" s="1">
        <v>43950</v>
      </c>
      <c r="E145" s="1">
        <v>43960</v>
      </c>
      <c r="F145">
        <f t="shared" si="8"/>
        <v>10</v>
      </c>
      <c r="G145" s="1">
        <v>43940</v>
      </c>
      <c r="H145" s="2">
        <v>0.33333333333333331</v>
      </c>
      <c r="I145" s="3">
        <v>1</v>
      </c>
      <c r="J145" t="s">
        <v>1316</v>
      </c>
      <c r="K145" t="s">
        <v>1316</v>
      </c>
      <c r="L145" t="s">
        <v>22</v>
      </c>
      <c r="M145" s="12" t="s">
        <v>18</v>
      </c>
      <c r="N145">
        <v>4</v>
      </c>
      <c r="O145">
        <v>0</v>
      </c>
      <c r="P145" t="s">
        <v>19</v>
      </c>
      <c r="Q145" s="6">
        <v>932</v>
      </c>
      <c r="R145" t="str">
        <f t="shared" si="6"/>
        <v>Keji's 5 Star Short let Apartment in Lekki_x000C_</v>
      </c>
      <c r="S145" t="str">
        <f t="shared" si="7"/>
        <v>Keji's 5 Star Short let Apartment in Lekki</v>
      </c>
      <c r="T145">
        <f>Table1[[#This Row],[Adults]]+Table1[[#This Row],[Children]]</f>
        <v>4</v>
      </c>
      <c r="U145">
        <f>_xlfn.DAYS(Table1[[#This Row],[Depart]],Table1[[#This Row],[Arrive]])</f>
        <v>10</v>
      </c>
    </row>
    <row r="146" spans="1:21" x14ac:dyDescent="0.25">
      <c r="A146" t="s">
        <v>196</v>
      </c>
      <c r="B146" t="s">
        <v>197</v>
      </c>
      <c r="C146" t="s">
        <v>1175</v>
      </c>
      <c r="D146" s="1">
        <v>43950</v>
      </c>
      <c r="E146" s="1">
        <v>43960</v>
      </c>
      <c r="F146">
        <f t="shared" si="8"/>
        <v>10</v>
      </c>
      <c r="G146" s="1">
        <v>43945</v>
      </c>
      <c r="H146" s="2">
        <v>0.33333333333333331</v>
      </c>
      <c r="I146" s="3">
        <v>1</v>
      </c>
      <c r="J146" t="s">
        <v>1318</v>
      </c>
      <c r="K146" t="s">
        <v>1318</v>
      </c>
      <c r="L146" t="s">
        <v>22</v>
      </c>
      <c r="M146" s="12" t="s">
        <v>23</v>
      </c>
      <c r="N146">
        <v>3</v>
      </c>
      <c r="O146">
        <v>0</v>
      </c>
      <c r="P146" t="s">
        <v>19</v>
      </c>
      <c r="Q146" s="6">
        <v>1100</v>
      </c>
      <c r="R146" t="str">
        <f t="shared" si="6"/>
        <v>Keji's 5 Star Short let Apartment in Lekki_x000C_</v>
      </c>
      <c r="S146" t="str">
        <f t="shared" si="7"/>
        <v>Keji's 5 Star Short let Apartment in Lekki</v>
      </c>
      <c r="T146">
        <f>Table1[[#This Row],[Adults]]+Table1[[#This Row],[Children]]</f>
        <v>3</v>
      </c>
      <c r="U146">
        <f>_xlfn.DAYS(Table1[[#This Row],[Depart]],Table1[[#This Row],[Arrive]])</f>
        <v>10</v>
      </c>
    </row>
    <row r="147" spans="1:21" x14ac:dyDescent="0.25">
      <c r="A147" t="s">
        <v>82</v>
      </c>
      <c r="B147" t="s">
        <v>83</v>
      </c>
      <c r="C147" t="s">
        <v>1173</v>
      </c>
      <c r="D147" s="1">
        <v>43951</v>
      </c>
      <c r="E147" s="1">
        <v>43954</v>
      </c>
      <c r="F147">
        <f t="shared" si="8"/>
        <v>3</v>
      </c>
      <c r="G147" s="1">
        <v>43889</v>
      </c>
      <c r="H147" s="2">
        <v>0.33333333333333331</v>
      </c>
      <c r="I147" s="3">
        <v>1</v>
      </c>
      <c r="J147" t="s">
        <v>1218</v>
      </c>
      <c r="K147" t="s">
        <v>1218</v>
      </c>
      <c r="L147" t="s">
        <v>26</v>
      </c>
      <c r="M147" s="12" t="s">
        <v>18</v>
      </c>
      <c r="N147">
        <v>1</v>
      </c>
      <c r="O147">
        <v>0</v>
      </c>
      <c r="P147" t="s">
        <v>19</v>
      </c>
      <c r="Q147" s="6">
        <v>318</v>
      </c>
      <c r="R147" t="str">
        <f t="shared" si="6"/>
        <v xml:space="preserve"> The Daniels 5 Star Short Let Apartment in Lekki_x000C_</v>
      </c>
      <c r="S147" t="str">
        <f t="shared" si="7"/>
        <v xml:space="preserve"> The Daniels 5 Star Short Let Apartment in Lekki</v>
      </c>
      <c r="T147">
        <f>Table1[[#This Row],[Adults]]+Table1[[#This Row],[Children]]</f>
        <v>1</v>
      </c>
      <c r="U147">
        <f>_xlfn.DAYS(Table1[[#This Row],[Depart]],Table1[[#This Row],[Arrive]])</f>
        <v>3</v>
      </c>
    </row>
    <row r="148" spans="1:21" x14ac:dyDescent="0.25">
      <c r="A148" t="s">
        <v>122</v>
      </c>
      <c r="B148" t="s">
        <v>123</v>
      </c>
      <c r="C148" t="s">
        <v>1173</v>
      </c>
      <c r="D148" s="1">
        <v>43951</v>
      </c>
      <c r="E148" s="1">
        <v>43980</v>
      </c>
      <c r="F148">
        <f t="shared" si="8"/>
        <v>29</v>
      </c>
      <c r="G148" s="1">
        <v>43906</v>
      </c>
      <c r="H148" s="2">
        <v>0.33333333333333331</v>
      </c>
      <c r="I148" s="3">
        <v>1</v>
      </c>
      <c r="J148" t="s">
        <v>1243</v>
      </c>
      <c r="K148" t="s">
        <v>1243</v>
      </c>
      <c r="L148" t="s">
        <v>26</v>
      </c>
      <c r="M148" s="12" t="s">
        <v>18</v>
      </c>
      <c r="N148">
        <v>4</v>
      </c>
      <c r="O148">
        <v>0</v>
      </c>
      <c r="P148" t="s">
        <v>19</v>
      </c>
      <c r="Q148" s="6">
        <v>3076</v>
      </c>
      <c r="R148" t="str">
        <f t="shared" si="6"/>
        <v xml:space="preserve"> The Daniels 5 Star Short Let Apartment in Lekki_x000C_</v>
      </c>
      <c r="S148" t="str">
        <f t="shared" si="7"/>
        <v xml:space="preserve"> The Daniels 5 Star Short Let Apartment in Lekki</v>
      </c>
      <c r="T148">
        <f>Table1[[#This Row],[Adults]]+Table1[[#This Row],[Children]]</f>
        <v>4</v>
      </c>
      <c r="U148">
        <f>_xlfn.DAYS(Table1[[#This Row],[Depart]],Table1[[#This Row],[Arrive]])</f>
        <v>29</v>
      </c>
    </row>
    <row r="149" spans="1:21" x14ac:dyDescent="0.25">
      <c r="A149" t="s">
        <v>184</v>
      </c>
      <c r="B149" t="s">
        <v>185</v>
      </c>
      <c r="C149" t="s">
        <v>1178</v>
      </c>
      <c r="D149" s="1">
        <v>43951</v>
      </c>
      <c r="E149" s="1">
        <v>43981</v>
      </c>
      <c r="F149">
        <f t="shared" si="8"/>
        <v>30</v>
      </c>
      <c r="G149" s="1">
        <v>43945</v>
      </c>
      <c r="H149" s="2">
        <v>0.33333333333333331</v>
      </c>
      <c r="I149" s="3">
        <v>1</v>
      </c>
      <c r="J149" t="s">
        <v>1320</v>
      </c>
      <c r="K149" t="s">
        <v>1320</v>
      </c>
      <c r="L149" t="s">
        <v>26</v>
      </c>
      <c r="M149" s="12" t="s">
        <v>18</v>
      </c>
      <c r="N149">
        <v>1</v>
      </c>
      <c r="O149">
        <v>0</v>
      </c>
      <c r="P149" t="s">
        <v>19</v>
      </c>
      <c r="Q149" s="6">
        <v>3022</v>
      </c>
      <c r="R149" t="str">
        <f t="shared" si="6"/>
        <v>Ope's 5 Star Short Let Apartment in Lekki_x000C_</v>
      </c>
      <c r="S149" t="str">
        <f t="shared" si="7"/>
        <v>Ope's 5 Star Short Let Apartment in Lekki</v>
      </c>
      <c r="T149">
        <f>Table1[[#This Row],[Adults]]+Table1[[#This Row],[Children]]</f>
        <v>1</v>
      </c>
      <c r="U149">
        <f>_xlfn.DAYS(Table1[[#This Row],[Depart]],Table1[[#This Row],[Arrive]])</f>
        <v>30</v>
      </c>
    </row>
    <row r="150" spans="1:21" x14ac:dyDescent="0.25">
      <c r="A150" t="s">
        <v>110</v>
      </c>
      <c r="B150" t="s">
        <v>111</v>
      </c>
      <c r="C150" t="s">
        <v>1173</v>
      </c>
      <c r="D150" s="1">
        <v>43951</v>
      </c>
      <c r="E150" s="1">
        <v>43988</v>
      </c>
      <c r="F150">
        <f t="shared" si="8"/>
        <v>37</v>
      </c>
      <c r="G150" s="1">
        <v>43946</v>
      </c>
      <c r="H150" s="2">
        <v>0.33333333333333331</v>
      </c>
      <c r="I150" s="3">
        <v>1</v>
      </c>
      <c r="J150" t="s">
        <v>1395</v>
      </c>
      <c r="K150" t="s">
        <v>1395</v>
      </c>
      <c r="L150" t="s">
        <v>22</v>
      </c>
      <c r="M150" s="12" t="s">
        <v>23</v>
      </c>
      <c r="N150">
        <v>3</v>
      </c>
      <c r="O150">
        <v>0</v>
      </c>
      <c r="P150" t="s">
        <v>19</v>
      </c>
      <c r="Q150" s="6">
        <v>4070</v>
      </c>
      <c r="R150" t="str">
        <f t="shared" si="6"/>
        <v xml:space="preserve"> The Daniels 5 Star Short Let Apartment in Lekki_x000C_</v>
      </c>
      <c r="S150" t="str">
        <f t="shared" si="7"/>
        <v xml:space="preserve"> The Daniels 5 Star Short Let Apartment in Lekki</v>
      </c>
      <c r="T150">
        <f>Table1[[#This Row],[Adults]]+Table1[[#This Row],[Children]]</f>
        <v>3</v>
      </c>
      <c r="U150">
        <f>_xlfn.DAYS(Table1[[#This Row],[Depart]],Table1[[#This Row],[Arrive]])</f>
        <v>37</v>
      </c>
    </row>
    <row r="151" spans="1:21" x14ac:dyDescent="0.25">
      <c r="A151" t="s">
        <v>154</v>
      </c>
      <c r="B151" t="s">
        <v>155</v>
      </c>
      <c r="C151" t="s">
        <v>1175</v>
      </c>
      <c r="D151" s="1">
        <v>43955</v>
      </c>
      <c r="E151" s="1">
        <v>43958</v>
      </c>
      <c r="F151">
        <f t="shared" si="8"/>
        <v>3</v>
      </c>
      <c r="G151" s="1">
        <v>43906</v>
      </c>
      <c r="H151" s="2">
        <v>0.33333333333333331</v>
      </c>
      <c r="I151" s="3">
        <v>1</v>
      </c>
      <c r="J151" t="s">
        <v>1271</v>
      </c>
      <c r="K151" t="s">
        <v>1271</v>
      </c>
      <c r="L151" t="s">
        <v>26</v>
      </c>
      <c r="M151" s="12" t="s">
        <v>18</v>
      </c>
      <c r="N151">
        <v>1</v>
      </c>
      <c r="O151">
        <v>0</v>
      </c>
      <c r="P151" t="s">
        <v>19</v>
      </c>
      <c r="Q151" s="6">
        <v>319</v>
      </c>
      <c r="R151" t="str">
        <f t="shared" si="6"/>
        <v>Keji's 5 Star Short let Apartment in Lekki_x000C_</v>
      </c>
      <c r="S151" t="str">
        <f t="shared" si="7"/>
        <v>Keji's 5 Star Short let Apartment in Lekki</v>
      </c>
      <c r="T151">
        <f>Table1[[#This Row],[Adults]]+Table1[[#This Row],[Children]]</f>
        <v>1</v>
      </c>
      <c r="U151">
        <f>_xlfn.DAYS(Table1[[#This Row],[Depart]],Table1[[#This Row],[Arrive]])</f>
        <v>3</v>
      </c>
    </row>
    <row r="152" spans="1:21" x14ac:dyDescent="0.25">
      <c r="A152" t="s">
        <v>204</v>
      </c>
      <c r="B152" t="s">
        <v>205</v>
      </c>
      <c r="C152" t="s">
        <v>1175</v>
      </c>
      <c r="D152" s="1">
        <v>43960</v>
      </c>
      <c r="E152" s="1">
        <v>43968</v>
      </c>
      <c r="F152">
        <f t="shared" si="8"/>
        <v>8</v>
      </c>
      <c r="G152" s="1">
        <v>43953</v>
      </c>
      <c r="H152" s="2">
        <v>0.33333333333333331</v>
      </c>
      <c r="I152" s="3">
        <v>1</v>
      </c>
      <c r="J152" t="s">
        <v>1324</v>
      </c>
      <c r="K152" t="s">
        <v>1324</v>
      </c>
      <c r="L152" t="s">
        <v>22</v>
      </c>
      <c r="M152" s="12" t="s">
        <v>23</v>
      </c>
      <c r="N152">
        <v>3</v>
      </c>
      <c r="O152">
        <v>0</v>
      </c>
      <c r="P152" t="s">
        <v>19</v>
      </c>
      <c r="Q152" s="6">
        <v>880</v>
      </c>
      <c r="R152" t="str">
        <f t="shared" si="6"/>
        <v>Keji's 5 Star Short let Apartment in Lekki_x000C_</v>
      </c>
      <c r="S152" t="str">
        <f t="shared" si="7"/>
        <v>Keji's 5 Star Short let Apartment in Lekki</v>
      </c>
      <c r="T152">
        <f>Table1[[#This Row],[Adults]]+Table1[[#This Row],[Children]]</f>
        <v>3</v>
      </c>
      <c r="U152">
        <f>_xlfn.DAYS(Table1[[#This Row],[Depart]],Table1[[#This Row],[Arrive]])</f>
        <v>8</v>
      </c>
    </row>
    <row r="153" spans="1:21" x14ac:dyDescent="0.25">
      <c r="A153" t="s">
        <v>284</v>
      </c>
      <c r="B153" t="s">
        <v>285</v>
      </c>
      <c r="C153" t="s">
        <v>1180</v>
      </c>
      <c r="D153" s="1">
        <v>43960</v>
      </c>
      <c r="E153" s="1">
        <v>43961</v>
      </c>
      <c r="F153">
        <f t="shared" si="8"/>
        <v>1</v>
      </c>
      <c r="G153" s="1">
        <v>43986</v>
      </c>
      <c r="H153" s="2">
        <v>0.58333333333333337</v>
      </c>
      <c r="I153" s="2">
        <v>0.45833333333333331</v>
      </c>
      <c r="J153" t="s">
        <v>1379</v>
      </c>
      <c r="K153" t="s">
        <v>1379</v>
      </c>
      <c r="L153" t="s">
        <v>22</v>
      </c>
      <c r="M153" s="12" t="s">
        <v>23</v>
      </c>
      <c r="N153">
        <v>2</v>
      </c>
      <c r="O153">
        <v>2</v>
      </c>
      <c r="P153" t="s">
        <v>19</v>
      </c>
      <c r="Q153" s="6">
        <v>150</v>
      </c>
      <c r="R153" t="str">
        <f t="shared" si="6"/>
        <v>Zoe's 5 Star Short let Apartment in Lekki_x000C_</v>
      </c>
      <c r="S153" t="str">
        <f t="shared" si="7"/>
        <v>Zoe's 5 Star Short let Apartment in Lekki</v>
      </c>
      <c r="T153">
        <f>Table1[[#This Row],[Adults]]+Table1[[#This Row],[Children]]</f>
        <v>4</v>
      </c>
      <c r="U153">
        <f>_xlfn.DAYS(Table1[[#This Row],[Depart]],Table1[[#This Row],[Arrive]])</f>
        <v>1</v>
      </c>
    </row>
    <row r="154" spans="1:21" x14ac:dyDescent="0.25">
      <c r="A154" t="s">
        <v>284</v>
      </c>
      <c r="B154" t="s">
        <v>285</v>
      </c>
      <c r="C154" t="s">
        <v>1176</v>
      </c>
      <c r="D154" s="1">
        <v>43960</v>
      </c>
      <c r="E154" s="1">
        <v>43961</v>
      </c>
      <c r="F154">
        <f t="shared" si="8"/>
        <v>1</v>
      </c>
      <c r="G154" s="1">
        <v>43970</v>
      </c>
      <c r="H154" s="2">
        <v>0.58333333333333337</v>
      </c>
      <c r="I154" s="2">
        <v>0.45833333333333331</v>
      </c>
      <c r="J154" t="s">
        <v>1623</v>
      </c>
      <c r="K154" t="s">
        <v>1623</v>
      </c>
      <c r="L154" t="s">
        <v>22</v>
      </c>
      <c r="M154" s="12" t="s">
        <v>18</v>
      </c>
      <c r="N154">
        <v>2</v>
      </c>
      <c r="O154">
        <v>2</v>
      </c>
      <c r="P154" t="s">
        <v>19</v>
      </c>
      <c r="Q154" s="6">
        <v>150</v>
      </c>
      <c r="R154" t="str">
        <f t="shared" si="6"/>
        <v>Tiara's Luxury Home Away From Home_x000C_</v>
      </c>
      <c r="S154" t="str">
        <f t="shared" si="7"/>
        <v>Tiara's Luxury Home Away From Home</v>
      </c>
      <c r="T154">
        <f>Table1[[#This Row],[Adults]]+Table1[[#This Row],[Children]]</f>
        <v>4</v>
      </c>
      <c r="U154">
        <f>_xlfn.DAYS(Table1[[#This Row],[Depart]],Table1[[#This Row],[Arrive]])</f>
        <v>1</v>
      </c>
    </row>
    <row r="155" spans="1:21" x14ac:dyDescent="0.25">
      <c r="A155" t="s">
        <v>282</v>
      </c>
      <c r="B155" t="s">
        <v>283</v>
      </c>
      <c r="C155" t="s">
        <v>1180</v>
      </c>
      <c r="D155" s="1">
        <v>43961</v>
      </c>
      <c r="E155" s="1">
        <v>43963</v>
      </c>
      <c r="F155">
        <f t="shared" si="8"/>
        <v>2</v>
      </c>
      <c r="G155" s="1">
        <v>43986</v>
      </c>
      <c r="H155" s="2">
        <v>0.58333333333333337</v>
      </c>
      <c r="I155" s="2">
        <v>0.45833333333333331</v>
      </c>
      <c r="J155" t="s">
        <v>1378</v>
      </c>
      <c r="K155" t="s">
        <v>1378</v>
      </c>
      <c r="L155" t="s">
        <v>22</v>
      </c>
      <c r="M155" s="12" t="s">
        <v>23</v>
      </c>
      <c r="N155">
        <v>3</v>
      </c>
      <c r="O155">
        <v>0</v>
      </c>
      <c r="P155" t="s">
        <v>19</v>
      </c>
      <c r="Q155" s="6">
        <v>300</v>
      </c>
      <c r="R155" t="str">
        <f t="shared" si="6"/>
        <v>Zoe's 5 Star Short let Apartment in Lekki_x000C_</v>
      </c>
      <c r="S155" t="str">
        <f t="shared" si="7"/>
        <v>Zoe's 5 Star Short let Apartment in Lekki</v>
      </c>
      <c r="T155">
        <f>Table1[[#This Row],[Adults]]+Table1[[#This Row],[Children]]</f>
        <v>3</v>
      </c>
      <c r="U155">
        <f>_xlfn.DAYS(Table1[[#This Row],[Depart]],Table1[[#This Row],[Arrive]])</f>
        <v>2</v>
      </c>
    </row>
    <row r="156" spans="1:21" x14ac:dyDescent="0.25">
      <c r="A156" t="s">
        <v>282</v>
      </c>
      <c r="B156" t="s">
        <v>283</v>
      </c>
      <c r="C156" t="s">
        <v>1176</v>
      </c>
      <c r="D156" s="1">
        <v>43961</v>
      </c>
      <c r="E156" s="1">
        <v>43963</v>
      </c>
      <c r="F156">
        <f t="shared" si="8"/>
        <v>2</v>
      </c>
      <c r="G156" s="1">
        <v>43961</v>
      </c>
      <c r="H156" s="2">
        <v>0.58333333333333337</v>
      </c>
      <c r="I156" s="2">
        <v>0.45833333333333331</v>
      </c>
      <c r="J156" t="s">
        <v>1622</v>
      </c>
      <c r="K156" t="s">
        <v>1622</v>
      </c>
      <c r="L156" t="s">
        <v>22</v>
      </c>
      <c r="M156" s="12" t="s">
        <v>18</v>
      </c>
      <c r="N156">
        <v>3</v>
      </c>
      <c r="O156">
        <v>0</v>
      </c>
      <c r="P156" t="s">
        <v>19</v>
      </c>
      <c r="Q156" s="6">
        <v>300</v>
      </c>
      <c r="R156" t="str">
        <f t="shared" si="6"/>
        <v>Tiara's Luxury Home Away From Home_x000C_</v>
      </c>
      <c r="S156" t="str">
        <f t="shared" si="7"/>
        <v>Tiara's Luxury Home Away From Home</v>
      </c>
      <c r="T156">
        <f>Table1[[#This Row],[Adults]]+Table1[[#This Row],[Children]]</f>
        <v>3</v>
      </c>
      <c r="U156">
        <f>_xlfn.DAYS(Table1[[#This Row],[Depart]],Table1[[#This Row],[Arrive]])</f>
        <v>2</v>
      </c>
    </row>
    <row r="157" spans="1:21" x14ac:dyDescent="0.25">
      <c r="A157" t="s">
        <v>202</v>
      </c>
      <c r="B157" t="s">
        <v>203</v>
      </c>
      <c r="C157" t="s">
        <v>1175</v>
      </c>
      <c r="D157" s="1">
        <v>43962</v>
      </c>
      <c r="E157" s="1">
        <v>43964</v>
      </c>
      <c r="F157">
        <f t="shared" si="8"/>
        <v>2</v>
      </c>
      <c r="G157" s="1">
        <v>43952</v>
      </c>
      <c r="H157" s="2">
        <v>0.33333333333333331</v>
      </c>
      <c r="I157" s="3">
        <v>1</v>
      </c>
      <c r="J157" t="s">
        <v>1323</v>
      </c>
      <c r="K157" t="s">
        <v>1323</v>
      </c>
      <c r="L157" t="s">
        <v>26</v>
      </c>
      <c r="M157" s="12" t="s">
        <v>18</v>
      </c>
      <c r="N157">
        <v>2</v>
      </c>
      <c r="O157">
        <v>0</v>
      </c>
      <c r="P157" t="s">
        <v>19</v>
      </c>
      <c r="Q157" s="6">
        <v>213</v>
      </c>
      <c r="R157" t="str">
        <f t="shared" si="6"/>
        <v>Keji's 5 Star Short let Apartment in Lekki_x000C_</v>
      </c>
      <c r="S157" t="str">
        <f t="shared" si="7"/>
        <v>Keji's 5 Star Short let Apartment in Lekki</v>
      </c>
      <c r="T157">
        <f>Table1[[#This Row],[Adults]]+Table1[[#This Row],[Children]]</f>
        <v>2</v>
      </c>
      <c r="U157">
        <f>_xlfn.DAYS(Table1[[#This Row],[Depart]],Table1[[#This Row],[Arrive]])</f>
        <v>2</v>
      </c>
    </row>
    <row r="158" spans="1:21" x14ac:dyDescent="0.25">
      <c r="A158" t="s">
        <v>208</v>
      </c>
      <c r="B158" t="s">
        <v>209</v>
      </c>
      <c r="C158" t="s">
        <v>1179</v>
      </c>
      <c r="D158" s="1">
        <v>43962</v>
      </c>
      <c r="E158" s="1">
        <v>43968</v>
      </c>
      <c r="F158">
        <f t="shared" si="8"/>
        <v>6</v>
      </c>
      <c r="G158" s="1">
        <v>43953</v>
      </c>
      <c r="H158" s="2">
        <v>0.33333333333333331</v>
      </c>
      <c r="I158" s="3">
        <v>1</v>
      </c>
      <c r="J158" t="s">
        <v>1327</v>
      </c>
      <c r="K158" t="s">
        <v>1327</v>
      </c>
      <c r="L158" t="s">
        <v>22</v>
      </c>
      <c r="M158" s="12" t="s">
        <v>23</v>
      </c>
      <c r="N158">
        <v>4</v>
      </c>
      <c r="O158">
        <v>0</v>
      </c>
      <c r="P158" t="s">
        <v>19</v>
      </c>
      <c r="Q158" s="6">
        <v>660</v>
      </c>
      <c r="R158" t="str">
        <f t="shared" si="6"/>
        <v>Phiola's 5 Star Short Let Apartment in Lekki_x000C_</v>
      </c>
      <c r="S158" t="str">
        <f t="shared" si="7"/>
        <v>Phiola's 5 Star Short Let Apartment in Lekki</v>
      </c>
      <c r="T158">
        <f>Table1[[#This Row],[Adults]]+Table1[[#This Row],[Children]]</f>
        <v>4</v>
      </c>
      <c r="U158">
        <f>_xlfn.DAYS(Table1[[#This Row],[Depart]],Table1[[#This Row],[Arrive]])</f>
        <v>6</v>
      </c>
    </row>
    <row r="159" spans="1:21" x14ac:dyDescent="0.25">
      <c r="A159" t="s">
        <v>274</v>
      </c>
      <c r="B159" t="s">
        <v>275</v>
      </c>
      <c r="C159" t="s">
        <v>1180</v>
      </c>
      <c r="D159" s="1">
        <v>43967</v>
      </c>
      <c r="E159" s="1">
        <v>43968</v>
      </c>
      <c r="F159">
        <f t="shared" si="8"/>
        <v>1</v>
      </c>
      <c r="G159" s="1">
        <v>43986</v>
      </c>
      <c r="H159" s="2">
        <v>8.3333333333333329E-2</v>
      </c>
      <c r="I159" s="2">
        <v>0.45833333333333331</v>
      </c>
      <c r="J159" t="s">
        <v>1372</v>
      </c>
      <c r="K159" t="s">
        <v>1372</v>
      </c>
      <c r="L159" t="s">
        <v>22</v>
      </c>
      <c r="M159" s="12" t="s">
        <v>23</v>
      </c>
      <c r="N159">
        <v>4</v>
      </c>
      <c r="O159">
        <v>0</v>
      </c>
      <c r="P159" t="s">
        <v>19</v>
      </c>
      <c r="Q159" s="6">
        <v>150</v>
      </c>
      <c r="R159" t="str">
        <f t="shared" si="6"/>
        <v>Zoe's 5 Star Short let Apartment in Lekki_x000C_</v>
      </c>
      <c r="S159" t="str">
        <f t="shared" si="7"/>
        <v>Zoe's 5 Star Short let Apartment in Lekki</v>
      </c>
      <c r="T159">
        <f>Table1[[#This Row],[Adults]]+Table1[[#This Row],[Children]]</f>
        <v>4</v>
      </c>
      <c r="U159">
        <f>_xlfn.DAYS(Table1[[#This Row],[Depart]],Table1[[#This Row],[Arrive]])</f>
        <v>1</v>
      </c>
    </row>
    <row r="160" spans="1:21" x14ac:dyDescent="0.25">
      <c r="A160" t="s">
        <v>274</v>
      </c>
      <c r="B160" t="s">
        <v>275</v>
      </c>
      <c r="C160" t="s">
        <v>1176</v>
      </c>
      <c r="D160" s="1">
        <v>43967</v>
      </c>
      <c r="E160" s="1">
        <v>43968</v>
      </c>
      <c r="F160">
        <f t="shared" si="8"/>
        <v>1</v>
      </c>
      <c r="G160" s="1">
        <v>43963</v>
      </c>
      <c r="H160" s="2">
        <v>0.58333333333333337</v>
      </c>
      <c r="I160" s="2">
        <v>0.45833333333333331</v>
      </c>
      <c r="J160" t="s">
        <v>1382</v>
      </c>
      <c r="K160" t="s">
        <v>1382</v>
      </c>
      <c r="L160" t="s">
        <v>22</v>
      </c>
      <c r="M160" s="12" t="s">
        <v>18</v>
      </c>
      <c r="N160">
        <v>4</v>
      </c>
      <c r="O160">
        <v>0</v>
      </c>
      <c r="P160" t="s">
        <v>19</v>
      </c>
      <c r="Q160" s="6">
        <v>150</v>
      </c>
      <c r="R160" t="str">
        <f t="shared" si="6"/>
        <v>Tiara's Luxury Home Away From Home_x000C_</v>
      </c>
      <c r="S160" t="str">
        <f t="shared" si="7"/>
        <v>Tiara's Luxury Home Away From Home</v>
      </c>
      <c r="T160">
        <f>Table1[[#This Row],[Adults]]+Table1[[#This Row],[Children]]</f>
        <v>4</v>
      </c>
      <c r="U160">
        <f>_xlfn.DAYS(Table1[[#This Row],[Depart]],Table1[[#This Row],[Arrive]])</f>
        <v>1</v>
      </c>
    </row>
    <row r="161" spans="1:21" x14ac:dyDescent="0.25">
      <c r="A161" t="s">
        <v>204</v>
      </c>
      <c r="B161" t="s">
        <v>205</v>
      </c>
      <c r="C161" t="s">
        <v>1179</v>
      </c>
      <c r="D161" s="1">
        <v>43968</v>
      </c>
      <c r="E161" s="1">
        <v>43983</v>
      </c>
      <c r="F161">
        <f t="shared" si="8"/>
        <v>15</v>
      </c>
      <c r="G161" s="1">
        <v>43953</v>
      </c>
      <c r="H161" s="2">
        <v>0.33333333333333331</v>
      </c>
      <c r="I161" s="3">
        <v>1</v>
      </c>
      <c r="J161" t="s">
        <v>1326</v>
      </c>
      <c r="K161" t="s">
        <v>1326</v>
      </c>
      <c r="L161" t="s">
        <v>22</v>
      </c>
      <c r="M161" s="12" t="s">
        <v>23</v>
      </c>
      <c r="N161">
        <v>3</v>
      </c>
      <c r="O161">
        <v>0</v>
      </c>
      <c r="P161" t="s">
        <v>19</v>
      </c>
      <c r="Q161" s="6">
        <v>1650</v>
      </c>
      <c r="R161" t="str">
        <f t="shared" si="6"/>
        <v>Phiola's 5 Star Short Let Apartment in Lekki_x000C_</v>
      </c>
      <c r="S161" t="str">
        <f t="shared" si="7"/>
        <v>Phiola's 5 Star Short Let Apartment in Lekki</v>
      </c>
      <c r="T161">
        <f>Table1[[#This Row],[Adults]]+Table1[[#This Row],[Children]]</f>
        <v>3</v>
      </c>
      <c r="U161">
        <f>_xlfn.DAYS(Table1[[#This Row],[Depart]],Table1[[#This Row],[Arrive]])</f>
        <v>15</v>
      </c>
    </row>
    <row r="162" spans="1:21" x14ac:dyDescent="0.25">
      <c r="A162" t="s">
        <v>110</v>
      </c>
      <c r="B162" t="s">
        <v>111</v>
      </c>
      <c r="C162" t="s">
        <v>1175</v>
      </c>
      <c r="D162" s="1">
        <v>43968</v>
      </c>
      <c r="E162" s="1">
        <v>43977</v>
      </c>
      <c r="F162">
        <f t="shared" si="8"/>
        <v>9</v>
      </c>
      <c r="G162" s="1">
        <v>43951</v>
      </c>
      <c r="H162" s="2">
        <v>0.33333333333333331</v>
      </c>
      <c r="I162" s="3">
        <v>1</v>
      </c>
      <c r="J162" t="s">
        <v>1341</v>
      </c>
      <c r="K162" t="s">
        <v>1341</v>
      </c>
      <c r="L162" t="s">
        <v>22</v>
      </c>
      <c r="M162" s="12" t="s">
        <v>18</v>
      </c>
      <c r="N162">
        <v>3</v>
      </c>
      <c r="O162">
        <v>0</v>
      </c>
      <c r="P162" t="s">
        <v>19</v>
      </c>
      <c r="Q162" s="6">
        <v>990</v>
      </c>
      <c r="R162" t="str">
        <f t="shared" si="6"/>
        <v>Keji's 5 Star Short let Apartment in Lekki_x000C_</v>
      </c>
      <c r="S162" t="str">
        <f t="shared" si="7"/>
        <v>Keji's 5 Star Short let Apartment in Lekki</v>
      </c>
      <c r="T162">
        <f>Table1[[#This Row],[Adults]]+Table1[[#This Row],[Children]]</f>
        <v>3</v>
      </c>
      <c r="U162">
        <f>_xlfn.DAYS(Table1[[#This Row],[Depart]],Table1[[#This Row],[Arrive]])</f>
        <v>9</v>
      </c>
    </row>
    <row r="163" spans="1:21" x14ac:dyDescent="0.25">
      <c r="A163" t="s">
        <v>234</v>
      </c>
      <c r="B163" t="s">
        <v>235</v>
      </c>
      <c r="C163" t="s">
        <v>1173</v>
      </c>
      <c r="D163" s="1">
        <v>43968</v>
      </c>
      <c r="E163" s="1">
        <v>43976</v>
      </c>
      <c r="F163">
        <f t="shared" si="8"/>
        <v>8</v>
      </c>
      <c r="G163" s="1">
        <v>43960</v>
      </c>
      <c r="H163" s="2">
        <v>0.33333333333333331</v>
      </c>
      <c r="I163" s="3">
        <v>1</v>
      </c>
      <c r="J163" t="s">
        <v>1342</v>
      </c>
      <c r="K163" t="s">
        <v>1342</v>
      </c>
      <c r="L163" t="s">
        <v>22</v>
      </c>
      <c r="M163" s="12" t="s">
        <v>18</v>
      </c>
      <c r="N163">
        <v>3</v>
      </c>
      <c r="O163">
        <v>0</v>
      </c>
      <c r="P163" t="s">
        <v>19</v>
      </c>
      <c r="Q163" s="6">
        <v>880</v>
      </c>
      <c r="R163" t="str">
        <f t="shared" si="6"/>
        <v xml:space="preserve"> The Daniels 5 Star Short Let Apartment in Lekki_x000C_</v>
      </c>
      <c r="S163" t="str">
        <f t="shared" si="7"/>
        <v xml:space="preserve"> The Daniels 5 Star Short Let Apartment in Lekki</v>
      </c>
      <c r="T163">
        <f>Table1[[#This Row],[Adults]]+Table1[[#This Row],[Children]]</f>
        <v>3</v>
      </c>
      <c r="U163">
        <f>_xlfn.DAYS(Table1[[#This Row],[Depart]],Table1[[#This Row],[Arrive]])</f>
        <v>8</v>
      </c>
    </row>
    <row r="164" spans="1:21" x14ac:dyDescent="0.25">
      <c r="A164" t="s">
        <v>234</v>
      </c>
      <c r="B164" t="s">
        <v>235</v>
      </c>
      <c r="C164" t="s">
        <v>1175</v>
      </c>
      <c r="D164" s="1">
        <v>43968</v>
      </c>
      <c r="E164" s="1">
        <v>43977</v>
      </c>
      <c r="F164">
        <f t="shared" si="8"/>
        <v>9</v>
      </c>
      <c r="G164" s="1">
        <v>43967</v>
      </c>
      <c r="H164" s="2">
        <v>0.33333333333333331</v>
      </c>
      <c r="I164" s="3">
        <v>1</v>
      </c>
      <c r="J164" t="s">
        <v>1347</v>
      </c>
      <c r="K164" t="s">
        <v>1347</v>
      </c>
      <c r="L164" t="s">
        <v>22</v>
      </c>
      <c r="M164" s="12" t="s">
        <v>23</v>
      </c>
      <c r="N164">
        <v>3</v>
      </c>
      <c r="O164">
        <v>0</v>
      </c>
      <c r="P164" t="s">
        <v>19</v>
      </c>
      <c r="Q164" s="6">
        <v>990</v>
      </c>
      <c r="R164" t="str">
        <f t="shared" si="6"/>
        <v>Keji's 5 Star Short let Apartment in Lekki_x000C_</v>
      </c>
      <c r="S164" t="str">
        <f t="shared" si="7"/>
        <v>Keji's 5 Star Short let Apartment in Lekki</v>
      </c>
      <c r="T164">
        <f>Table1[[#This Row],[Adults]]+Table1[[#This Row],[Children]]</f>
        <v>3</v>
      </c>
      <c r="U164">
        <f>_xlfn.DAYS(Table1[[#This Row],[Depart]],Table1[[#This Row],[Arrive]])</f>
        <v>9</v>
      </c>
    </row>
    <row r="165" spans="1:21" x14ac:dyDescent="0.25">
      <c r="A165" t="s">
        <v>276</v>
      </c>
      <c r="B165" t="s">
        <v>277</v>
      </c>
      <c r="C165" t="s">
        <v>1180</v>
      </c>
      <c r="D165" s="1">
        <v>43968</v>
      </c>
      <c r="E165" s="1">
        <v>43969</v>
      </c>
      <c r="F165">
        <f t="shared" si="8"/>
        <v>1</v>
      </c>
      <c r="G165" s="1">
        <v>43986</v>
      </c>
      <c r="H165" s="2">
        <v>0.58333333333333337</v>
      </c>
      <c r="I165" s="2">
        <v>0.45833333333333331</v>
      </c>
      <c r="J165" t="s">
        <v>1373</v>
      </c>
      <c r="K165" t="s">
        <v>1373</v>
      </c>
      <c r="L165" t="s">
        <v>22</v>
      </c>
      <c r="M165" s="12" t="s">
        <v>23</v>
      </c>
      <c r="N165">
        <v>3</v>
      </c>
      <c r="O165">
        <v>0</v>
      </c>
      <c r="P165" t="s">
        <v>19</v>
      </c>
      <c r="Q165" s="6">
        <v>150</v>
      </c>
      <c r="R165" t="str">
        <f t="shared" si="6"/>
        <v>Zoe's 5 Star Short let Apartment in Lekki_x000C_</v>
      </c>
      <c r="S165" t="str">
        <f t="shared" si="7"/>
        <v>Zoe's 5 Star Short let Apartment in Lekki</v>
      </c>
      <c r="T165">
        <f>Table1[[#This Row],[Adults]]+Table1[[#This Row],[Children]]</f>
        <v>3</v>
      </c>
      <c r="U165">
        <f>_xlfn.DAYS(Table1[[#This Row],[Depart]],Table1[[#This Row],[Arrive]])</f>
        <v>1</v>
      </c>
    </row>
    <row r="166" spans="1:21" x14ac:dyDescent="0.25">
      <c r="A166" t="s">
        <v>276</v>
      </c>
      <c r="B166" t="s">
        <v>277</v>
      </c>
      <c r="C166" t="s">
        <v>1176</v>
      </c>
      <c r="D166" s="1">
        <v>43968</v>
      </c>
      <c r="E166" s="1">
        <v>43969</v>
      </c>
      <c r="F166">
        <f t="shared" si="8"/>
        <v>1</v>
      </c>
      <c r="G166" s="1">
        <v>43963</v>
      </c>
      <c r="H166" s="2">
        <v>0.58333333333333337</v>
      </c>
      <c r="I166" s="2">
        <v>0.45833333333333331</v>
      </c>
      <c r="J166" t="s">
        <v>1383</v>
      </c>
      <c r="K166" t="s">
        <v>1383</v>
      </c>
      <c r="L166" t="s">
        <v>22</v>
      </c>
      <c r="M166" s="12" t="s">
        <v>18</v>
      </c>
      <c r="N166">
        <v>3</v>
      </c>
      <c r="O166">
        <v>0</v>
      </c>
      <c r="P166" t="s">
        <v>19</v>
      </c>
      <c r="Q166" s="6">
        <v>150</v>
      </c>
      <c r="R166" t="str">
        <f t="shared" si="6"/>
        <v>Tiara's Luxury Home Away From Home_x000C_</v>
      </c>
      <c r="S166" t="str">
        <f t="shared" si="7"/>
        <v>Tiara's Luxury Home Away From Home</v>
      </c>
      <c r="T166">
        <f>Table1[[#This Row],[Adults]]+Table1[[#This Row],[Children]]</f>
        <v>3</v>
      </c>
      <c r="U166">
        <f>_xlfn.DAYS(Table1[[#This Row],[Depart]],Table1[[#This Row],[Arrive]])</f>
        <v>1</v>
      </c>
    </row>
    <row r="167" spans="1:21" x14ac:dyDescent="0.25">
      <c r="A167" t="s">
        <v>272</v>
      </c>
      <c r="B167" t="s">
        <v>273</v>
      </c>
      <c r="C167" t="s">
        <v>1180</v>
      </c>
      <c r="D167" s="1">
        <v>43969</v>
      </c>
      <c r="E167" s="1">
        <v>43970</v>
      </c>
      <c r="F167">
        <f t="shared" si="8"/>
        <v>1</v>
      </c>
      <c r="G167" s="1">
        <v>43986</v>
      </c>
      <c r="H167" s="2">
        <v>0.58333333333333337</v>
      </c>
      <c r="I167" s="2">
        <v>0.5</v>
      </c>
      <c r="J167" t="s">
        <v>1371</v>
      </c>
      <c r="K167" t="s">
        <v>1371</v>
      </c>
      <c r="L167" t="s">
        <v>22</v>
      </c>
      <c r="M167" s="12" t="s">
        <v>23</v>
      </c>
      <c r="N167">
        <v>3</v>
      </c>
      <c r="O167">
        <v>0</v>
      </c>
      <c r="P167" t="s">
        <v>19</v>
      </c>
      <c r="Q167" s="6">
        <v>150</v>
      </c>
      <c r="R167" t="str">
        <f t="shared" si="6"/>
        <v>Zoe's 5 Star Short let Apartment in Lekki_x000C_</v>
      </c>
      <c r="S167" t="str">
        <f t="shared" si="7"/>
        <v>Zoe's 5 Star Short let Apartment in Lekki</v>
      </c>
      <c r="T167">
        <f>Table1[[#This Row],[Adults]]+Table1[[#This Row],[Children]]</f>
        <v>3</v>
      </c>
      <c r="U167">
        <f>_xlfn.DAYS(Table1[[#This Row],[Depart]],Table1[[#This Row],[Arrive]])</f>
        <v>1</v>
      </c>
    </row>
    <row r="168" spans="1:21" x14ac:dyDescent="0.25">
      <c r="A168" t="s">
        <v>272</v>
      </c>
      <c r="B168" t="s">
        <v>273</v>
      </c>
      <c r="C168" t="s">
        <v>1176</v>
      </c>
      <c r="D168" s="1">
        <v>43969</v>
      </c>
      <c r="E168" s="1">
        <v>43970</v>
      </c>
      <c r="F168">
        <f t="shared" si="8"/>
        <v>1</v>
      </c>
      <c r="G168" s="1">
        <v>43963</v>
      </c>
      <c r="H168" s="2">
        <v>0.58333333333333337</v>
      </c>
      <c r="I168" s="2">
        <v>0.45833333333333331</v>
      </c>
      <c r="J168" t="s">
        <v>1384</v>
      </c>
      <c r="K168" t="s">
        <v>1384</v>
      </c>
      <c r="L168" t="s">
        <v>22</v>
      </c>
      <c r="M168" s="12" t="s">
        <v>18</v>
      </c>
      <c r="N168">
        <v>3</v>
      </c>
      <c r="O168">
        <v>0</v>
      </c>
      <c r="P168" t="s">
        <v>19</v>
      </c>
      <c r="Q168" s="6">
        <v>150</v>
      </c>
      <c r="R168" t="str">
        <f t="shared" si="6"/>
        <v>Tiara's Luxury Home Away From Home_x000C_</v>
      </c>
      <c r="S168" t="str">
        <f t="shared" si="7"/>
        <v>Tiara's Luxury Home Away From Home</v>
      </c>
      <c r="T168">
        <f>Table1[[#This Row],[Adults]]+Table1[[#This Row],[Children]]</f>
        <v>3</v>
      </c>
      <c r="U168">
        <f>_xlfn.DAYS(Table1[[#This Row],[Depart]],Table1[[#This Row],[Arrive]])</f>
        <v>1</v>
      </c>
    </row>
    <row r="169" spans="1:21" x14ac:dyDescent="0.25">
      <c r="A169" t="s">
        <v>130</v>
      </c>
      <c r="B169" t="s">
        <v>131</v>
      </c>
      <c r="C169" t="s">
        <v>1175</v>
      </c>
      <c r="D169" s="1">
        <v>43970</v>
      </c>
      <c r="E169" s="1">
        <v>43977</v>
      </c>
      <c r="F169">
        <f t="shared" si="8"/>
        <v>7</v>
      </c>
      <c r="G169" s="1">
        <v>43918</v>
      </c>
      <c r="H169" s="2">
        <v>0.33333333333333331</v>
      </c>
      <c r="I169" s="3">
        <v>1</v>
      </c>
      <c r="J169" t="s">
        <v>1328</v>
      </c>
      <c r="K169" t="s">
        <v>1328</v>
      </c>
      <c r="L169" t="s">
        <v>22</v>
      </c>
      <c r="M169" s="12" t="s">
        <v>18</v>
      </c>
      <c r="N169">
        <v>4</v>
      </c>
      <c r="O169">
        <v>2</v>
      </c>
      <c r="P169" t="s">
        <v>19</v>
      </c>
      <c r="Q169" s="6">
        <v>770</v>
      </c>
      <c r="R169" t="str">
        <f t="shared" si="6"/>
        <v>Keji's 5 Star Short let Apartment in Lekki_x000C_</v>
      </c>
      <c r="S169" t="str">
        <f t="shared" si="7"/>
        <v>Keji's 5 Star Short let Apartment in Lekki</v>
      </c>
      <c r="T169">
        <f>Table1[[#This Row],[Adults]]+Table1[[#This Row],[Children]]</f>
        <v>6</v>
      </c>
      <c r="U169">
        <f>_xlfn.DAYS(Table1[[#This Row],[Depart]],Table1[[#This Row],[Arrive]])</f>
        <v>7</v>
      </c>
    </row>
    <row r="170" spans="1:21" x14ac:dyDescent="0.25">
      <c r="A170" t="s">
        <v>228</v>
      </c>
      <c r="B170" t="s">
        <v>229</v>
      </c>
      <c r="C170" t="s">
        <v>1176</v>
      </c>
      <c r="D170" s="1">
        <v>43972</v>
      </c>
      <c r="E170" s="1">
        <v>43975</v>
      </c>
      <c r="F170">
        <f t="shared" si="8"/>
        <v>3</v>
      </c>
      <c r="G170" s="1">
        <v>43963</v>
      </c>
      <c r="H170" s="2">
        <v>0.58333333333333337</v>
      </c>
      <c r="I170" s="2">
        <v>0.45833333333333331</v>
      </c>
      <c r="J170" t="s">
        <v>1338</v>
      </c>
      <c r="K170" t="s">
        <v>1338</v>
      </c>
      <c r="L170" t="s">
        <v>35</v>
      </c>
      <c r="M170" s="12" t="s">
        <v>18</v>
      </c>
      <c r="N170">
        <v>3</v>
      </c>
      <c r="O170">
        <v>0</v>
      </c>
      <c r="P170" t="s">
        <v>19</v>
      </c>
      <c r="Q170" s="6">
        <v>450</v>
      </c>
      <c r="R170" t="str">
        <f t="shared" si="6"/>
        <v>Tiara's Luxury Home Away From Home_x000C_</v>
      </c>
      <c r="S170" t="str">
        <f t="shared" si="7"/>
        <v>Tiara's Luxury Home Away From Home</v>
      </c>
      <c r="T170">
        <f>Table1[[#This Row],[Adults]]+Table1[[#This Row],[Children]]</f>
        <v>3</v>
      </c>
      <c r="U170">
        <f>_xlfn.DAYS(Table1[[#This Row],[Depart]],Table1[[#This Row],[Arrive]])</f>
        <v>3</v>
      </c>
    </row>
    <row r="171" spans="1:21" x14ac:dyDescent="0.25">
      <c r="A171" t="s">
        <v>228</v>
      </c>
      <c r="B171" t="s">
        <v>229</v>
      </c>
      <c r="C171" t="s">
        <v>1180</v>
      </c>
      <c r="D171" s="1">
        <v>43972</v>
      </c>
      <c r="E171" s="1">
        <v>43975</v>
      </c>
      <c r="F171">
        <f t="shared" si="8"/>
        <v>3</v>
      </c>
      <c r="G171" s="1">
        <v>43986</v>
      </c>
      <c r="H171" s="2">
        <v>0.58333333333333337</v>
      </c>
      <c r="I171" s="2">
        <v>0.45833333333333331</v>
      </c>
      <c r="J171" t="s">
        <v>1374</v>
      </c>
      <c r="K171" t="s">
        <v>1374</v>
      </c>
      <c r="L171" t="s">
        <v>22</v>
      </c>
      <c r="M171" s="12" t="s">
        <v>23</v>
      </c>
      <c r="N171">
        <v>3</v>
      </c>
      <c r="O171">
        <v>0</v>
      </c>
      <c r="P171" t="s">
        <v>19</v>
      </c>
      <c r="Q171" s="6">
        <v>150</v>
      </c>
      <c r="R171" t="str">
        <f t="shared" si="6"/>
        <v>Zoe's 5 Star Short let Apartment in Lekki_x000C_</v>
      </c>
      <c r="S171" t="str">
        <f t="shared" si="7"/>
        <v>Zoe's 5 Star Short let Apartment in Lekki</v>
      </c>
      <c r="T171">
        <f>Table1[[#This Row],[Adults]]+Table1[[#This Row],[Children]]</f>
        <v>3</v>
      </c>
      <c r="U171">
        <f>_xlfn.DAYS(Table1[[#This Row],[Depart]],Table1[[#This Row],[Arrive]])</f>
        <v>3</v>
      </c>
    </row>
    <row r="172" spans="1:21" x14ac:dyDescent="0.25">
      <c r="A172" t="s">
        <v>228</v>
      </c>
      <c r="B172" t="s">
        <v>229</v>
      </c>
      <c r="C172" t="s">
        <v>1176</v>
      </c>
      <c r="D172" s="1">
        <v>43972</v>
      </c>
      <c r="E172" s="1">
        <v>43975</v>
      </c>
      <c r="F172">
        <f t="shared" si="8"/>
        <v>3</v>
      </c>
      <c r="G172" s="1">
        <v>43964</v>
      </c>
      <c r="H172" s="2">
        <v>0.58333333333333337</v>
      </c>
      <c r="I172" s="2">
        <v>0.45833333333333331</v>
      </c>
      <c r="J172" t="s">
        <v>1385</v>
      </c>
      <c r="K172" t="s">
        <v>1385</v>
      </c>
      <c r="L172" t="s">
        <v>22</v>
      </c>
      <c r="M172" s="12" t="s">
        <v>18</v>
      </c>
      <c r="N172">
        <v>3</v>
      </c>
      <c r="O172">
        <v>0</v>
      </c>
      <c r="P172" t="s">
        <v>19</v>
      </c>
      <c r="Q172" s="6">
        <v>450</v>
      </c>
      <c r="R172" t="str">
        <f t="shared" si="6"/>
        <v>Tiara's Luxury Home Away From Home_x000C_</v>
      </c>
      <c r="S172" t="str">
        <f t="shared" si="7"/>
        <v>Tiara's Luxury Home Away From Home</v>
      </c>
      <c r="T172">
        <f>Table1[[#This Row],[Adults]]+Table1[[#This Row],[Children]]</f>
        <v>3</v>
      </c>
      <c r="U172">
        <f>_xlfn.DAYS(Table1[[#This Row],[Depart]],Table1[[#This Row],[Arrive]])</f>
        <v>3</v>
      </c>
    </row>
    <row r="173" spans="1:21" x14ac:dyDescent="0.25">
      <c r="A173" t="s">
        <v>226</v>
      </c>
      <c r="B173" t="s">
        <v>227</v>
      </c>
      <c r="C173" t="s">
        <v>1176</v>
      </c>
      <c r="D173" s="1">
        <v>43975</v>
      </c>
      <c r="E173" s="1">
        <v>43978</v>
      </c>
      <c r="F173">
        <f t="shared" si="8"/>
        <v>3</v>
      </c>
      <c r="G173" s="1">
        <v>43964</v>
      </c>
      <c r="H173" s="2">
        <v>0.58333333333333337</v>
      </c>
      <c r="I173" s="2">
        <v>0.45833333333333331</v>
      </c>
      <c r="J173" t="s">
        <v>1337</v>
      </c>
      <c r="K173" t="s">
        <v>1337</v>
      </c>
      <c r="L173" t="s">
        <v>22</v>
      </c>
      <c r="M173" s="12" t="s">
        <v>18</v>
      </c>
      <c r="N173">
        <v>3</v>
      </c>
      <c r="O173">
        <v>0</v>
      </c>
      <c r="P173" t="s">
        <v>19</v>
      </c>
      <c r="Q173" s="6">
        <v>450</v>
      </c>
      <c r="R173" t="str">
        <f t="shared" si="6"/>
        <v>Tiara's Luxury Home Away From Home_x000C_</v>
      </c>
      <c r="S173" t="str">
        <f t="shared" si="7"/>
        <v>Tiara's Luxury Home Away From Home</v>
      </c>
      <c r="T173">
        <f>Table1[[#This Row],[Adults]]+Table1[[#This Row],[Children]]</f>
        <v>3</v>
      </c>
      <c r="U173">
        <f>_xlfn.DAYS(Table1[[#This Row],[Depart]],Table1[[#This Row],[Arrive]])</f>
        <v>3</v>
      </c>
    </row>
    <row r="174" spans="1:21" x14ac:dyDescent="0.25">
      <c r="A174" t="s">
        <v>278</v>
      </c>
      <c r="B174" t="s">
        <v>279</v>
      </c>
      <c r="C174" t="s">
        <v>1180</v>
      </c>
      <c r="D174" s="1">
        <v>43975</v>
      </c>
      <c r="E174" s="1">
        <v>43978</v>
      </c>
      <c r="F174">
        <f t="shared" si="8"/>
        <v>3</v>
      </c>
      <c r="G174" s="1">
        <v>43986</v>
      </c>
      <c r="H174" s="2">
        <v>0.58333333333333337</v>
      </c>
      <c r="I174" s="2">
        <v>0.45833333333333331</v>
      </c>
      <c r="J174" t="s">
        <v>1375</v>
      </c>
      <c r="K174" t="s">
        <v>1375</v>
      </c>
      <c r="L174" t="s">
        <v>22</v>
      </c>
      <c r="M174" s="12" t="s">
        <v>23</v>
      </c>
      <c r="N174">
        <v>3</v>
      </c>
      <c r="O174">
        <v>0</v>
      </c>
      <c r="P174" t="s">
        <v>19</v>
      </c>
      <c r="Q174" s="6">
        <v>150</v>
      </c>
      <c r="R174" t="str">
        <f t="shared" si="6"/>
        <v>Zoe's 5 Star Short let Apartment in Lekki_x000C_</v>
      </c>
      <c r="S174" t="str">
        <f t="shared" si="7"/>
        <v>Zoe's 5 Star Short let Apartment in Lekki</v>
      </c>
      <c r="T174">
        <f>Table1[[#This Row],[Adults]]+Table1[[#This Row],[Children]]</f>
        <v>3</v>
      </c>
      <c r="U174">
        <f>_xlfn.DAYS(Table1[[#This Row],[Depart]],Table1[[#This Row],[Arrive]])</f>
        <v>3</v>
      </c>
    </row>
    <row r="175" spans="1:21" x14ac:dyDescent="0.25">
      <c r="A175" t="s">
        <v>278</v>
      </c>
      <c r="B175" t="s">
        <v>279</v>
      </c>
      <c r="C175" t="s">
        <v>1176</v>
      </c>
      <c r="D175" s="1">
        <v>43975</v>
      </c>
      <c r="E175" s="1">
        <v>43978</v>
      </c>
      <c r="F175">
        <f t="shared" si="8"/>
        <v>3</v>
      </c>
      <c r="G175" s="1">
        <v>43964</v>
      </c>
      <c r="H175" s="2">
        <v>0.58333333333333337</v>
      </c>
      <c r="I175" s="2">
        <v>0.45833333333333331</v>
      </c>
      <c r="J175" t="s">
        <v>1386</v>
      </c>
      <c r="K175" t="s">
        <v>1386</v>
      </c>
      <c r="L175" t="s">
        <v>22</v>
      </c>
      <c r="M175" s="12" t="s">
        <v>18</v>
      </c>
      <c r="N175">
        <v>3</v>
      </c>
      <c r="O175">
        <v>0</v>
      </c>
      <c r="P175" t="s">
        <v>19</v>
      </c>
      <c r="Q175" s="6">
        <v>450</v>
      </c>
      <c r="R175" t="str">
        <f t="shared" si="6"/>
        <v>Tiara's Luxury Home Away From Home_x000C_</v>
      </c>
      <c r="S175" t="str">
        <f t="shared" si="7"/>
        <v>Tiara's Luxury Home Away From Home</v>
      </c>
      <c r="T175">
        <f>Table1[[#This Row],[Adults]]+Table1[[#This Row],[Children]]</f>
        <v>3</v>
      </c>
      <c r="U175">
        <f>_xlfn.DAYS(Table1[[#This Row],[Depart]],Table1[[#This Row],[Arrive]])</f>
        <v>3</v>
      </c>
    </row>
    <row r="176" spans="1:21" x14ac:dyDescent="0.25">
      <c r="A176" t="s">
        <v>206</v>
      </c>
      <c r="B176" t="s">
        <v>207</v>
      </c>
      <c r="C176" t="s">
        <v>1179</v>
      </c>
      <c r="D176" s="1">
        <v>43976</v>
      </c>
      <c r="E176" s="1">
        <v>43983</v>
      </c>
      <c r="F176">
        <f t="shared" si="8"/>
        <v>7</v>
      </c>
      <c r="G176" s="1">
        <v>43951</v>
      </c>
      <c r="H176" s="2">
        <v>0.33333333333333331</v>
      </c>
      <c r="I176" s="3">
        <v>1</v>
      </c>
      <c r="J176" t="s">
        <v>1325</v>
      </c>
      <c r="K176" t="s">
        <v>1325</v>
      </c>
      <c r="L176" t="s">
        <v>22</v>
      </c>
      <c r="M176" s="12" t="s">
        <v>18</v>
      </c>
      <c r="N176">
        <v>4</v>
      </c>
      <c r="O176">
        <v>0</v>
      </c>
      <c r="P176" t="s">
        <v>19</v>
      </c>
      <c r="Q176" s="6">
        <v>770</v>
      </c>
      <c r="R176" t="str">
        <f t="shared" si="6"/>
        <v>Phiola's 5 Star Short Let Apartment in Lekki_x000C_</v>
      </c>
      <c r="S176" t="str">
        <f t="shared" si="7"/>
        <v>Phiola's 5 Star Short Let Apartment in Lekki</v>
      </c>
      <c r="T176">
        <f>Table1[[#This Row],[Adults]]+Table1[[#This Row],[Children]]</f>
        <v>4</v>
      </c>
      <c r="U176">
        <f>_xlfn.DAYS(Table1[[#This Row],[Depart]],Table1[[#This Row],[Arrive]])</f>
        <v>7</v>
      </c>
    </row>
    <row r="177" spans="1:21" x14ac:dyDescent="0.25">
      <c r="A177" t="s">
        <v>110</v>
      </c>
      <c r="B177" t="s">
        <v>111</v>
      </c>
      <c r="C177" t="s">
        <v>1175</v>
      </c>
      <c r="D177" s="1">
        <v>43977</v>
      </c>
      <c r="E177" s="1">
        <v>43983</v>
      </c>
      <c r="F177">
        <f t="shared" si="8"/>
        <v>6</v>
      </c>
      <c r="G177" s="1">
        <v>43951</v>
      </c>
      <c r="H177" s="2">
        <v>0.33333333333333331</v>
      </c>
      <c r="I177" s="3">
        <v>1</v>
      </c>
      <c r="J177" t="s">
        <v>1344</v>
      </c>
      <c r="K177" t="s">
        <v>1344</v>
      </c>
      <c r="L177" t="s">
        <v>22</v>
      </c>
      <c r="M177" s="12" t="s">
        <v>18</v>
      </c>
      <c r="N177">
        <v>3</v>
      </c>
      <c r="O177">
        <v>0</v>
      </c>
      <c r="P177" t="s">
        <v>19</v>
      </c>
      <c r="Q177" s="6">
        <v>660</v>
      </c>
      <c r="R177" t="str">
        <f t="shared" si="6"/>
        <v>Keji's 5 Star Short let Apartment in Lekki_x000C_</v>
      </c>
      <c r="S177" t="str">
        <f t="shared" si="7"/>
        <v>Keji's 5 Star Short let Apartment in Lekki</v>
      </c>
      <c r="T177">
        <f>Table1[[#This Row],[Adults]]+Table1[[#This Row],[Children]]</f>
        <v>3</v>
      </c>
      <c r="U177">
        <f>_xlfn.DAYS(Table1[[#This Row],[Depart]],Table1[[#This Row],[Arrive]])</f>
        <v>6</v>
      </c>
    </row>
    <row r="178" spans="1:21" x14ac:dyDescent="0.25">
      <c r="A178" t="s">
        <v>234</v>
      </c>
      <c r="B178" t="s">
        <v>235</v>
      </c>
      <c r="C178" t="s">
        <v>1175</v>
      </c>
      <c r="D178" s="1">
        <v>43977</v>
      </c>
      <c r="E178" s="1">
        <v>43980</v>
      </c>
      <c r="F178">
        <f t="shared" si="8"/>
        <v>3</v>
      </c>
      <c r="G178" s="1">
        <v>43968</v>
      </c>
      <c r="H178" s="2">
        <v>0.33333333333333331</v>
      </c>
      <c r="I178" s="3">
        <v>1</v>
      </c>
      <c r="J178" t="s">
        <v>1345</v>
      </c>
      <c r="K178" t="s">
        <v>1345</v>
      </c>
      <c r="L178" t="s">
        <v>22</v>
      </c>
      <c r="M178" s="12" t="s">
        <v>23</v>
      </c>
      <c r="N178">
        <v>3</v>
      </c>
      <c r="O178">
        <v>0</v>
      </c>
      <c r="P178" t="s">
        <v>19</v>
      </c>
      <c r="Q178" s="6">
        <v>330</v>
      </c>
      <c r="R178" t="str">
        <f t="shared" si="6"/>
        <v>Keji's 5 Star Short let Apartment in Lekki_x000C_</v>
      </c>
      <c r="S178" t="str">
        <f t="shared" si="7"/>
        <v>Keji's 5 Star Short let Apartment in Lekki</v>
      </c>
      <c r="T178">
        <f>Table1[[#This Row],[Adults]]+Table1[[#This Row],[Children]]</f>
        <v>3</v>
      </c>
      <c r="U178">
        <f>_xlfn.DAYS(Table1[[#This Row],[Depart]],Table1[[#This Row],[Arrive]])</f>
        <v>3</v>
      </c>
    </row>
    <row r="179" spans="1:21" x14ac:dyDescent="0.25">
      <c r="A179" t="s">
        <v>278</v>
      </c>
      <c r="B179" t="s">
        <v>279</v>
      </c>
      <c r="C179" t="s">
        <v>1180</v>
      </c>
      <c r="D179" s="1">
        <v>43978</v>
      </c>
      <c r="E179" s="1">
        <v>43979</v>
      </c>
      <c r="F179">
        <f t="shared" si="8"/>
        <v>1</v>
      </c>
      <c r="G179" s="1">
        <v>43986</v>
      </c>
      <c r="H179" s="2">
        <v>0.58333333333333337</v>
      </c>
      <c r="I179" s="2">
        <v>0.45833333333333331</v>
      </c>
      <c r="J179" t="s">
        <v>1376</v>
      </c>
      <c r="K179" t="s">
        <v>1376</v>
      </c>
      <c r="L179" t="s">
        <v>22</v>
      </c>
      <c r="M179" s="12" t="s">
        <v>23</v>
      </c>
      <c r="N179">
        <v>3</v>
      </c>
      <c r="O179">
        <v>0</v>
      </c>
      <c r="P179" t="s">
        <v>19</v>
      </c>
      <c r="Q179" s="6">
        <v>150</v>
      </c>
      <c r="R179" t="str">
        <f t="shared" si="6"/>
        <v>Zoe's 5 Star Short let Apartment in Lekki_x000C_</v>
      </c>
      <c r="S179" t="str">
        <f t="shared" si="7"/>
        <v>Zoe's 5 Star Short let Apartment in Lekki</v>
      </c>
      <c r="T179">
        <f>Table1[[#This Row],[Adults]]+Table1[[#This Row],[Children]]</f>
        <v>3</v>
      </c>
      <c r="U179">
        <f>_xlfn.DAYS(Table1[[#This Row],[Depart]],Table1[[#This Row],[Arrive]])</f>
        <v>1</v>
      </c>
    </row>
    <row r="180" spans="1:21" x14ac:dyDescent="0.25">
      <c r="A180" t="s">
        <v>278</v>
      </c>
      <c r="B180" t="s">
        <v>279</v>
      </c>
      <c r="C180" t="s">
        <v>1176</v>
      </c>
      <c r="D180" s="1">
        <v>43978</v>
      </c>
      <c r="E180" s="1">
        <v>43979</v>
      </c>
      <c r="F180">
        <f t="shared" si="8"/>
        <v>1</v>
      </c>
      <c r="G180" s="1">
        <v>43978</v>
      </c>
      <c r="H180" s="2">
        <v>0.58333333333333337</v>
      </c>
      <c r="I180" s="2">
        <v>0.45833333333333331</v>
      </c>
      <c r="J180" t="s">
        <v>1387</v>
      </c>
      <c r="K180" t="s">
        <v>1387</v>
      </c>
      <c r="L180" t="s">
        <v>22</v>
      </c>
      <c r="M180" s="12" t="s">
        <v>18</v>
      </c>
      <c r="N180">
        <v>3</v>
      </c>
      <c r="O180">
        <v>0</v>
      </c>
      <c r="P180" t="s">
        <v>19</v>
      </c>
      <c r="Q180" s="6">
        <v>150</v>
      </c>
      <c r="R180" t="str">
        <f t="shared" si="6"/>
        <v>Tiara's Luxury Home Away From Home_x000C_</v>
      </c>
      <c r="S180" t="str">
        <f t="shared" si="7"/>
        <v>Tiara's Luxury Home Away From Home</v>
      </c>
      <c r="T180">
        <f>Table1[[#This Row],[Adults]]+Table1[[#This Row],[Children]]</f>
        <v>3</v>
      </c>
      <c r="U180">
        <f>_xlfn.DAYS(Table1[[#This Row],[Depart]],Table1[[#This Row],[Arrive]])</f>
        <v>1</v>
      </c>
    </row>
    <row r="181" spans="1:21" x14ac:dyDescent="0.25">
      <c r="A181" t="s">
        <v>124</v>
      </c>
      <c r="B181" t="s">
        <v>125</v>
      </c>
      <c r="C181" t="s">
        <v>1178</v>
      </c>
      <c r="D181" s="1">
        <v>43979</v>
      </c>
      <c r="E181" s="1">
        <v>43980</v>
      </c>
      <c r="F181">
        <f t="shared" si="8"/>
        <v>1</v>
      </c>
      <c r="G181" s="1">
        <v>43907</v>
      </c>
      <c r="H181" s="2">
        <v>0.33333333333333331</v>
      </c>
      <c r="I181" s="3">
        <v>1</v>
      </c>
      <c r="J181" t="s">
        <v>1246</v>
      </c>
      <c r="K181" t="s">
        <v>1246</v>
      </c>
      <c r="L181" t="s">
        <v>26</v>
      </c>
      <c r="M181" s="12" t="s">
        <v>18</v>
      </c>
      <c r="N181">
        <v>1</v>
      </c>
      <c r="O181">
        <v>0</v>
      </c>
      <c r="P181" t="s">
        <v>19</v>
      </c>
      <c r="Q181" s="6">
        <v>107</v>
      </c>
      <c r="R181" t="str">
        <f t="shared" si="6"/>
        <v>Ope's 5 Star Short Let Apartment in Lekki_x000C_</v>
      </c>
      <c r="S181" t="str">
        <f t="shared" si="7"/>
        <v>Ope's 5 Star Short Let Apartment in Lekki</v>
      </c>
      <c r="T181">
        <f>Table1[[#This Row],[Adults]]+Table1[[#This Row],[Children]]</f>
        <v>1</v>
      </c>
      <c r="U181">
        <f>_xlfn.DAYS(Table1[[#This Row],[Depart]],Table1[[#This Row],[Arrive]])</f>
        <v>1</v>
      </c>
    </row>
    <row r="182" spans="1:21" x14ac:dyDescent="0.25">
      <c r="A182" t="s">
        <v>244</v>
      </c>
      <c r="B182" t="s">
        <v>245</v>
      </c>
      <c r="C182" t="s">
        <v>1176</v>
      </c>
      <c r="D182" s="1">
        <v>43979</v>
      </c>
      <c r="E182" s="1">
        <v>43980</v>
      </c>
      <c r="F182">
        <f t="shared" si="8"/>
        <v>1</v>
      </c>
      <c r="G182" s="1">
        <v>43972</v>
      </c>
      <c r="H182" s="2">
        <v>0.58333333333333337</v>
      </c>
      <c r="I182" s="2">
        <v>0.45833333333333331</v>
      </c>
      <c r="J182" t="s">
        <v>1356</v>
      </c>
      <c r="K182" t="s">
        <v>1356</v>
      </c>
      <c r="L182" t="s">
        <v>22</v>
      </c>
      <c r="M182" s="12" t="s">
        <v>18</v>
      </c>
      <c r="N182">
        <v>2</v>
      </c>
      <c r="O182">
        <v>0</v>
      </c>
      <c r="P182" t="s">
        <v>19</v>
      </c>
      <c r="Q182" s="6">
        <v>150</v>
      </c>
      <c r="R182" t="str">
        <f t="shared" si="6"/>
        <v>Tiara's Luxury Home Away From Home_x000C_</v>
      </c>
      <c r="S182" t="str">
        <f t="shared" si="7"/>
        <v>Tiara's Luxury Home Away From Home</v>
      </c>
      <c r="T182">
        <f>Table1[[#This Row],[Adults]]+Table1[[#This Row],[Children]]</f>
        <v>2</v>
      </c>
      <c r="U182">
        <f>_xlfn.DAYS(Table1[[#This Row],[Depart]],Table1[[#This Row],[Arrive]])</f>
        <v>1</v>
      </c>
    </row>
    <row r="183" spans="1:21" x14ac:dyDescent="0.25">
      <c r="A183" t="s">
        <v>280</v>
      </c>
      <c r="B183" t="s">
        <v>281</v>
      </c>
      <c r="C183" t="s">
        <v>1180</v>
      </c>
      <c r="D183" s="1">
        <v>43979</v>
      </c>
      <c r="E183" s="1">
        <v>43980</v>
      </c>
      <c r="F183">
        <f t="shared" si="8"/>
        <v>1</v>
      </c>
      <c r="G183" s="1">
        <v>43986</v>
      </c>
      <c r="H183" s="2">
        <v>0.58333333333333337</v>
      </c>
      <c r="I183" s="2">
        <v>0.45833333333333331</v>
      </c>
      <c r="J183" t="s">
        <v>1377</v>
      </c>
      <c r="K183" t="s">
        <v>1377</v>
      </c>
      <c r="L183" t="s">
        <v>22</v>
      </c>
      <c r="M183" s="12" t="s">
        <v>23</v>
      </c>
      <c r="N183">
        <v>4</v>
      </c>
      <c r="O183">
        <v>0</v>
      </c>
      <c r="P183" t="s">
        <v>19</v>
      </c>
      <c r="Q183" s="6">
        <v>110</v>
      </c>
      <c r="R183" t="str">
        <f t="shared" si="6"/>
        <v>Zoe's 5 Star Short let Apartment in Lekki_x000C_</v>
      </c>
      <c r="S183" t="str">
        <f t="shared" si="7"/>
        <v>Zoe's 5 Star Short let Apartment in Lekki</v>
      </c>
      <c r="T183">
        <f>Table1[[#This Row],[Adults]]+Table1[[#This Row],[Children]]</f>
        <v>4</v>
      </c>
      <c r="U183">
        <f>_xlfn.DAYS(Table1[[#This Row],[Depart]],Table1[[#This Row],[Arrive]])</f>
        <v>1</v>
      </c>
    </row>
    <row r="184" spans="1:21" x14ac:dyDescent="0.25">
      <c r="A184" t="s">
        <v>280</v>
      </c>
      <c r="B184" t="s">
        <v>281</v>
      </c>
      <c r="C184" t="s">
        <v>1176</v>
      </c>
      <c r="D184" s="1">
        <v>43979</v>
      </c>
      <c r="E184" s="1">
        <v>43980</v>
      </c>
      <c r="F184">
        <f t="shared" si="8"/>
        <v>1</v>
      </c>
      <c r="G184" s="1">
        <v>43980</v>
      </c>
      <c r="H184" s="2">
        <v>0.58333333333333337</v>
      </c>
      <c r="I184" s="2">
        <v>0.45833333333333331</v>
      </c>
      <c r="J184" t="s">
        <v>1388</v>
      </c>
      <c r="K184" t="s">
        <v>1388</v>
      </c>
      <c r="L184" t="s">
        <v>22</v>
      </c>
      <c r="M184" s="12" t="s">
        <v>18</v>
      </c>
      <c r="N184">
        <v>4</v>
      </c>
      <c r="O184">
        <v>0</v>
      </c>
      <c r="P184" t="s">
        <v>19</v>
      </c>
      <c r="Q184" s="6">
        <v>110</v>
      </c>
      <c r="R184" t="str">
        <f t="shared" si="6"/>
        <v>Tiara's Luxury Home Away From Home_x000C_</v>
      </c>
      <c r="S184" t="str">
        <f t="shared" si="7"/>
        <v>Tiara's Luxury Home Away From Home</v>
      </c>
      <c r="T184">
        <f>Table1[[#This Row],[Adults]]+Table1[[#This Row],[Children]]</f>
        <v>4</v>
      </c>
      <c r="U184">
        <f>_xlfn.DAYS(Table1[[#This Row],[Depart]],Table1[[#This Row],[Arrive]])</f>
        <v>1</v>
      </c>
    </row>
    <row r="185" spans="1:21" x14ac:dyDescent="0.25">
      <c r="A185" t="s">
        <v>206</v>
      </c>
      <c r="B185" t="s">
        <v>207</v>
      </c>
      <c r="C185" t="s">
        <v>1173</v>
      </c>
      <c r="D185" s="1">
        <v>43980</v>
      </c>
      <c r="E185" s="1">
        <v>43983</v>
      </c>
      <c r="F185">
        <f t="shared" si="8"/>
        <v>3</v>
      </c>
      <c r="G185" s="1">
        <v>43953</v>
      </c>
      <c r="H185" s="2">
        <v>0.33333333333333331</v>
      </c>
      <c r="I185" s="3">
        <v>1</v>
      </c>
      <c r="J185" t="s">
        <v>1343</v>
      </c>
      <c r="K185" t="s">
        <v>1343</v>
      </c>
      <c r="L185" t="s">
        <v>22</v>
      </c>
      <c r="M185" s="12" t="s">
        <v>18</v>
      </c>
      <c r="N185">
        <v>3</v>
      </c>
      <c r="O185">
        <v>0</v>
      </c>
      <c r="P185" t="s">
        <v>19</v>
      </c>
      <c r="Q185" s="6">
        <v>330</v>
      </c>
      <c r="R185" t="str">
        <f t="shared" si="6"/>
        <v xml:space="preserve"> The Daniels 5 Star Short Let Apartment in Lekki_x000C_</v>
      </c>
      <c r="S185" t="str">
        <f t="shared" si="7"/>
        <v xml:space="preserve"> The Daniels 5 Star Short Let Apartment in Lekki</v>
      </c>
      <c r="T185">
        <f>Table1[[#This Row],[Adults]]+Table1[[#This Row],[Children]]</f>
        <v>3</v>
      </c>
      <c r="U185">
        <f>_xlfn.DAYS(Table1[[#This Row],[Depart]],Table1[[#This Row],[Arrive]])</f>
        <v>3</v>
      </c>
    </row>
    <row r="186" spans="1:21" x14ac:dyDescent="0.25">
      <c r="A186" t="s">
        <v>234</v>
      </c>
      <c r="B186" t="s">
        <v>235</v>
      </c>
      <c r="C186" t="s">
        <v>1176</v>
      </c>
      <c r="D186" s="1">
        <v>43980</v>
      </c>
      <c r="E186" s="1">
        <v>44007</v>
      </c>
      <c r="F186">
        <f t="shared" si="8"/>
        <v>27</v>
      </c>
      <c r="G186" s="1">
        <v>43971</v>
      </c>
      <c r="H186" s="2">
        <v>0.58333333333333337</v>
      </c>
      <c r="I186" s="2">
        <v>0.45833333333333331</v>
      </c>
      <c r="J186" t="s">
        <v>1381</v>
      </c>
      <c r="K186" t="s">
        <v>1381</v>
      </c>
      <c r="L186" t="s">
        <v>22</v>
      </c>
      <c r="M186" s="12" t="s">
        <v>18</v>
      </c>
      <c r="N186">
        <v>4</v>
      </c>
      <c r="O186">
        <v>0</v>
      </c>
      <c r="P186" t="s">
        <v>19</v>
      </c>
      <c r="Q186" s="6">
        <v>4050</v>
      </c>
      <c r="R186" t="str">
        <f t="shared" si="6"/>
        <v>Tiara's Luxury Home Away From Home_x000C_</v>
      </c>
      <c r="S186" t="str">
        <f t="shared" si="7"/>
        <v>Tiara's Luxury Home Away From Home</v>
      </c>
      <c r="T186">
        <f>Table1[[#This Row],[Adults]]+Table1[[#This Row],[Children]]</f>
        <v>4</v>
      </c>
      <c r="U186">
        <f>_xlfn.DAYS(Table1[[#This Row],[Depart]],Table1[[#This Row],[Arrive]])</f>
        <v>27</v>
      </c>
    </row>
    <row r="187" spans="1:21" x14ac:dyDescent="0.25">
      <c r="A187" t="s">
        <v>234</v>
      </c>
      <c r="B187" t="s">
        <v>235</v>
      </c>
      <c r="C187" t="s">
        <v>1180</v>
      </c>
      <c r="D187" s="1">
        <v>43980</v>
      </c>
      <c r="E187" s="1">
        <v>44028</v>
      </c>
      <c r="F187">
        <f t="shared" si="8"/>
        <v>48</v>
      </c>
      <c r="G187" s="1">
        <v>43986</v>
      </c>
      <c r="H187" s="2">
        <v>0.58333333333333337</v>
      </c>
      <c r="I187" s="2">
        <v>0.45833333333333331</v>
      </c>
      <c r="J187" t="s">
        <v>1530</v>
      </c>
      <c r="K187" t="s">
        <v>1530</v>
      </c>
      <c r="L187" t="s">
        <v>22</v>
      </c>
      <c r="M187" s="12" t="s">
        <v>23</v>
      </c>
      <c r="N187">
        <v>4</v>
      </c>
      <c r="O187">
        <v>0</v>
      </c>
      <c r="P187" t="s">
        <v>19</v>
      </c>
      <c r="Q187" s="6">
        <v>5280</v>
      </c>
      <c r="R187" t="str">
        <f t="shared" si="6"/>
        <v>Zoe's 5 Star Short let Apartment in Lekki_x000C_</v>
      </c>
      <c r="S187" t="str">
        <f t="shared" si="7"/>
        <v>Zoe's 5 Star Short let Apartment in Lekki</v>
      </c>
      <c r="T187">
        <f>Table1[[#This Row],[Adults]]+Table1[[#This Row],[Children]]</f>
        <v>4</v>
      </c>
      <c r="U187">
        <f>_xlfn.DAYS(Table1[[#This Row],[Depart]],Table1[[#This Row],[Arrive]])</f>
        <v>48</v>
      </c>
    </row>
    <row r="188" spans="1:21" x14ac:dyDescent="0.25">
      <c r="A188" t="s">
        <v>218</v>
      </c>
      <c r="B188" t="s">
        <v>219</v>
      </c>
      <c r="C188" t="s">
        <v>1173</v>
      </c>
      <c r="D188" s="1">
        <v>43983</v>
      </c>
      <c r="E188" s="1">
        <v>43990</v>
      </c>
      <c r="F188">
        <f t="shared" si="8"/>
        <v>7</v>
      </c>
      <c r="G188" s="1">
        <v>43961</v>
      </c>
      <c r="H188" s="2">
        <v>0.33333333333333331</v>
      </c>
      <c r="I188" s="3">
        <v>1</v>
      </c>
      <c r="J188" t="s">
        <v>1332</v>
      </c>
      <c r="K188" t="s">
        <v>1332</v>
      </c>
      <c r="L188" t="s">
        <v>26</v>
      </c>
      <c r="M188" s="12" t="s">
        <v>18</v>
      </c>
      <c r="N188">
        <v>1</v>
      </c>
      <c r="O188">
        <v>0</v>
      </c>
      <c r="P188" t="s">
        <v>19</v>
      </c>
      <c r="Q188" s="6">
        <v>720</v>
      </c>
      <c r="R188" t="str">
        <f t="shared" si="6"/>
        <v xml:space="preserve"> The Daniels 5 Star Short Let Apartment in Lekki_x000C_</v>
      </c>
      <c r="S188" t="str">
        <f t="shared" si="7"/>
        <v xml:space="preserve"> The Daniels 5 Star Short Let Apartment in Lekki</v>
      </c>
      <c r="T188">
        <f>Table1[[#This Row],[Adults]]+Table1[[#This Row],[Children]]</f>
        <v>1</v>
      </c>
      <c r="U188">
        <f>_xlfn.DAYS(Table1[[#This Row],[Depart]],Table1[[#This Row],[Arrive]])</f>
        <v>7</v>
      </c>
    </row>
    <row r="189" spans="1:21" x14ac:dyDescent="0.25">
      <c r="A189" t="s">
        <v>218</v>
      </c>
      <c r="B189" t="s">
        <v>219</v>
      </c>
      <c r="C189" t="s">
        <v>1178</v>
      </c>
      <c r="D189" s="1">
        <v>43983</v>
      </c>
      <c r="E189" s="1">
        <v>43997</v>
      </c>
      <c r="F189">
        <f t="shared" si="8"/>
        <v>14</v>
      </c>
      <c r="G189" s="1">
        <v>43961</v>
      </c>
      <c r="H189" s="2">
        <v>0.33333333333333331</v>
      </c>
      <c r="I189" s="3">
        <v>1</v>
      </c>
      <c r="J189" t="s">
        <v>1333</v>
      </c>
      <c r="K189" t="s">
        <v>1333</v>
      </c>
      <c r="L189" t="s">
        <v>26</v>
      </c>
      <c r="M189" s="12" t="s">
        <v>18</v>
      </c>
      <c r="N189">
        <v>1</v>
      </c>
      <c r="O189">
        <v>0</v>
      </c>
      <c r="P189" t="s">
        <v>19</v>
      </c>
      <c r="Q189" s="6">
        <v>1441</v>
      </c>
      <c r="R189" t="str">
        <f t="shared" si="6"/>
        <v>Ope's 5 Star Short Let Apartment in Lekki_x000C_</v>
      </c>
      <c r="S189" t="str">
        <f t="shared" si="7"/>
        <v>Ope's 5 Star Short Let Apartment in Lekki</v>
      </c>
      <c r="T189">
        <f>Table1[[#This Row],[Adults]]+Table1[[#This Row],[Children]]</f>
        <v>1</v>
      </c>
      <c r="U189">
        <f>_xlfn.DAYS(Table1[[#This Row],[Depart]],Table1[[#This Row],[Arrive]])</f>
        <v>14</v>
      </c>
    </row>
    <row r="190" spans="1:21" x14ac:dyDescent="0.25">
      <c r="A190" t="s">
        <v>222</v>
      </c>
      <c r="B190" t="s">
        <v>223</v>
      </c>
      <c r="C190" t="s">
        <v>1175</v>
      </c>
      <c r="D190" s="1">
        <v>43983</v>
      </c>
      <c r="E190" s="1">
        <v>43984</v>
      </c>
      <c r="F190">
        <f t="shared" si="8"/>
        <v>1</v>
      </c>
      <c r="G190" s="1">
        <v>43964</v>
      </c>
      <c r="H190" s="2">
        <v>0.33333333333333331</v>
      </c>
      <c r="I190" s="3">
        <v>1</v>
      </c>
      <c r="J190" t="s">
        <v>1335</v>
      </c>
      <c r="K190" t="s">
        <v>1335</v>
      </c>
      <c r="L190" t="s">
        <v>26</v>
      </c>
      <c r="M190" s="12" t="s">
        <v>18</v>
      </c>
      <c r="N190">
        <v>1</v>
      </c>
      <c r="O190">
        <v>0</v>
      </c>
      <c r="P190" t="s">
        <v>19</v>
      </c>
      <c r="Q190" s="6">
        <v>107</v>
      </c>
      <c r="R190" t="str">
        <f t="shared" si="6"/>
        <v>Keji's 5 Star Short let Apartment in Lekki_x000C_</v>
      </c>
      <c r="S190" t="str">
        <f t="shared" si="7"/>
        <v>Keji's 5 Star Short let Apartment in Lekki</v>
      </c>
      <c r="T190">
        <f>Table1[[#This Row],[Adults]]+Table1[[#This Row],[Children]]</f>
        <v>1</v>
      </c>
      <c r="U190">
        <f>_xlfn.DAYS(Table1[[#This Row],[Depart]],Table1[[#This Row],[Arrive]])</f>
        <v>1</v>
      </c>
    </row>
    <row r="191" spans="1:21" x14ac:dyDescent="0.25">
      <c r="A191" t="s">
        <v>230</v>
      </c>
      <c r="B191" t="s">
        <v>231</v>
      </c>
      <c r="C191" t="s">
        <v>1175</v>
      </c>
      <c r="D191" s="1">
        <v>43983</v>
      </c>
      <c r="E191" s="1">
        <v>44001</v>
      </c>
      <c r="F191">
        <f t="shared" si="8"/>
        <v>18</v>
      </c>
      <c r="G191" s="1">
        <v>43962</v>
      </c>
      <c r="H191" s="2">
        <v>0.33333333333333331</v>
      </c>
      <c r="I191" s="3">
        <v>1</v>
      </c>
      <c r="J191" t="s">
        <v>1339</v>
      </c>
      <c r="K191" t="s">
        <v>1339</v>
      </c>
      <c r="L191" t="s">
        <v>26</v>
      </c>
      <c r="M191" s="12" t="s">
        <v>18</v>
      </c>
      <c r="N191">
        <v>1</v>
      </c>
      <c r="O191">
        <v>0</v>
      </c>
      <c r="P191" t="s">
        <v>19</v>
      </c>
      <c r="Q191" s="6">
        <v>1851</v>
      </c>
      <c r="R191" t="str">
        <f t="shared" si="6"/>
        <v>Keji's 5 Star Short let Apartment in Lekki_x000C_</v>
      </c>
      <c r="S191" t="str">
        <f t="shared" si="7"/>
        <v>Keji's 5 Star Short let Apartment in Lekki</v>
      </c>
      <c r="T191">
        <f>Table1[[#This Row],[Adults]]+Table1[[#This Row],[Children]]</f>
        <v>1</v>
      </c>
      <c r="U191">
        <f>_xlfn.DAYS(Table1[[#This Row],[Depart]],Table1[[#This Row],[Arrive]])</f>
        <v>18</v>
      </c>
    </row>
    <row r="192" spans="1:21" x14ac:dyDescent="0.25">
      <c r="A192" t="s">
        <v>250</v>
      </c>
      <c r="B192" t="s">
        <v>251</v>
      </c>
      <c r="C192" t="s">
        <v>1175</v>
      </c>
      <c r="D192" s="1">
        <v>43983</v>
      </c>
      <c r="E192" s="1">
        <v>43985</v>
      </c>
      <c r="F192">
        <f t="shared" si="8"/>
        <v>2</v>
      </c>
      <c r="G192" s="1">
        <v>43974</v>
      </c>
      <c r="H192" s="2">
        <v>0.33333333333333331</v>
      </c>
      <c r="I192" s="3">
        <v>1</v>
      </c>
      <c r="J192" t="s">
        <v>2175</v>
      </c>
      <c r="K192" t="s">
        <v>1215</v>
      </c>
      <c r="L192" t="s">
        <v>17</v>
      </c>
      <c r="M192" s="12" t="s">
        <v>18</v>
      </c>
      <c r="N192">
        <v>2</v>
      </c>
      <c r="O192">
        <v>0</v>
      </c>
      <c r="P192" t="s">
        <v>19</v>
      </c>
      <c r="Q192" s="6">
        <v>194.04</v>
      </c>
      <c r="R192" t="str">
        <f t="shared" si="6"/>
        <v>Keji's 5 Star Short let Apartment in Lekki_x000C_</v>
      </c>
      <c r="S192" t="str">
        <f t="shared" si="7"/>
        <v>Keji's 5 Star Short let Apartment in Lekki</v>
      </c>
      <c r="T192">
        <f>Table1[[#This Row],[Adults]]+Table1[[#This Row],[Children]]</f>
        <v>2</v>
      </c>
      <c r="U192">
        <f>_xlfn.DAYS(Table1[[#This Row],[Depart]],Table1[[#This Row],[Arrive]])</f>
        <v>2</v>
      </c>
    </row>
    <row r="193" spans="1:21" x14ac:dyDescent="0.25">
      <c r="A193" t="s">
        <v>252</v>
      </c>
      <c r="B193" t="s">
        <v>253</v>
      </c>
      <c r="C193" t="s">
        <v>1175</v>
      </c>
      <c r="D193" s="1">
        <v>43983</v>
      </c>
      <c r="E193" s="1">
        <v>43985</v>
      </c>
      <c r="F193">
        <f t="shared" si="8"/>
        <v>2</v>
      </c>
      <c r="G193" s="1">
        <v>43983</v>
      </c>
      <c r="H193" s="2">
        <v>0.33333333333333331</v>
      </c>
      <c r="I193" s="3">
        <v>1</v>
      </c>
      <c r="J193" t="s">
        <v>1359</v>
      </c>
      <c r="K193" t="s">
        <v>1359</v>
      </c>
      <c r="L193" t="s">
        <v>22</v>
      </c>
      <c r="M193" s="12" t="s">
        <v>23</v>
      </c>
      <c r="N193">
        <v>3</v>
      </c>
      <c r="O193">
        <v>0</v>
      </c>
      <c r="P193" t="s">
        <v>19</v>
      </c>
      <c r="Q193" s="6">
        <v>220</v>
      </c>
      <c r="R193" t="str">
        <f t="shared" si="6"/>
        <v>Keji's 5 Star Short let Apartment in Lekki_x000C_</v>
      </c>
      <c r="S193" t="str">
        <f t="shared" si="7"/>
        <v>Keji's 5 Star Short let Apartment in Lekki</v>
      </c>
      <c r="T193">
        <f>Table1[[#This Row],[Adults]]+Table1[[#This Row],[Children]]</f>
        <v>3</v>
      </c>
      <c r="U193">
        <f>_xlfn.DAYS(Table1[[#This Row],[Depart]],Table1[[#This Row],[Arrive]])</f>
        <v>2</v>
      </c>
    </row>
    <row r="194" spans="1:21" x14ac:dyDescent="0.25">
      <c r="A194" t="s">
        <v>254</v>
      </c>
      <c r="B194" t="s">
        <v>255</v>
      </c>
      <c r="C194" t="s">
        <v>1173</v>
      </c>
      <c r="D194" s="1">
        <v>43983</v>
      </c>
      <c r="E194" s="1">
        <v>43985</v>
      </c>
      <c r="F194">
        <f t="shared" si="8"/>
        <v>2</v>
      </c>
      <c r="G194" s="1">
        <v>43975</v>
      </c>
      <c r="H194" s="2">
        <v>0.33333333333333331</v>
      </c>
      <c r="I194" s="3">
        <v>1</v>
      </c>
      <c r="J194" t="s">
        <v>2176</v>
      </c>
      <c r="K194" t="s">
        <v>1215</v>
      </c>
      <c r="L194" t="s">
        <v>17</v>
      </c>
      <c r="M194" s="12" t="s">
        <v>18</v>
      </c>
      <c r="N194">
        <v>6</v>
      </c>
      <c r="O194">
        <v>0</v>
      </c>
      <c r="P194" t="s">
        <v>19</v>
      </c>
      <c r="Q194" s="6">
        <v>255.6</v>
      </c>
      <c r="R194" t="str">
        <f t="shared" ref="R194:R257" si="9">SUBSTITUTE(C:C,"?","'")</f>
        <v xml:space="preserve"> The Daniels 5 Star Short Let Apartment in Lekki_x000C_</v>
      </c>
      <c r="S194" t="str">
        <f t="shared" ref="S194:S257" si="10">CLEAN(R:R)</f>
        <v xml:space="preserve"> The Daniels 5 Star Short Let Apartment in Lekki</v>
      </c>
      <c r="T194">
        <f>Table1[[#This Row],[Adults]]+Table1[[#This Row],[Children]]</f>
        <v>6</v>
      </c>
      <c r="U194">
        <f>_xlfn.DAYS(Table1[[#This Row],[Depart]],Table1[[#This Row],[Arrive]])</f>
        <v>2</v>
      </c>
    </row>
    <row r="195" spans="1:21" x14ac:dyDescent="0.25">
      <c r="A195" t="s">
        <v>204</v>
      </c>
      <c r="B195" t="s">
        <v>205</v>
      </c>
      <c r="C195" t="s">
        <v>1179</v>
      </c>
      <c r="D195" s="1">
        <v>43983</v>
      </c>
      <c r="E195" s="1">
        <v>43989</v>
      </c>
      <c r="F195">
        <f t="shared" ref="F195:F258" si="11">_xlfn.DAYS(E195,D195)</f>
        <v>6</v>
      </c>
      <c r="G195" s="1">
        <v>43964</v>
      </c>
      <c r="H195" s="2">
        <v>0.33333333333333331</v>
      </c>
      <c r="I195" s="2">
        <v>0.45833333333333331</v>
      </c>
      <c r="J195" t="s">
        <v>1406</v>
      </c>
      <c r="K195" t="s">
        <v>1406</v>
      </c>
      <c r="L195" t="s">
        <v>22</v>
      </c>
      <c r="M195" s="12" t="s">
        <v>23</v>
      </c>
      <c r="N195">
        <v>2</v>
      </c>
      <c r="O195">
        <v>0</v>
      </c>
      <c r="P195" t="s">
        <v>19</v>
      </c>
      <c r="Q195" s="6">
        <v>660</v>
      </c>
      <c r="R195" t="str">
        <f t="shared" si="9"/>
        <v>Phiola's 5 Star Short Let Apartment in Lekki_x000C_</v>
      </c>
      <c r="S195" t="str">
        <f t="shared" si="10"/>
        <v>Phiola's 5 Star Short Let Apartment in Lekki</v>
      </c>
      <c r="T195">
        <f>Table1[[#This Row],[Adults]]+Table1[[#This Row],[Children]]</f>
        <v>2</v>
      </c>
      <c r="U195">
        <f>_xlfn.DAYS(Table1[[#This Row],[Depart]],Table1[[#This Row],[Arrive]])</f>
        <v>6</v>
      </c>
    </row>
    <row r="196" spans="1:21" x14ac:dyDescent="0.25">
      <c r="A196" t="s">
        <v>166</v>
      </c>
      <c r="B196" t="s">
        <v>167</v>
      </c>
      <c r="C196" t="s">
        <v>1173</v>
      </c>
      <c r="D196" s="1">
        <v>43985</v>
      </c>
      <c r="E196" s="1">
        <v>43988</v>
      </c>
      <c r="F196">
        <f t="shared" si="11"/>
        <v>3</v>
      </c>
      <c r="G196" s="1">
        <v>43977</v>
      </c>
      <c r="H196" s="2">
        <v>0.33333333333333331</v>
      </c>
      <c r="I196" s="3">
        <v>1</v>
      </c>
      <c r="J196" t="s">
        <v>1354</v>
      </c>
      <c r="K196" t="s">
        <v>1354</v>
      </c>
      <c r="L196" t="s">
        <v>22</v>
      </c>
      <c r="M196" s="12" t="s">
        <v>18</v>
      </c>
      <c r="N196">
        <v>3</v>
      </c>
      <c r="O196">
        <v>0</v>
      </c>
      <c r="P196" t="s">
        <v>19</v>
      </c>
      <c r="Q196" s="6">
        <v>440</v>
      </c>
      <c r="R196" t="str">
        <f t="shared" si="9"/>
        <v xml:space="preserve"> The Daniels 5 Star Short Let Apartment in Lekki_x000C_</v>
      </c>
      <c r="S196" t="str">
        <f t="shared" si="10"/>
        <v xml:space="preserve"> The Daniels 5 Star Short Let Apartment in Lekki</v>
      </c>
      <c r="T196">
        <f>Table1[[#This Row],[Adults]]+Table1[[#This Row],[Children]]</f>
        <v>3</v>
      </c>
      <c r="U196">
        <f>_xlfn.DAYS(Table1[[#This Row],[Depart]],Table1[[#This Row],[Arrive]])</f>
        <v>3</v>
      </c>
    </row>
    <row r="197" spans="1:21" x14ac:dyDescent="0.25">
      <c r="A197" t="s">
        <v>166</v>
      </c>
      <c r="B197" t="s">
        <v>167</v>
      </c>
      <c r="C197" t="s">
        <v>1173</v>
      </c>
      <c r="D197" s="1">
        <v>43985</v>
      </c>
      <c r="E197" s="1">
        <v>43988</v>
      </c>
      <c r="F197">
        <f t="shared" si="11"/>
        <v>3</v>
      </c>
      <c r="G197" s="1">
        <v>43977</v>
      </c>
      <c r="H197" s="2">
        <v>0.33333333333333331</v>
      </c>
      <c r="I197" s="3">
        <v>1</v>
      </c>
      <c r="J197" t="s">
        <v>1355</v>
      </c>
      <c r="K197" t="s">
        <v>1355</v>
      </c>
      <c r="L197" t="s">
        <v>22</v>
      </c>
      <c r="M197" s="12" t="s">
        <v>18</v>
      </c>
      <c r="N197">
        <v>3</v>
      </c>
      <c r="O197">
        <v>0</v>
      </c>
      <c r="P197" t="s">
        <v>19</v>
      </c>
      <c r="Q197" s="6">
        <v>330</v>
      </c>
      <c r="R197" t="str">
        <f t="shared" si="9"/>
        <v xml:space="preserve"> The Daniels 5 Star Short Let Apartment in Lekki_x000C_</v>
      </c>
      <c r="S197" t="str">
        <f t="shared" si="10"/>
        <v xml:space="preserve"> The Daniels 5 Star Short Let Apartment in Lekki</v>
      </c>
      <c r="T197">
        <f>Table1[[#This Row],[Adults]]+Table1[[#This Row],[Children]]</f>
        <v>3</v>
      </c>
      <c r="U197">
        <f>_xlfn.DAYS(Table1[[#This Row],[Depart]],Table1[[#This Row],[Arrive]])</f>
        <v>3</v>
      </c>
    </row>
    <row r="198" spans="1:21" x14ac:dyDescent="0.25">
      <c r="A198" t="s">
        <v>166</v>
      </c>
      <c r="B198" t="s">
        <v>167</v>
      </c>
      <c r="C198" t="s">
        <v>1173</v>
      </c>
      <c r="D198" s="1">
        <v>43985</v>
      </c>
      <c r="E198" s="1">
        <v>43988</v>
      </c>
      <c r="F198">
        <f t="shared" si="11"/>
        <v>3</v>
      </c>
      <c r="G198" s="1">
        <v>43977</v>
      </c>
      <c r="H198" s="2">
        <v>0.33333333333333331</v>
      </c>
      <c r="I198" s="3">
        <v>1</v>
      </c>
      <c r="J198" t="s">
        <v>1360</v>
      </c>
      <c r="K198" t="s">
        <v>1360</v>
      </c>
      <c r="L198" t="s">
        <v>22</v>
      </c>
      <c r="M198" s="12" t="s">
        <v>18</v>
      </c>
      <c r="N198">
        <v>3</v>
      </c>
      <c r="O198">
        <v>0</v>
      </c>
      <c r="P198" t="s">
        <v>19</v>
      </c>
      <c r="Q198" s="6">
        <v>330</v>
      </c>
      <c r="R198" t="str">
        <f t="shared" si="9"/>
        <v xml:space="preserve"> The Daniels 5 Star Short Let Apartment in Lekki_x000C_</v>
      </c>
      <c r="S198" t="str">
        <f t="shared" si="10"/>
        <v xml:space="preserve"> The Daniels 5 Star Short Let Apartment in Lekki</v>
      </c>
      <c r="T198">
        <f>Table1[[#This Row],[Adults]]+Table1[[#This Row],[Children]]</f>
        <v>3</v>
      </c>
      <c r="U198">
        <f>_xlfn.DAYS(Table1[[#This Row],[Depart]],Table1[[#This Row],[Arrive]])</f>
        <v>3</v>
      </c>
    </row>
    <row r="199" spans="1:21" x14ac:dyDescent="0.25">
      <c r="A199" t="s">
        <v>354</v>
      </c>
      <c r="B199" t="s">
        <v>355</v>
      </c>
      <c r="C199" t="s">
        <v>1175</v>
      </c>
      <c r="D199" s="1">
        <v>43985</v>
      </c>
      <c r="E199" s="1">
        <v>43986</v>
      </c>
      <c r="F199">
        <f t="shared" si="11"/>
        <v>1</v>
      </c>
      <c r="G199" s="1">
        <v>43983</v>
      </c>
      <c r="H199" s="2">
        <v>0.33333333333333331</v>
      </c>
      <c r="I199" s="3">
        <v>1</v>
      </c>
      <c r="J199" t="s">
        <v>1436</v>
      </c>
      <c r="K199" t="s">
        <v>1436</v>
      </c>
      <c r="L199" t="s">
        <v>22</v>
      </c>
      <c r="M199" s="12" t="s">
        <v>23</v>
      </c>
      <c r="N199">
        <v>3</v>
      </c>
      <c r="O199">
        <v>0</v>
      </c>
      <c r="P199" t="s">
        <v>19</v>
      </c>
      <c r="Q199" s="6">
        <v>110</v>
      </c>
      <c r="R199" t="str">
        <f t="shared" si="9"/>
        <v>Keji's 5 Star Short let Apartment in Lekki_x000C_</v>
      </c>
      <c r="S199" t="str">
        <f t="shared" si="10"/>
        <v>Keji's 5 Star Short let Apartment in Lekki</v>
      </c>
      <c r="T199">
        <f>Table1[[#This Row],[Adults]]+Table1[[#This Row],[Children]]</f>
        <v>3</v>
      </c>
      <c r="U199">
        <f>_xlfn.DAYS(Table1[[#This Row],[Depart]],Table1[[#This Row],[Arrive]])</f>
        <v>1</v>
      </c>
    </row>
    <row r="200" spans="1:21" x14ac:dyDescent="0.25">
      <c r="A200" t="s">
        <v>15</v>
      </c>
      <c r="B200" t="s">
        <v>16</v>
      </c>
      <c r="C200" t="s">
        <v>1175</v>
      </c>
      <c r="D200" s="1">
        <v>43986</v>
      </c>
      <c r="E200" s="1">
        <v>44000</v>
      </c>
      <c r="F200">
        <f t="shared" si="11"/>
        <v>14</v>
      </c>
      <c r="G200" s="1">
        <v>43867</v>
      </c>
      <c r="H200" s="2">
        <v>0.33333333333333331</v>
      </c>
      <c r="I200" s="3">
        <v>1</v>
      </c>
      <c r="J200" t="s">
        <v>2166</v>
      </c>
      <c r="K200" t="s">
        <v>1181</v>
      </c>
      <c r="L200" t="s">
        <v>17</v>
      </c>
      <c r="M200" s="12" t="s">
        <v>18</v>
      </c>
      <c r="N200">
        <v>2</v>
      </c>
      <c r="O200">
        <v>0</v>
      </c>
      <c r="P200" t="s">
        <v>19</v>
      </c>
      <c r="Q200" s="6">
        <v>1249.82</v>
      </c>
      <c r="R200" t="str">
        <f t="shared" si="9"/>
        <v>Keji's 5 Star Short let Apartment in Lekki_x000C_</v>
      </c>
      <c r="S200" t="str">
        <f t="shared" si="10"/>
        <v>Keji's 5 Star Short let Apartment in Lekki</v>
      </c>
      <c r="T200">
        <f>Table1[[#This Row],[Adults]]+Table1[[#This Row],[Children]]</f>
        <v>2</v>
      </c>
      <c r="U200">
        <f>_xlfn.DAYS(Table1[[#This Row],[Depart]],Table1[[#This Row],[Arrive]])</f>
        <v>14</v>
      </c>
    </row>
    <row r="201" spans="1:21" x14ac:dyDescent="0.25">
      <c r="A201" t="s">
        <v>338</v>
      </c>
      <c r="B201" t="s">
        <v>339</v>
      </c>
      <c r="C201" t="s">
        <v>1175</v>
      </c>
      <c r="D201" s="1">
        <v>43986</v>
      </c>
      <c r="E201" s="1">
        <v>43987</v>
      </c>
      <c r="F201">
        <f t="shared" si="11"/>
        <v>1</v>
      </c>
      <c r="G201" s="1">
        <v>43978</v>
      </c>
      <c r="H201" s="2">
        <v>0.33333333333333331</v>
      </c>
      <c r="I201" s="3">
        <v>1</v>
      </c>
      <c r="J201" t="s">
        <v>1425</v>
      </c>
      <c r="K201" t="s">
        <v>1425</v>
      </c>
      <c r="L201" t="s">
        <v>22</v>
      </c>
      <c r="M201" s="12" t="s">
        <v>18</v>
      </c>
      <c r="N201">
        <v>1</v>
      </c>
      <c r="O201">
        <v>0</v>
      </c>
      <c r="P201" t="s">
        <v>19</v>
      </c>
      <c r="Q201" s="6">
        <v>110</v>
      </c>
      <c r="R201" t="str">
        <f t="shared" si="9"/>
        <v>Keji's 5 Star Short let Apartment in Lekki_x000C_</v>
      </c>
      <c r="S201" t="str">
        <f t="shared" si="10"/>
        <v>Keji's 5 Star Short let Apartment in Lekki</v>
      </c>
      <c r="T201">
        <f>Table1[[#This Row],[Adults]]+Table1[[#This Row],[Children]]</f>
        <v>1</v>
      </c>
      <c r="U201">
        <f>_xlfn.DAYS(Table1[[#This Row],[Depart]],Table1[[#This Row],[Arrive]])</f>
        <v>1</v>
      </c>
    </row>
    <row r="202" spans="1:21" x14ac:dyDescent="0.25">
      <c r="A202" t="s">
        <v>338</v>
      </c>
      <c r="B202" t="s">
        <v>339</v>
      </c>
      <c r="C202" t="s">
        <v>1175</v>
      </c>
      <c r="D202" s="1">
        <v>43986</v>
      </c>
      <c r="E202" s="1">
        <v>43987</v>
      </c>
      <c r="F202">
        <f t="shared" si="11"/>
        <v>1</v>
      </c>
      <c r="G202" s="1">
        <v>44000</v>
      </c>
      <c r="H202" s="2">
        <v>0.33333333333333331</v>
      </c>
      <c r="I202" s="3">
        <v>1</v>
      </c>
      <c r="J202" t="s">
        <v>1437</v>
      </c>
      <c r="K202" t="s">
        <v>1437</v>
      </c>
      <c r="L202" t="s">
        <v>22</v>
      </c>
      <c r="M202" s="12" t="s">
        <v>23</v>
      </c>
      <c r="N202">
        <v>6</v>
      </c>
      <c r="O202">
        <v>0</v>
      </c>
      <c r="P202" t="s">
        <v>19</v>
      </c>
      <c r="Q202" s="6">
        <v>110</v>
      </c>
      <c r="R202" t="str">
        <f t="shared" si="9"/>
        <v>Keji's 5 Star Short let Apartment in Lekki_x000C_</v>
      </c>
      <c r="S202" t="str">
        <f t="shared" si="10"/>
        <v>Keji's 5 Star Short let Apartment in Lekki</v>
      </c>
      <c r="T202">
        <f>Table1[[#This Row],[Adults]]+Table1[[#This Row],[Children]]</f>
        <v>6</v>
      </c>
      <c r="U202">
        <f>_xlfn.DAYS(Table1[[#This Row],[Depart]],Table1[[#This Row],[Arrive]])</f>
        <v>1</v>
      </c>
    </row>
    <row r="203" spans="1:21" x14ac:dyDescent="0.25">
      <c r="A203" t="s">
        <v>238</v>
      </c>
      <c r="B203" t="s">
        <v>239</v>
      </c>
      <c r="C203" t="s">
        <v>1173</v>
      </c>
      <c r="D203" s="1">
        <v>43987</v>
      </c>
      <c r="E203" s="1">
        <v>43990</v>
      </c>
      <c r="F203">
        <f t="shared" si="11"/>
        <v>3</v>
      </c>
      <c r="G203" s="1">
        <v>43974</v>
      </c>
      <c r="H203" s="2">
        <v>0.33333333333333331</v>
      </c>
      <c r="I203" s="3">
        <v>1</v>
      </c>
      <c r="J203" t="s">
        <v>1350</v>
      </c>
      <c r="K203" t="s">
        <v>1350</v>
      </c>
      <c r="L203" t="s">
        <v>26</v>
      </c>
      <c r="M203" s="12" t="s">
        <v>18</v>
      </c>
      <c r="N203">
        <v>3</v>
      </c>
      <c r="O203">
        <v>0</v>
      </c>
      <c r="P203" t="s">
        <v>19</v>
      </c>
      <c r="Q203" s="6">
        <v>319</v>
      </c>
      <c r="R203" t="str">
        <f t="shared" si="9"/>
        <v xml:space="preserve"> The Daniels 5 Star Short Let Apartment in Lekki_x000C_</v>
      </c>
      <c r="S203" t="str">
        <f t="shared" si="10"/>
        <v xml:space="preserve"> The Daniels 5 Star Short Let Apartment in Lekki</v>
      </c>
      <c r="T203">
        <f>Table1[[#This Row],[Adults]]+Table1[[#This Row],[Children]]</f>
        <v>3</v>
      </c>
      <c r="U203">
        <f>_xlfn.DAYS(Table1[[#This Row],[Depart]],Table1[[#This Row],[Arrive]])</f>
        <v>3</v>
      </c>
    </row>
    <row r="204" spans="1:21" x14ac:dyDescent="0.25">
      <c r="A204" t="s">
        <v>242</v>
      </c>
      <c r="B204" t="s">
        <v>243</v>
      </c>
      <c r="C204" t="s">
        <v>1175</v>
      </c>
      <c r="D204" s="1">
        <v>43987</v>
      </c>
      <c r="E204" s="1">
        <v>43989</v>
      </c>
      <c r="F204">
        <f t="shared" si="11"/>
        <v>2</v>
      </c>
      <c r="G204" s="1">
        <v>43977</v>
      </c>
      <c r="H204" s="2">
        <v>0.33333333333333331</v>
      </c>
      <c r="I204" s="3">
        <v>1</v>
      </c>
      <c r="J204" t="s">
        <v>1353</v>
      </c>
      <c r="K204" t="s">
        <v>1353</v>
      </c>
      <c r="L204" t="s">
        <v>22</v>
      </c>
      <c r="M204" s="12" t="s">
        <v>23</v>
      </c>
      <c r="N204">
        <v>3</v>
      </c>
      <c r="O204">
        <v>0</v>
      </c>
      <c r="P204" t="s">
        <v>19</v>
      </c>
      <c r="Q204" s="6">
        <v>220</v>
      </c>
      <c r="R204" t="str">
        <f t="shared" si="9"/>
        <v>Keji's 5 Star Short let Apartment in Lekki_x000C_</v>
      </c>
      <c r="S204" t="str">
        <f t="shared" si="10"/>
        <v>Keji's 5 Star Short let Apartment in Lekki</v>
      </c>
      <c r="T204">
        <f>Table1[[#This Row],[Adults]]+Table1[[#This Row],[Children]]</f>
        <v>3</v>
      </c>
      <c r="U204">
        <f>_xlfn.DAYS(Table1[[#This Row],[Depart]],Table1[[#This Row],[Arrive]])</f>
        <v>2</v>
      </c>
    </row>
    <row r="205" spans="1:21" x14ac:dyDescent="0.25">
      <c r="A205" t="s">
        <v>288</v>
      </c>
      <c r="B205" t="s">
        <v>289</v>
      </c>
      <c r="C205" t="s">
        <v>1173</v>
      </c>
      <c r="D205" s="1">
        <v>43987</v>
      </c>
      <c r="E205" s="1">
        <v>43988</v>
      </c>
      <c r="F205">
        <f t="shared" si="11"/>
        <v>1</v>
      </c>
      <c r="G205" s="1">
        <v>43986</v>
      </c>
      <c r="H205" s="2">
        <v>0.33333333333333331</v>
      </c>
      <c r="I205" s="3">
        <v>1</v>
      </c>
      <c r="J205" t="s">
        <v>1389</v>
      </c>
      <c r="K205" t="s">
        <v>1389</v>
      </c>
      <c r="L205" t="s">
        <v>26</v>
      </c>
      <c r="M205" s="12" t="s">
        <v>18</v>
      </c>
      <c r="N205">
        <v>1</v>
      </c>
      <c r="O205">
        <v>0</v>
      </c>
      <c r="P205" t="s">
        <v>19</v>
      </c>
      <c r="Q205" s="6">
        <v>107</v>
      </c>
      <c r="R205" t="str">
        <f t="shared" si="9"/>
        <v xml:space="preserve"> The Daniels 5 Star Short Let Apartment in Lekki_x000C_</v>
      </c>
      <c r="S205" t="str">
        <f t="shared" si="10"/>
        <v xml:space="preserve"> The Daniels 5 Star Short Let Apartment in Lekki</v>
      </c>
      <c r="T205">
        <f>Table1[[#This Row],[Adults]]+Table1[[#This Row],[Children]]</f>
        <v>1</v>
      </c>
      <c r="U205">
        <f>_xlfn.DAYS(Table1[[#This Row],[Depart]],Table1[[#This Row],[Arrive]])</f>
        <v>1</v>
      </c>
    </row>
    <row r="206" spans="1:21" x14ac:dyDescent="0.25">
      <c r="A206" t="s">
        <v>691</v>
      </c>
      <c r="B206" t="s">
        <v>692</v>
      </c>
      <c r="C206" t="s">
        <v>1173</v>
      </c>
      <c r="D206" s="1">
        <v>43987</v>
      </c>
      <c r="E206" s="1">
        <v>43995</v>
      </c>
      <c r="F206">
        <f t="shared" si="11"/>
        <v>8</v>
      </c>
      <c r="G206" s="1">
        <v>43875</v>
      </c>
      <c r="H206" s="2">
        <v>0.33333333333333331</v>
      </c>
      <c r="I206" s="3">
        <v>1</v>
      </c>
      <c r="J206" t="s">
        <v>1699</v>
      </c>
      <c r="K206" t="s">
        <v>1699</v>
      </c>
      <c r="L206" t="s">
        <v>26</v>
      </c>
      <c r="M206" s="12" t="s">
        <v>18</v>
      </c>
      <c r="N206">
        <v>6</v>
      </c>
      <c r="O206">
        <v>0</v>
      </c>
      <c r="P206" t="s">
        <v>19</v>
      </c>
      <c r="Q206" s="6">
        <v>848</v>
      </c>
      <c r="R206" t="str">
        <f t="shared" si="9"/>
        <v xml:space="preserve"> The Daniels 5 Star Short Let Apartment in Lekki_x000C_</v>
      </c>
      <c r="S206" t="str">
        <f t="shared" si="10"/>
        <v xml:space="preserve"> The Daniels 5 Star Short Let Apartment in Lekki</v>
      </c>
      <c r="T206">
        <f>Table1[[#This Row],[Adults]]+Table1[[#This Row],[Children]]</f>
        <v>6</v>
      </c>
      <c r="U206">
        <f>_xlfn.DAYS(Table1[[#This Row],[Depart]],Table1[[#This Row],[Arrive]])</f>
        <v>8</v>
      </c>
    </row>
    <row r="207" spans="1:21" x14ac:dyDescent="0.25">
      <c r="A207" t="s">
        <v>240</v>
      </c>
      <c r="B207" t="s">
        <v>241</v>
      </c>
      <c r="C207" t="s">
        <v>1173</v>
      </c>
      <c r="D207" s="1">
        <v>43988</v>
      </c>
      <c r="E207" s="1">
        <v>43989</v>
      </c>
      <c r="F207">
        <f t="shared" si="11"/>
        <v>1</v>
      </c>
      <c r="G207" s="1">
        <v>43977</v>
      </c>
      <c r="H207" s="2">
        <v>0.33333333333333331</v>
      </c>
      <c r="I207" s="3">
        <v>1</v>
      </c>
      <c r="J207" t="s">
        <v>1351</v>
      </c>
      <c r="K207" t="s">
        <v>1351</v>
      </c>
      <c r="L207" t="s">
        <v>22</v>
      </c>
      <c r="M207" s="12" t="s">
        <v>23</v>
      </c>
      <c r="N207">
        <v>2</v>
      </c>
      <c r="O207">
        <v>0</v>
      </c>
      <c r="P207" t="s">
        <v>19</v>
      </c>
      <c r="Q207" s="6">
        <v>110</v>
      </c>
      <c r="R207" t="str">
        <f t="shared" si="9"/>
        <v xml:space="preserve"> The Daniels 5 Star Short Let Apartment in Lekki_x000C_</v>
      </c>
      <c r="S207" t="str">
        <f t="shared" si="10"/>
        <v xml:space="preserve"> The Daniels 5 Star Short Let Apartment in Lekki</v>
      </c>
      <c r="T207">
        <f>Table1[[#This Row],[Adults]]+Table1[[#This Row],[Children]]</f>
        <v>2</v>
      </c>
      <c r="U207">
        <f>_xlfn.DAYS(Table1[[#This Row],[Depart]],Table1[[#This Row],[Arrive]])</f>
        <v>1</v>
      </c>
    </row>
    <row r="208" spans="1:21" x14ac:dyDescent="0.25">
      <c r="A208" t="s">
        <v>240</v>
      </c>
      <c r="B208" t="s">
        <v>241</v>
      </c>
      <c r="C208" t="s">
        <v>1175</v>
      </c>
      <c r="D208" s="1">
        <v>43988</v>
      </c>
      <c r="E208" s="1">
        <v>43989</v>
      </c>
      <c r="F208">
        <f t="shared" si="11"/>
        <v>1</v>
      </c>
      <c r="G208" s="1">
        <v>43977</v>
      </c>
      <c r="H208" s="2">
        <v>0.33333333333333331</v>
      </c>
      <c r="I208" s="3">
        <v>1</v>
      </c>
      <c r="J208" t="s">
        <v>1352</v>
      </c>
      <c r="K208" t="s">
        <v>1352</v>
      </c>
      <c r="L208" t="s">
        <v>22</v>
      </c>
      <c r="M208" s="12" t="s">
        <v>18</v>
      </c>
      <c r="N208">
        <v>5</v>
      </c>
      <c r="O208">
        <v>0</v>
      </c>
      <c r="P208" t="s">
        <v>19</v>
      </c>
      <c r="Q208" s="6">
        <v>110</v>
      </c>
      <c r="R208" t="str">
        <f t="shared" si="9"/>
        <v>Keji's 5 Star Short let Apartment in Lekki_x000C_</v>
      </c>
      <c r="S208" t="str">
        <f t="shared" si="10"/>
        <v>Keji's 5 Star Short let Apartment in Lekki</v>
      </c>
      <c r="T208">
        <f>Table1[[#This Row],[Adults]]+Table1[[#This Row],[Children]]</f>
        <v>5</v>
      </c>
      <c r="U208">
        <f>_xlfn.DAYS(Table1[[#This Row],[Depart]],Table1[[#This Row],[Arrive]])</f>
        <v>1</v>
      </c>
    </row>
    <row r="209" spans="1:21" x14ac:dyDescent="0.25">
      <c r="A209" t="s">
        <v>232</v>
      </c>
      <c r="B209" t="s">
        <v>233</v>
      </c>
      <c r="C209" t="s">
        <v>1175</v>
      </c>
      <c r="D209" s="1">
        <v>43989</v>
      </c>
      <c r="E209" s="1">
        <v>43991</v>
      </c>
      <c r="F209">
        <f t="shared" si="11"/>
        <v>2</v>
      </c>
      <c r="G209" s="1">
        <v>43966</v>
      </c>
      <c r="H209" s="2">
        <v>0.33333333333333331</v>
      </c>
      <c r="I209" s="3">
        <v>1</v>
      </c>
      <c r="J209" t="s">
        <v>1340</v>
      </c>
      <c r="K209" t="s">
        <v>1340</v>
      </c>
      <c r="L209" t="s">
        <v>22</v>
      </c>
      <c r="M209" s="12" t="s">
        <v>23</v>
      </c>
      <c r="N209">
        <v>5</v>
      </c>
      <c r="O209">
        <v>0</v>
      </c>
      <c r="P209" t="s">
        <v>19</v>
      </c>
      <c r="Q209" s="6">
        <v>220</v>
      </c>
      <c r="R209" t="str">
        <f t="shared" si="9"/>
        <v>Keji's 5 Star Short let Apartment in Lekki_x000C_</v>
      </c>
      <c r="S209" t="str">
        <f t="shared" si="10"/>
        <v>Keji's 5 Star Short let Apartment in Lekki</v>
      </c>
      <c r="T209">
        <f>Table1[[#This Row],[Adults]]+Table1[[#This Row],[Children]]</f>
        <v>5</v>
      </c>
      <c r="U209">
        <f>_xlfn.DAYS(Table1[[#This Row],[Depart]],Table1[[#This Row],[Arrive]])</f>
        <v>2</v>
      </c>
    </row>
    <row r="210" spans="1:21" x14ac:dyDescent="0.25">
      <c r="A210" t="s">
        <v>306</v>
      </c>
      <c r="B210" t="s">
        <v>307</v>
      </c>
      <c r="C210" t="s">
        <v>1179</v>
      </c>
      <c r="D210" s="1">
        <v>43989</v>
      </c>
      <c r="E210" s="1">
        <v>43991</v>
      </c>
      <c r="F210">
        <f t="shared" si="11"/>
        <v>2</v>
      </c>
      <c r="G210" s="1">
        <v>43990</v>
      </c>
      <c r="H210" s="2">
        <v>0.33333333333333331</v>
      </c>
      <c r="I210" s="3">
        <v>1</v>
      </c>
      <c r="J210" t="s">
        <v>1407</v>
      </c>
      <c r="K210" t="s">
        <v>1407</v>
      </c>
      <c r="L210" t="s">
        <v>22</v>
      </c>
      <c r="M210" s="12" t="s">
        <v>23</v>
      </c>
      <c r="N210">
        <v>6</v>
      </c>
      <c r="O210">
        <v>0</v>
      </c>
      <c r="P210" t="s">
        <v>19</v>
      </c>
      <c r="Q210" s="6">
        <v>220</v>
      </c>
      <c r="R210" t="str">
        <f t="shared" si="9"/>
        <v>Phiola's 5 Star Short Let Apartment in Lekki_x000C_</v>
      </c>
      <c r="S210" t="str">
        <f t="shared" si="10"/>
        <v>Phiola's 5 Star Short Let Apartment in Lekki</v>
      </c>
      <c r="T210">
        <f>Table1[[#This Row],[Adults]]+Table1[[#This Row],[Children]]</f>
        <v>6</v>
      </c>
      <c r="U210">
        <f>_xlfn.DAYS(Table1[[#This Row],[Depart]],Table1[[#This Row],[Arrive]])</f>
        <v>2</v>
      </c>
    </row>
    <row r="211" spans="1:21" x14ac:dyDescent="0.25">
      <c r="A211" t="s">
        <v>204</v>
      </c>
      <c r="B211" t="s">
        <v>205</v>
      </c>
      <c r="C211" t="s">
        <v>1176</v>
      </c>
      <c r="D211" s="1">
        <v>43990</v>
      </c>
      <c r="E211" s="1">
        <v>43993</v>
      </c>
      <c r="F211">
        <f t="shared" si="11"/>
        <v>3</v>
      </c>
      <c r="G211" s="1">
        <v>43964</v>
      </c>
      <c r="H211" s="2">
        <v>0.58333333333333337</v>
      </c>
      <c r="I211" s="2">
        <v>0.45833333333333331</v>
      </c>
      <c r="J211" t="s">
        <v>1348</v>
      </c>
      <c r="K211" t="s">
        <v>1348</v>
      </c>
      <c r="L211" t="s">
        <v>22</v>
      </c>
      <c r="M211" s="12" t="s">
        <v>18</v>
      </c>
      <c r="N211">
        <v>2</v>
      </c>
      <c r="O211">
        <v>0</v>
      </c>
      <c r="P211" t="s">
        <v>19</v>
      </c>
      <c r="Q211" s="6">
        <v>450</v>
      </c>
      <c r="R211" t="str">
        <f t="shared" si="9"/>
        <v>Tiara's Luxury Home Away From Home_x000C_</v>
      </c>
      <c r="S211" t="str">
        <f t="shared" si="10"/>
        <v>Tiara's Luxury Home Away From Home</v>
      </c>
      <c r="T211">
        <f>Table1[[#This Row],[Adults]]+Table1[[#This Row],[Children]]</f>
        <v>2</v>
      </c>
      <c r="U211">
        <f>_xlfn.DAYS(Table1[[#This Row],[Depart]],Table1[[#This Row],[Arrive]])</f>
        <v>3</v>
      </c>
    </row>
    <row r="212" spans="1:21" x14ac:dyDescent="0.25">
      <c r="A212" t="s">
        <v>300</v>
      </c>
      <c r="B212" t="s">
        <v>301</v>
      </c>
      <c r="C212" t="s">
        <v>1173</v>
      </c>
      <c r="D212" s="1">
        <v>43990</v>
      </c>
      <c r="E212" s="1">
        <v>43991</v>
      </c>
      <c r="F212">
        <f t="shared" si="11"/>
        <v>1</v>
      </c>
      <c r="G212" s="1">
        <v>43989</v>
      </c>
      <c r="H212" s="2">
        <v>0.33333333333333331</v>
      </c>
      <c r="I212" s="3">
        <v>1</v>
      </c>
      <c r="J212" t="s">
        <v>1402</v>
      </c>
      <c r="K212" t="s">
        <v>1402</v>
      </c>
      <c r="L212" t="s">
        <v>22</v>
      </c>
      <c r="M212" s="12" t="s">
        <v>23</v>
      </c>
      <c r="N212">
        <v>3</v>
      </c>
      <c r="O212">
        <v>0</v>
      </c>
      <c r="P212" t="s">
        <v>19</v>
      </c>
      <c r="Q212" s="6">
        <v>110</v>
      </c>
      <c r="R212" t="str">
        <f t="shared" si="9"/>
        <v xml:space="preserve"> The Daniels 5 Star Short Let Apartment in Lekki_x000C_</v>
      </c>
      <c r="S212" t="str">
        <f t="shared" si="10"/>
        <v xml:space="preserve"> The Daniels 5 Star Short Let Apartment in Lekki</v>
      </c>
      <c r="T212">
        <f>Table1[[#This Row],[Adults]]+Table1[[#This Row],[Children]]</f>
        <v>3</v>
      </c>
      <c r="U212">
        <f>_xlfn.DAYS(Table1[[#This Row],[Depart]],Table1[[#This Row],[Arrive]])</f>
        <v>1</v>
      </c>
    </row>
    <row r="213" spans="1:21" x14ac:dyDescent="0.25">
      <c r="A213" t="s">
        <v>214</v>
      </c>
      <c r="B213" t="s">
        <v>215</v>
      </c>
      <c r="C213" t="s">
        <v>1173</v>
      </c>
      <c r="D213" s="1">
        <v>43991</v>
      </c>
      <c r="E213" s="1">
        <v>43993</v>
      </c>
      <c r="F213">
        <f t="shared" si="11"/>
        <v>2</v>
      </c>
      <c r="G213" s="1">
        <v>43959</v>
      </c>
      <c r="H213" s="2">
        <v>0.33333333333333331</v>
      </c>
      <c r="I213" s="3">
        <v>1</v>
      </c>
      <c r="J213" t="s">
        <v>1330</v>
      </c>
      <c r="K213" t="s">
        <v>1330</v>
      </c>
      <c r="L213" t="s">
        <v>22</v>
      </c>
      <c r="M213" s="12" t="s">
        <v>23</v>
      </c>
      <c r="N213">
        <v>5</v>
      </c>
      <c r="O213">
        <v>0</v>
      </c>
      <c r="P213" t="s">
        <v>19</v>
      </c>
      <c r="Q213" s="6">
        <v>220</v>
      </c>
      <c r="R213" t="str">
        <f t="shared" si="9"/>
        <v xml:space="preserve"> The Daniels 5 Star Short Let Apartment in Lekki_x000C_</v>
      </c>
      <c r="S213" t="str">
        <f t="shared" si="10"/>
        <v xml:space="preserve"> The Daniels 5 Star Short Let Apartment in Lekki</v>
      </c>
      <c r="T213">
        <f>Table1[[#This Row],[Adults]]+Table1[[#This Row],[Children]]</f>
        <v>5</v>
      </c>
      <c r="U213">
        <f>_xlfn.DAYS(Table1[[#This Row],[Depart]],Table1[[#This Row],[Arrive]])</f>
        <v>2</v>
      </c>
    </row>
    <row r="214" spans="1:21" x14ac:dyDescent="0.25">
      <c r="A214" t="s">
        <v>268</v>
      </c>
      <c r="B214" t="s">
        <v>269</v>
      </c>
      <c r="C214" t="s">
        <v>1175</v>
      </c>
      <c r="D214" s="1">
        <v>43991</v>
      </c>
      <c r="E214" s="1">
        <v>43992</v>
      </c>
      <c r="F214">
        <f t="shared" si="11"/>
        <v>1</v>
      </c>
      <c r="G214" s="1">
        <v>43986</v>
      </c>
      <c r="H214" s="2">
        <v>0.33333333333333331</v>
      </c>
      <c r="I214" s="3">
        <v>1</v>
      </c>
      <c r="J214" t="s">
        <v>1368</v>
      </c>
      <c r="K214" t="s">
        <v>1368</v>
      </c>
      <c r="L214" t="s">
        <v>22</v>
      </c>
      <c r="M214" s="12" t="s">
        <v>23</v>
      </c>
      <c r="N214">
        <v>14</v>
      </c>
      <c r="O214">
        <v>0</v>
      </c>
      <c r="P214" t="s">
        <v>19</v>
      </c>
      <c r="Q214" s="6">
        <v>110</v>
      </c>
      <c r="R214" t="str">
        <f t="shared" si="9"/>
        <v>Keji's 5 Star Short let Apartment in Lekki_x000C_</v>
      </c>
      <c r="S214" t="str">
        <f t="shared" si="10"/>
        <v>Keji's 5 Star Short let Apartment in Lekki</v>
      </c>
      <c r="T214">
        <f>Table1[[#This Row],[Adults]]+Table1[[#This Row],[Children]]</f>
        <v>14</v>
      </c>
      <c r="U214">
        <f>_xlfn.DAYS(Table1[[#This Row],[Depart]],Table1[[#This Row],[Arrive]])</f>
        <v>1</v>
      </c>
    </row>
    <row r="215" spans="1:21" x14ac:dyDescent="0.25">
      <c r="A215" t="s">
        <v>90</v>
      </c>
      <c r="B215" t="s">
        <v>91</v>
      </c>
      <c r="C215" t="s">
        <v>1179</v>
      </c>
      <c r="D215" s="1">
        <v>43991</v>
      </c>
      <c r="E215" s="1">
        <v>43997</v>
      </c>
      <c r="F215">
        <f t="shared" si="11"/>
        <v>6</v>
      </c>
      <c r="G215" s="1">
        <v>43990</v>
      </c>
      <c r="H215" s="2">
        <v>0.33333333333333331</v>
      </c>
      <c r="I215" s="3">
        <v>1</v>
      </c>
      <c r="J215" t="s">
        <v>1427</v>
      </c>
      <c r="K215" t="s">
        <v>1427</v>
      </c>
      <c r="L215" t="s">
        <v>22</v>
      </c>
      <c r="M215" s="12" t="s">
        <v>23</v>
      </c>
      <c r="N215">
        <v>2</v>
      </c>
      <c r="O215">
        <v>0</v>
      </c>
      <c r="P215" t="s">
        <v>19</v>
      </c>
      <c r="Q215" s="6">
        <v>770</v>
      </c>
      <c r="R215" t="str">
        <f t="shared" si="9"/>
        <v>Phiola's 5 Star Short Let Apartment in Lekki_x000C_</v>
      </c>
      <c r="S215" t="str">
        <f t="shared" si="10"/>
        <v>Phiola's 5 Star Short Let Apartment in Lekki</v>
      </c>
      <c r="T215">
        <f>Table1[[#This Row],[Adults]]+Table1[[#This Row],[Children]]</f>
        <v>2</v>
      </c>
      <c r="U215">
        <f>_xlfn.DAYS(Table1[[#This Row],[Depart]],Table1[[#This Row],[Arrive]])</f>
        <v>6</v>
      </c>
    </row>
    <row r="216" spans="1:21" x14ac:dyDescent="0.25">
      <c r="A216" t="s">
        <v>270</v>
      </c>
      <c r="B216" t="s">
        <v>271</v>
      </c>
      <c r="C216" t="s">
        <v>1175</v>
      </c>
      <c r="D216" s="1">
        <v>43992</v>
      </c>
      <c r="E216" s="1">
        <v>43993</v>
      </c>
      <c r="F216">
        <f t="shared" si="11"/>
        <v>1</v>
      </c>
      <c r="G216" s="1">
        <v>43980</v>
      </c>
      <c r="H216" s="2">
        <v>0.33333333333333331</v>
      </c>
      <c r="I216" s="3">
        <v>1</v>
      </c>
      <c r="J216" t="s">
        <v>1369</v>
      </c>
      <c r="K216" t="s">
        <v>1369</v>
      </c>
      <c r="L216" t="s">
        <v>22</v>
      </c>
      <c r="M216" s="12" t="s">
        <v>18</v>
      </c>
      <c r="N216">
        <v>5</v>
      </c>
      <c r="O216">
        <v>0</v>
      </c>
      <c r="P216" t="s">
        <v>19</v>
      </c>
      <c r="Q216" s="6">
        <v>110</v>
      </c>
      <c r="R216" t="str">
        <f t="shared" si="9"/>
        <v>Keji's 5 Star Short let Apartment in Lekki_x000C_</v>
      </c>
      <c r="S216" t="str">
        <f t="shared" si="10"/>
        <v>Keji's 5 Star Short let Apartment in Lekki</v>
      </c>
      <c r="T216">
        <f>Table1[[#This Row],[Adults]]+Table1[[#This Row],[Children]]</f>
        <v>5</v>
      </c>
      <c r="U216">
        <f>_xlfn.DAYS(Table1[[#This Row],[Depart]],Table1[[#This Row],[Arrive]])</f>
        <v>1</v>
      </c>
    </row>
    <row r="217" spans="1:21" x14ac:dyDescent="0.25">
      <c r="A217" t="s">
        <v>302</v>
      </c>
      <c r="B217" t="s">
        <v>303</v>
      </c>
      <c r="C217" t="s">
        <v>1175</v>
      </c>
      <c r="D217" s="1">
        <v>43992</v>
      </c>
      <c r="E217" s="1">
        <v>43999</v>
      </c>
      <c r="F217">
        <f t="shared" si="11"/>
        <v>7</v>
      </c>
      <c r="G217" s="1">
        <v>43986</v>
      </c>
      <c r="H217" s="2">
        <v>0.33333333333333331</v>
      </c>
      <c r="I217" s="3">
        <v>1</v>
      </c>
      <c r="J217" t="s">
        <v>1403</v>
      </c>
      <c r="K217" t="s">
        <v>1403</v>
      </c>
      <c r="L217" t="s">
        <v>22</v>
      </c>
      <c r="M217" s="12" t="s">
        <v>23</v>
      </c>
      <c r="N217">
        <v>5</v>
      </c>
      <c r="O217">
        <v>0</v>
      </c>
      <c r="P217" t="s">
        <v>19</v>
      </c>
      <c r="Q217" s="6">
        <v>770</v>
      </c>
      <c r="R217" t="str">
        <f t="shared" si="9"/>
        <v>Keji's 5 Star Short let Apartment in Lekki_x000C_</v>
      </c>
      <c r="S217" t="str">
        <f t="shared" si="10"/>
        <v>Keji's 5 Star Short let Apartment in Lekki</v>
      </c>
      <c r="T217">
        <f>Table1[[#This Row],[Adults]]+Table1[[#This Row],[Children]]</f>
        <v>5</v>
      </c>
      <c r="U217">
        <f>_xlfn.DAYS(Table1[[#This Row],[Depart]],Table1[[#This Row],[Arrive]])</f>
        <v>7</v>
      </c>
    </row>
    <row r="218" spans="1:21" x14ac:dyDescent="0.25">
      <c r="A218" t="s">
        <v>256</v>
      </c>
      <c r="B218" t="s">
        <v>257</v>
      </c>
      <c r="C218" t="s">
        <v>1173</v>
      </c>
      <c r="D218" s="1">
        <v>43993</v>
      </c>
      <c r="E218" s="1">
        <v>43996</v>
      </c>
      <c r="F218">
        <f t="shared" si="11"/>
        <v>3</v>
      </c>
      <c r="G218" s="1">
        <v>43983</v>
      </c>
      <c r="H218" s="2">
        <v>0.33333333333333331</v>
      </c>
      <c r="I218" s="3">
        <v>1</v>
      </c>
      <c r="J218" t="s">
        <v>1362</v>
      </c>
      <c r="K218" t="s">
        <v>1362</v>
      </c>
      <c r="L218" t="s">
        <v>26</v>
      </c>
      <c r="M218" s="12" t="s">
        <v>18</v>
      </c>
      <c r="N218">
        <v>1</v>
      </c>
      <c r="O218">
        <v>0</v>
      </c>
      <c r="P218" t="s">
        <v>19</v>
      </c>
      <c r="Q218" s="6">
        <v>319</v>
      </c>
      <c r="R218" t="str">
        <f t="shared" si="9"/>
        <v xml:space="preserve"> The Daniels 5 Star Short Let Apartment in Lekki_x000C_</v>
      </c>
      <c r="S218" t="str">
        <f t="shared" si="10"/>
        <v xml:space="preserve"> The Daniels 5 Star Short Let Apartment in Lekki</v>
      </c>
      <c r="T218">
        <f>Table1[[#This Row],[Adults]]+Table1[[#This Row],[Children]]</f>
        <v>1</v>
      </c>
      <c r="U218">
        <f>_xlfn.DAYS(Table1[[#This Row],[Depart]],Table1[[#This Row],[Arrive]])</f>
        <v>3</v>
      </c>
    </row>
    <row r="219" spans="1:21" x14ac:dyDescent="0.25">
      <c r="A219" t="s">
        <v>258</v>
      </c>
      <c r="B219" t="s">
        <v>259</v>
      </c>
      <c r="C219" t="s">
        <v>1173</v>
      </c>
      <c r="D219" s="1">
        <v>43993</v>
      </c>
      <c r="E219" s="1">
        <v>43995</v>
      </c>
      <c r="F219">
        <f t="shared" si="11"/>
        <v>2</v>
      </c>
      <c r="G219" s="1">
        <v>43984</v>
      </c>
      <c r="H219" s="2">
        <v>0.33333333333333331</v>
      </c>
      <c r="I219" s="3">
        <v>1</v>
      </c>
      <c r="J219" t="s">
        <v>1363</v>
      </c>
      <c r="K219" t="s">
        <v>1363</v>
      </c>
      <c r="L219" t="s">
        <v>22</v>
      </c>
      <c r="M219" s="12" t="s">
        <v>23</v>
      </c>
      <c r="N219">
        <v>4</v>
      </c>
      <c r="O219">
        <v>0</v>
      </c>
      <c r="P219" t="s">
        <v>19</v>
      </c>
      <c r="Q219" s="6">
        <v>220</v>
      </c>
      <c r="R219" t="str">
        <f t="shared" si="9"/>
        <v xml:space="preserve"> The Daniels 5 Star Short Let Apartment in Lekki_x000C_</v>
      </c>
      <c r="S219" t="str">
        <f t="shared" si="10"/>
        <v xml:space="preserve"> The Daniels 5 Star Short Let Apartment in Lekki</v>
      </c>
      <c r="T219">
        <f>Table1[[#This Row],[Adults]]+Table1[[#This Row],[Children]]</f>
        <v>4</v>
      </c>
      <c r="U219">
        <f>_xlfn.DAYS(Table1[[#This Row],[Depart]],Table1[[#This Row],[Arrive]])</f>
        <v>2</v>
      </c>
    </row>
    <row r="220" spans="1:21" x14ac:dyDescent="0.25">
      <c r="A220" t="s">
        <v>110</v>
      </c>
      <c r="B220" t="s">
        <v>111</v>
      </c>
      <c r="C220" t="s">
        <v>1175</v>
      </c>
      <c r="D220" s="1">
        <v>43993</v>
      </c>
      <c r="E220" s="1">
        <v>44002</v>
      </c>
      <c r="F220">
        <f t="shared" si="11"/>
        <v>9</v>
      </c>
      <c r="G220" s="1">
        <v>43985</v>
      </c>
      <c r="H220" s="2">
        <v>0.33333333333333331</v>
      </c>
      <c r="I220" s="3">
        <v>1</v>
      </c>
      <c r="J220" t="s">
        <v>1370</v>
      </c>
      <c r="K220" t="s">
        <v>1370</v>
      </c>
      <c r="L220" t="s">
        <v>22</v>
      </c>
      <c r="M220" s="12" t="s">
        <v>18</v>
      </c>
      <c r="N220">
        <v>1</v>
      </c>
      <c r="O220">
        <v>0</v>
      </c>
      <c r="P220" t="s">
        <v>19</v>
      </c>
      <c r="Q220" s="6">
        <v>990</v>
      </c>
      <c r="R220" t="str">
        <f t="shared" si="9"/>
        <v>Keji's 5 Star Short let Apartment in Lekki_x000C_</v>
      </c>
      <c r="S220" t="str">
        <f t="shared" si="10"/>
        <v>Keji's 5 Star Short let Apartment in Lekki</v>
      </c>
      <c r="T220">
        <f>Table1[[#This Row],[Adults]]+Table1[[#This Row],[Children]]</f>
        <v>1</v>
      </c>
      <c r="U220">
        <f>_xlfn.DAYS(Table1[[#This Row],[Depart]],Table1[[#This Row],[Arrive]])</f>
        <v>9</v>
      </c>
    </row>
    <row r="221" spans="1:21" x14ac:dyDescent="0.25">
      <c r="A221" t="s">
        <v>248</v>
      </c>
      <c r="B221" t="s">
        <v>249</v>
      </c>
      <c r="C221" t="s">
        <v>1173</v>
      </c>
      <c r="D221" s="1">
        <v>43994</v>
      </c>
      <c r="E221" s="1">
        <v>43995</v>
      </c>
      <c r="F221">
        <f t="shared" si="11"/>
        <v>1</v>
      </c>
      <c r="G221" s="1">
        <v>43981</v>
      </c>
      <c r="H221" s="2">
        <v>0.33333333333333331</v>
      </c>
      <c r="I221" s="3">
        <v>1</v>
      </c>
      <c r="J221" t="s">
        <v>1358</v>
      </c>
      <c r="K221" t="s">
        <v>1358</v>
      </c>
      <c r="L221" t="s">
        <v>26</v>
      </c>
      <c r="M221" s="12" t="s">
        <v>18</v>
      </c>
      <c r="N221">
        <v>3</v>
      </c>
      <c r="O221">
        <v>0</v>
      </c>
      <c r="P221" t="s">
        <v>19</v>
      </c>
      <c r="Q221" s="6">
        <v>107</v>
      </c>
      <c r="R221" t="str">
        <f t="shared" si="9"/>
        <v xml:space="preserve"> The Daniels 5 Star Short Let Apartment in Lekki_x000C_</v>
      </c>
      <c r="S221" t="str">
        <f t="shared" si="10"/>
        <v xml:space="preserve"> The Daniels 5 Star Short Let Apartment in Lekki</v>
      </c>
      <c r="T221">
        <f>Table1[[#This Row],[Adults]]+Table1[[#This Row],[Children]]</f>
        <v>3</v>
      </c>
      <c r="U221">
        <f>_xlfn.DAYS(Table1[[#This Row],[Depart]],Table1[[#This Row],[Arrive]])</f>
        <v>1</v>
      </c>
    </row>
    <row r="222" spans="1:21" x14ac:dyDescent="0.25">
      <c r="A222" t="s">
        <v>248</v>
      </c>
      <c r="B222" t="s">
        <v>249</v>
      </c>
      <c r="C222" t="s">
        <v>1175</v>
      </c>
      <c r="D222" s="1">
        <v>43994</v>
      </c>
      <c r="E222" s="1">
        <v>43997</v>
      </c>
      <c r="F222">
        <f t="shared" si="11"/>
        <v>3</v>
      </c>
      <c r="G222" s="1">
        <v>43982</v>
      </c>
      <c r="H222" s="2">
        <v>0.33333333333333331</v>
      </c>
      <c r="I222" s="3">
        <v>1</v>
      </c>
      <c r="J222" t="s">
        <v>1361</v>
      </c>
      <c r="K222" t="s">
        <v>1361</v>
      </c>
      <c r="L222" t="s">
        <v>26</v>
      </c>
      <c r="M222" s="12" t="s">
        <v>18</v>
      </c>
      <c r="N222">
        <v>3</v>
      </c>
      <c r="O222">
        <v>0</v>
      </c>
      <c r="P222" t="s">
        <v>19</v>
      </c>
      <c r="Q222" s="6">
        <v>319</v>
      </c>
      <c r="R222" t="str">
        <f t="shared" si="9"/>
        <v>Keji's 5 Star Short let Apartment in Lekki_x000C_</v>
      </c>
      <c r="S222" t="str">
        <f t="shared" si="10"/>
        <v>Keji's 5 Star Short let Apartment in Lekki</v>
      </c>
      <c r="T222">
        <f>Table1[[#This Row],[Adults]]+Table1[[#This Row],[Children]]</f>
        <v>3</v>
      </c>
      <c r="U222">
        <f>_xlfn.DAYS(Table1[[#This Row],[Depart]],Table1[[#This Row],[Arrive]])</f>
        <v>3</v>
      </c>
    </row>
    <row r="223" spans="1:21" x14ac:dyDescent="0.25">
      <c r="A223" t="s">
        <v>262</v>
      </c>
      <c r="B223" t="s">
        <v>263</v>
      </c>
      <c r="C223" t="s">
        <v>1173</v>
      </c>
      <c r="D223" s="1">
        <v>43995</v>
      </c>
      <c r="E223" s="1">
        <v>43998</v>
      </c>
      <c r="F223">
        <f t="shared" si="11"/>
        <v>3</v>
      </c>
      <c r="G223" s="1">
        <v>43986</v>
      </c>
      <c r="H223" s="2">
        <v>0.33333333333333331</v>
      </c>
      <c r="I223" s="3">
        <v>1</v>
      </c>
      <c r="J223" t="s">
        <v>1365</v>
      </c>
      <c r="K223" t="s">
        <v>1365</v>
      </c>
      <c r="L223" t="s">
        <v>26</v>
      </c>
      <c r="M223" s="12" t="s">
        <v>18</v>
      </c>
      <c r="N223">
        <v>1</v>
      </c>
      <c r="O223">
        <v>0</v>
      </c>
      <c r="P223" t="s">
        <v>19</v>
      </c>
      <c r="Q223" s="6">
        <v>319</v>
      </c>
      <c r="R223" t="str">
        <f t="shared" si="9"/>
        <v xml:space="preserve"> The Daniels 5 Star Short Let Apartment in Lekki_x000C_</v>
      </c>
      <c r="S223" t="str">
        <f t="shared" si="10"/>
        <v xml:space="preserve"> The Daniels 5 Star Short Let Apartment in Lekki</v>
      </c>
      <c r="T223">
        <f>Table1[[#This Row],[Adults]]+Table1[[#This Row],[Children]]</f>
        <v>1</v>
      </c>
      <c r="U223">
        <f>_xlfn.DAYS(Table1[[#This Row],[Depart]],Table1[[#This Row],[Arrive]])</f>
        <v>3</v>
      </c>
    </row>
    <row r="224" spans="1:21" x14ac:dyDescent="0.25">
      <c r="A224" t="s">
        <v>264</v>
      </c>
      <c r="B224" t="s">
        <v>265</v>
      </c>
      <c r="C224" t="s">
        <v>1173</v>
      </c>
      <c r="D224" s="1">
        <v>43995</v>
      </c>
      <c r="E224" s="1">
        <v>43997</v>
      </c>
      <c r="F224">
        <f t="shared" si="11"/>
        <v>2</v>
      </c>
      <c r="G224" s="1">
        <v>43986</v>
      </c>
      <c r="H224" s="2">
        <v>0.33333333333333331</v>
      </c>
      <c r="I224" s="3">
        <v>1</v>
      </c>
      <c r="J224" t="s">
        <v>1366</v>
      </c>
      <c r="K224" t="s">
        <v>1366</v>
      </c>
      <c r="L224" t="s">
        <v>26</v>
      </c>
      <c r="M224" s="12" t="s">
        <v>18</v>
      </c>
      <c r="N224">
        <v>1</v>
      </c>
      <c r="O224">
        <v>0</v>
      </c>
      <c r="P224" t="s">
        <v>19</v>
      </c>
      <c r="Q224" s="6">
        <v>213</v>
      </c>
      <c r="R224" t="str">
        <f t="shared" si="9"/>
        <v xml:space="preserve"> The Daniels 5 Star Short Let Apartment in Lekki_x000C_</v>
      </c>
      <c r="S224" t="str">
        <f t="shared" si="10"/>
        <v xml:space="preserve"> The Daniels 5 Star Short Let Apartment in Lekki</v>
      </c>
      <c r="T224">
        <f>Table1[[#This Row],[Adults]]+Table1[[#This Row],[Children]]</f>
        <v>1</v>
      </c>
      <c r="U224">
        <f>_xlfn.DAYS(Table1[[#This Row],[Depart]],Table1[[#This Row],[Arrive]])</f>
        <v>2</v>
      </c>
    </row>
    <row r="225" spans="1:21" x14ac:dyDescent="0.25">
      <c r="A225" t="s">
        <v>210</v>
      </c>
      <c r="B225" t="s">
        <v>211</v>
      </c>
      <c r="C225" t="s">
        <v>1178</v>
      </c>
      <c r="D225" s="1">
        <v>43997</v>
      </c>
      <c r="E225" s="1">
        <v>44011</v>
      </c>
      <c r="F225">
        <f t="shared" si="11"/>
        <v>14</v>
      </c>
      <c r="G225" s="1">
        <v>43915</v>
      </c>
      <c r="H225" s="2">
        <v>0.33333333333333331</v>
      </c>
      <c r="I225" s="3">
        <v>1</v>
      </c>
      <c r="J225" t="s">
        <v>2174</v>
      </c>
      <c r="K225" t="s">
        <v>1215</v>
      </c>
      <c r="L225" t="s">
        <v>17</v>
      </c>
      <c r="M225" s="12" t="s">
        <v>18</v>
      </c>
      <c r="N225">
        <v>2</v>
      </c>
      <c r="O225">
        <v>0</v>
      </c>
      <c r="P225" t="s">
        <v>19</v>
      </c>
      <c r="Q225" s="6">
        <v>1789.2</v>
      </c>
      <c r="R225" t="str">
        <f t="shared" si="9"/>
        <v>Ope's 5 Star Short Let Apartment in Lekki_x000C_</v>
      </c>
      <c r="S225" t="str">
        <f t="shared" si="10"/>
        <v>Ope's 5 Star Short Let Apartment in Lekki</v>
      </c>
      <c r="T225">
        <f>Table1[[#This Row],[Adults]]+Table1[[#This Row],[Children]]</f>
        <v>2</v>
      </c>
      <c r="U225">
        <f>_xlfn.DAYS(Table1[[#This Row],[Depart]],Table1[[#This Row],[Arrive]])</f>
        <v>14</v>
      </c>
    </row>
    <row r="226" spans="1:21" x14ac:dyDescent="0.25">
      <c r="A226" t="s">
        <v>252</v>
      </c>
      <c r="B226" t="s">
        <v>253</v>
      </c>
      <c r="C226" t="s">
        <v>1173</v>
      </c>
      <c r="D226" s="1">
        <v>43997</v>
      </c>
      <c r="E226" s="1">
        <v>44002</v>
      </c>
      <c r="F226">
        <f t="shared" si="11"/>
        <v>5</v>
      </c>
      <c r="G226" s="1">
        <v>43986</v>
      </c>
      <c r="H226" s="2">
        <v>0.33333333333333331</v>
      </c>
      <c r="I226" s="3">
        <v>1</v>
      </c>
      <c r="J226" t="s">
        <v>1390</v>
      </c>
      <c r="K226" t="s">
        <v>1390</v>
      </c>
      <c r="L226" t="s">
        <v>22</v>
      </c>
      <c r="M226" s="12" t="s">
        <v>23</v>
      </c>
      <c r="N226">
        <v>4</v>
      </c>
      <c r="O226">
        <v>0</v>
      </c>
      <c r="P226" t="s">
        <v>19</v>
      </c>
      <c r="Q226" s="6">
        <v>550</v>
      </c>
      <c r="R226" t="str">
        <f t="shared" si="9"/>
        <v xml:space="preserve"> The Daniels 5 Star Short Let Apartment in Lekki_x000C_</v>
      </c>
      <c r="S226" t="str">
        <f t="shared" si="10"/>
        <v xml:space="preserve"> The Daniels 5 Star Short Let Apartment in Lekki</v>
      </c>
      <c r="T226">
        <f>Table1[[#This Row],[Adults]]+Table1[[#This Row],[Children]]</f>
        <v>4</v>
      </c>
      <c r="U226">
        <f>_xlfn.DAYS(Table1[[#This Row],[Depart]],Table1[[#This Row],[Arrive]])</f>
        <v>5</v>
      </c>
    </row>
    <row r="227" spans="1:21" x14ac:dyDescent="0.25">
      <c r="A227" t="s">
        <v>332</v>
      </c>
      <c r="B227" t="s">
        <v>333</v>
      </c>
      <c r="C227" t="s">
        <v>1179</v>
      </c>
      <c r="D227" s="1">
        <v>43997</v>
      </c>
      <c r="E227" s="1">
        <v>44002</v>
      </c>
      <c r="F227">
        <f t="shared" si="11"/>
        <v>5</v>
      </c>
      <c r="G227" s="1">
        <v>43990</v>
      </c>
      <c r="H227" s="2">
        <v>0.33333333333333331</v>
      </c>
      <c r="I227" s="3">
        <v>1</v>
      </c>
      <c r="J227" t="s">
        <v>1428</v>
      </c>
      <c r="K227" t="s">
        <v>1428</v>
      </c>
      <c r="L227" t="s">
        <v>22</v>
      </c>
      <c r="M227" s="12" t="s">
        <v>23</v>
      </c>
      <c r="N227">
        <v>5</v>
      </c>
      <c r="O227">
        <v>0</v>
      </c>
      <c r="P227" t="s">
        <v>19</v>
      </c>
      <c r="Q227" s="6">
        <v>550</v>
      </c>
      <c r="R227" t="str">
        <f t="shared" si="9"/>
        <v>Phiola's 5 Star Short Let Apartment in Lekki_x000C_</v>
      </c>
      <c r="S227" t="str">
        <f t="shared" si="10"/>
        <v>Phiola's 5 Star Short Let Apartment in Lekki</v>
      </c>
      <c r="T227">
        <f>Table1[[#This Row],[Adults]]+Table1[[#This Row],[Children]]</f>
        <v>5</v>
      </c>
      <c r="U227">
        <f>_xlfn.DAYS(Table1[[#This Row],[Depart]],Table1[[#This Row],[Arrive]])</f>
        <v>5</v>
      </c>
    </row>
    <row r="228" spans="1:21" x14ac:dyDescent="0.25">
      <c r="A228" t="s">
        <v>332</v>
      </c>
      <c r="B228" t="s">
        <v>333</v>
      </c>
      <c r="C228" t="s">
        <v>1175</v>
      </c>
      <c r="D228" s="1">
        <v>43999</v>
      </c>
      <c r="E228" s="1">
        <v>44000</v>
      </c>
      <c r="F228">
        <f t="shared" si="11"/>
        <v>1</v>
      </c>
      <c r="G228" s="1">
        <v>43990</v>
      </c>
      <c r="H228" s="2">
        <v>0.33333333333333331</v>
      </c>
      <c r="I228" s="3">
        <v>1</v>
      </c>
      <c r="J228" t="s">
        <v>1422</v>
      </c>
      <c r="K228" t="s">
        <v>1422</v>
      </c>
      <c r="L228" t="s">
        <v>22</v>
      </c>
      <c r="M228" s="12" t="s">
        <v>18</v>
      </c>
      <c r="N228">
        <v>3</v>
      </c>
      <c r="O228">
        <v>0</v>
      </c>
      <c r="P228" t="s">
        <v>19</v>
      </c>
      <c r="Q228" s="6">
        <v>110</v>
      </c>
      <c r="R228" t="str">
        <f t="shared" si="9"/>
        <v>Keji's 5 Star Short let Apartment in Lekki_x000C_</v>
      </c>
      <c r="S228" t="str">
        <f t="shared" si="10"/>
        <v>Keji's 5 Star Short let Apartment in Lekki</v>
      </c>
      <c r="T228">
        <f>Table1[[#This Row],[Adults]]+Table1[[#This Row],[Children]]</f>
        <v>3</v>
      </c>
      <c r="U228">
        <f>_xlfn.DAYS(Table1[[#This Row],[Depart]],Table1[[#This Row],[Arrive]])</f>
        <v>1</v>
      </c>
    </row>
    <row r="229" spans="1:21" x14ac:dyDescent="0.25">
      <c r="A229" t="s">
        <v>290</v>
      </c>
      <c r="B229" t="s">
        <v>291</v>
      </c>
      <c r="C229" t="s">
        <v>1175</v>
      </c>
      <c r="D229" s="1">
        <v>44000</v>
      </c>
      <c r="E229" s="1">
        <v>44002</v>
      </c>
      <c r="F229">
        <f t="shared" si="11"/>
        <v>2</v>
      </c>
      <c r="G229" s="1">
        <v>43986</v>
      </c>
      <c r="H229" s="2">
        <v>0.33333333333333331</v>
      </c>
      <c r="I229" s="3">
        <v>1</v>
      </c>
      <c r="J229" t="s">
        <v>1396</v>
      </c>
      <c r="K229" t="s">
        <v>1396</v>
      </c>
      <c r="L229" t="s">
        <v>26</v>
      </c>
      <c r="M229" s="12" t="s">
        <v>18</v>
      </c>
      <c r="N229">
        <v>6</v>
      </c>
      <c r="O229">
        <v>0</v>
      </c>
      <c r="P229" t="s">
        <v>19</v>
      </c>
      <c r="Q229" s="6">
        <v>213</v>
      </c>
      <c r="R229" t="str">
        <f t="shared" si="9"/>
        <v>Keji's 5 Star Short let Apartment in Lekki_x000C_</v>
      </c>
      <c r="S229" t="str">
        <f t="shared" si="10"/>
        <v>Keji's 5 Star Short let Apartment in Lekki</v>
      </c>
      <c r="T229">
        <f>Table1[[#This Row],[Adults]]+Table1[[#This Row],[Children]]</f>
        <v>6</v>
      </c>
      <c r="U229">
        <f>_xlfn.DAYS(Table1[[#This Row],[Depart]],Table1[[#This Row],[Arrive]])</f>
        <v>2</v>
      </c>
    </row>
    <row r="230" spans="1:21" x14ac:dyDescent="0.25">
      <c r="A230" t="s">
        <v>296</v>
      </c>
      <c r="B230" t="s">
        <v>297</v>
      </c>
      <c r="C230" t="s">
        <v>1175</v>
      </c>
      <c r="D230" s="1">
        <v>44000</v>
      </c>
      <c r="E230" s="1">
        <v>44002</v>
      </c>
      <c r="F230">
        <f t="shared" si="11"/>
        <v>2</v>
      </c>
      <c r="G230" s="1">
        <v>43988</v>
      </c>
      <c r="H230" s="2">
        <v>0.33333333333333331</v>
      </c>
      <c r="I230" s="3">
        <v>1</v>
      </c>
      <c r="J230" t="s">
        <v>1399</v>
      </c>
      <c r="K230" t="s">
        <v>1399</v>
      </c>
      <c r="L230" t="s">
        <v>22</v>
      </c>
      <c r="M230" s="12" t="s">
        <v>23</v>
      </c>
      <c r="N230">
        <v>7</v>
      </c>
      <c r="O230">
        <v>0</v>
      </c>
      <c r="P230" t="s">
        <v>19</v>
      </c>
      <c r="Q230" s="6">
        <v>220</v>
      </c>
      <c r="R230" t="str">
        <f t="shared" si="9"/>
        <v>Keji's 5 Star Short let Apartment in Lekki_x000C_</v>
      </c>
      <c r="S230" t="str">
        <f t="shared" si="10"/>
        <v>Keji's 5 Star Short let Apartment in Lekki</v>
      </c>
      <c r="T230">
        <f>Table1[[#This Row],[Adults]]+Table1[[#This Row],[Children]]</f>
        <v>7</v>
      </c>
      <c r="U230">
        <f>_xlfn.DAYS(Table1[[#This Row],[Depart]],Table1[[#This Row],[Arrive]])</f>
        <v>2</v>
      </c>
    </row>
    <row r="231" spans="1:21" x14ac:dyDescent="0.25">
      <c r="A231" t="s">
        <v>76</v>
      </c>
      <c r="B231" t="s">
        <v>77</v>
      </c>
      <c r="C231" t="s">
        <v>1175</v>
      </c>
      <c r="D231" s="1">
        <v>44001</v>
      </c>
      <c r="E231" s="1">
        <v>44011</v>
      </c>
      <c r="F231">
        <f t="shared" si="11"/>
        <v>10</v>
      </c>
      <c r="G231" s="1">
        <v>43846</v>
      </c>
      <c r="H231" s="2">
        <v>0.33333333333333331</v>
      </c>
      <c r="I231" s="3">
        <v>1</v>
      </c>
      <c r="J231" t="s">
        <v>2167</v>
      </c>
      <c r="K231" t="s">
        <v>1215</v>
      </c>
      <c r="L231" t="s">
        <v>17</v>
      </c>
      <c r="M231" s="12" t="s">
        <v>18</v>
      </c>
      <c r="N231">
        <v>4</v>
      </c>
      <c r="O231">
        <v>0</v>
      </c>
      <c r="P231" t="s">
        <v>19</v>
      </c>
      <c r="Q231" s="6">
        <v>1044.9000000000001</v>
      </c>
      <c r="R231" t="str">
        <f t="shared" si="9"/>
        <v>Keji's 5 Star Short let Apartment in Lekki_x000C_</v>
      </c>
      <c r="S231" t="str">
        <f t="shared" si="10"/>
        <v>Keji's 5 Star Short let Apartment in Lekki</v>
      </c>
      <c r="T231">
        <f>Table1[[#This Row],[Adults]]+Table1[[#This Row],[Children]]</f>
        <v>4</v>
      </c>
      <c r="U231">
        <f>_xlfn.DAYS(Table1[[#This Row],[Depart]],Table1[[#This Row],[Arrive]])</f>
        <v>10</v>
      </c>
    </row>
    <row r="232" spans="1:21" x14ac:dyDescent="0.25">
      <c r="A232" t="s">
        <v>76</v>
      </c>
      <c r="B232" t="s">
        <v>77</v>
      </c>
      <c r="C232" t="s">
        <v>1175</v>
      </c>
      <c r="D232" s="1">
        <v>44001</v>
      </c>
      <c r="E232" s="1">
        <v>44011</v>
      </c>
      <c r="F232">
        <f t="shared" si="11"/>
        <v>10</v>
      </c>
      <c r="G232" s="1">
        <v>43888</v>
      </c>
      <c r="H232" s="2">
        <v>0.33333333333333331</v>
      </c>
      <c r="I232" s="3">
        <v>1</v>
      </c>
      <c r="J232" t="s">
        <v>1216</v>
      </c>
      <c r="K232" t="s">
        <v>1216</v>
      </c>
      <c r="L232" t="s">
        <v>22</v>
      </c>
      <c r="M232" s="12" t="s">
        <v>18</v>
      </c>
      <c r="N232">
        <v>3</v>
      </c>
      <c r="O232">
        <v>0</v>
      </c>
      <c r="P232" t="s">
        <v>19</v>
      </c>
      <c r="Q232" s="6">
        <v>810</v>
      </c>
      <c r="R232" t="str">
        <f t="shared" si="9"/>
        <v>Keji's 5 Star Short let Apartment in Lekki_x000C_</v>
      </c>
      <c r="S232" t="str">
        <f t="shared" si="10"/>
        <v>Keji's 5 Star Short let Apartment in Lekki</v>
      </c>
      <c r="T232">
        <f>Table1[[#This Row],[Adults]]+Table1[[#This Row],[Children]]</f>
        <v>3</v>
      </c>
      <c r="U232">
        <f>_xlfn.DAYS(Table1[[#This Row],[Depart]],Table1[[#This Row],[Arrive]])</f>
        <v>10</v>
      </c>
    </row>
    <row r="233" spans="1:21" x14ac:dyDescent="0.25">
      <c r="A233" t="s">
        <v>298</v>
      </c>
      <c r="B233" t="s">
        <v>299</v>
      </c>
      <c r="C233" t="s">
        <v>1173</v>
      </c>
      <c r="D233" s="1">
        <v>44002</v>
      </c>
      <c r="E233" s="1">
        <v>44003</v>
      </c>
      <c r="F233">
        <f t="shared" si="11"/>
        <v>1</v>
      </c>
      <c r="G233" s="1">
        <v>43988</v>
      </c>
      <c r="H233" s="2">
        <v>0.33333333333333331</v>
      </c>
      <c r="I233" s="3">
        <v>1</v>
      </c>
      <c r="J233" t="s">
        <v>1400</v>
      </c>
      <c r="K233" t="s">
        <v>1400</v>
      </c>
      <c r="L233" t="s">
        <v>22</v>
      </c>
      <c r="M233" s="12" t="s">
        <v>23</v>
      </c>
      <c r="N233">
        <v>6</v>
      </c>
      <c r="O233">
        <v>0</v>
      </c>
      <c r="P233" t="s">
        <v>19</v>
      </c>
      <c r="Q233" s="6">
        <v>110</v>
      </c>
      <c r="R233" t="str">
        <f t="shared" si="9"/>
        <v xml:space="preserve"> The Daniels 5 Star Short Let Apartment in Lekki_x000C_</v>
      </c>
      <c r="S233" t="str">
        <f t="shared" si="10"/>
        <v xml:space="preserve"> The Daniels 5 Star Short Let Apartment in Lekki</v>
      </c>
      <c r="T233">
        <f>Table1[[#This Row],[Adults]]+Table1[[#This Row],[Children]]</f>
        <v>6</v>
      </c>
      <c r="U233">
        <f>_xlfn.DAYS(Table1[[#This Row],[Depart]],Table1[[#This Row],[Arrive]])</f>
        <v>1</v>
      </c>
    </row>
    <row r="234" spans="1:21" x14ac:dyDescent="0.25">
      <c r="A234" t="s">
        <v>320</v>
      </c>
      <c r="B234" t="s">
        <v>321</v>
      </c>
      <c r="C234" t="s">
        <v>1179</v>
      </c>
      <c r="D234" s="1">
        <v>44002</v>
      </c>
      <c r="E234" s="1">
        <v>44004</v>
      </c>
      <c r="F234">
        <f t="shared" si="11"/>
        <v>2</v>
      </c>
      <c r="G234" s="1">
        <v>43990</v>
      </c>
      <c r="H234" s="2">
        <v>0.33333333333333331</v>
      </c>
      <c r="I234" s="3">
        <v>1</v>
      </c>
      <c r="J234" t="s">
        <v>1416</v>
      </c>
      <c r="K234" t="s">
        <v>1416</v>
      </c>
      <c r="L234" t="s">
        <v>22</v>
      </c>
      <c r="M234" s="12" t="s">
        <v>23</v>
      </c>
      <c r="N234">
        <v>6</v>
      </c>
      <c r="O234">
        <v>0</v>
      </c>
      <c r="P234" t="s">
        <v>19</v>
      </c>
      <c r="Q234" s="6">
        <v>220</v>
      </c>
      <c r="R234" t="str">
        <f t="shared" si="9"/>
        <v>Phiola's 5 Star Short Let Apartment in Lekki_x000C_</v>
      </c>
      <c r="S234" t="str">
        <f t="shared" si="10"/>
        <v>Phiola's 5 Star Short Let Apartment in Lekki</v>
      </c>
      <c r="T234">
        <f>Table1[[#This Row],[Adults]]+Table1[[#This Row],[Children]]</f>
        <v>6</v>
      </c>
      <c r="U234">
        <f>_xlfn.DAYS(Table1[[#This Row],[Depart]],Table1[[#This Row],[Arrive]])</f>
        <v>2</v>
      </c>
    </row>
    <row r="235" spans="1:21" x14ac:dyDescent="0.25">
      <c r="A235" t="s">
        <v>346</v>
      </c>
      <c r="B235" t="s">
        <v>347</v>
      </c>
      <c r="C235" t="s">
        <v>1175</v>
      </c>
      <c r="D235" s="1">
        <v>44002</v>
      </c>
      <c r="E235" s="1">
        <v>44004</v>
      </c>
      <c r="F235">
        <f t="shared" si="11"/>
        <v>2</v>
      </c>
      <c r="G235" s="1">
        <v>43984</v>
      </c>
      <c r="H235" s="2">
        <v>0.33333333333333331</v>
      </c>
      <c r="I235" s="3">
        <v>1</v>
      </c>
      <c r="J235" t="s">
        <v>1431</v>
      </c>
      <c r="K235" t="s">
        <v>1431</v>
      </c>
      <c r="L235" t="s">
        <v>22</v>
      </c>
      <c r="M235" s="12" t="s">
        <v>23</v>
      </c>
      <c r="N235">
        <v>3</v>
      </c>
      <c r="O235">
        <v>0</v>
      </c>
      <c r="P235" t="s">
        <v>19</v>
      </c>
      <c r="Q235" s="6">
        <v>220</v>
      </c>
      <c r="R235" t="str">
        <f t="shared" si="9"/>
        <v>Keji's 5 Star Short let Apartment in Lekki_x000C_</v>
      </c>
      <c r="S235" t="str">
        <f t="shared" si="10"/>
        <v>Keji's 5 Star Short let Apartment in Lekki</v>
      </c>
      <c r="T235">
        <f>Table1[[#This Row],[Adults]]+Table1[[#This Row],[Children]]</f>
        <v>3</v>
      </c>
      <c r="U235">
        <f>_xlfn.DAYS(Table1[[#This Row],[Depart]],Table1[[#This Row],[Arrive]])</f>
        <v>2</v>
      </c>
    </row>
    <row r="236" spans="1:21" x14ac:dyDescent="0.25">
      <c r="A236" t="s">
        <v>292</v>
      </c>
      <c r="B236" t="s">
        <v>293</v>
      </c>
      <c r="C236" t="s">
        <v>1173</v>
      </c>
      <c r="D236" s="1">
        <v>44003</v>
      </c>
      <c r="E236" s="1">
        <v>44004</v>
      </c>
      <c r="F236">
        <f t="shared" si="11"/>
        <v>1</v>
      </c>
      <c r="G236" s="1">
        <v>43987</v>
      </c>
      <c r="H236" s="2">
        <v>0.33333333333333331</v>
      </c>
      <c r="I236" s="3">
        <v>1</v>
      </c>
      <c r="J236" t="s">
        <v>1397</v>
      </c>
      <c r="K236" t="s">
        <v>1397</v>
      </c>
      <c r="L236" t="s">
        <v>26</v>
      </c>
      <c r="M236" s="12" t="s">
        <v>18</v>
      </c>
      <c r="N236">
        <v>3</v>
      </c>
      <c r="O236">
        <v>0</v>
      </c>
      <c r="P236" t="s">
        <v>19</v>
      </c>
      <c r="Q236" s="6">
        <v>107</v>
      </c>
      <c r="R236" t="str">
        <f t="shared" si="9"/>
        <v xml:space="preserve"> The Daniels 5 Star Short Let Apartment in Lekki_x000C_</v>
      </c>
      <c r="S236" t="str">
        <f t="shared" si="10"/>
        <v xml:space="preserve"> The Daniels 5 Star Short Let Apartment in Lekki</v>
      </c>
      <c r="T236">
        <f>Table1[[#This Row],[Adults]]+Table1[[#This Row],[Children]]</f>
        <v>3</v>
      </c>
      <c r="U236">
        <f>_xlfn.DAYS(Table1[[#This Row],[Depart]],Table1[[#This Row],[Arrive]])</f>
        <v>1</v>
      </c>
    </row>
    <row r="237" spans="1:21" x14ac:dyDescent="0.25">
      <c r="A237" t="s">
        <v>318</v>
      </c>
      <c r="B237" t="s">
        <v>319</v>
      </c>
      <c r="C237" t="s">
        <v>1173</v>
      </c>
      <c r="D237" s="1">
        <v>44003</v>
      </c>
      <c r="E237" s="1">
        <v>44004</v>
      </c>
      <c r="F237">
        <f t="shared" si="11"/>
        <v>1</v>
      </c>
      <c r="G237" s="1">
        <v>43994</v>
      </c>
      <c r="H237" s="2">
        <v>0.33333333333333331</v>
      </c>
      <c r="I237" s="3">
        <v>1</v>
      </c>
      <c r="J237" t="s">
        <v>1414</v>
      </c>
      <c r="K237" t="s">
        <v>1414</v>
      </c>
      <c r="L237" t="s">
        <v>22</v>
      </c>
      <c r="M237" s="12" t="s">
        <v>23</v>
      </c>
      <c r="N237">
        <v>6</v>
      </c>
      <c r="O237">
        <v>0</v>
      </c>
      <c r="P237" t="s">
        <v>19</v>
      </c>
      <c r="Q237" s="6">
        <v>110</v>
      </c>
      <c r="R237" t="str">
        <f t="shared" si="9"/>
        <v xml:space="preserve"> The Daniels 5 Star Short Let Apartment in Lekki_x000C_</v>
      </c>
      <c r="S237" t="str">
        <f t="shared" si="10"/>
        <v xml:space="preserve"> The Daniels 5 Star Short Let Apartment in Lekki</v>
      </c>
      <c r="T237">
        <f>Table1[[#This Row],[Adults]]+Table1[[#This Row],[Children]]</f>
        <v>6</v>
      </c>
      <c r="U237">
        <f>_xlfn.DAYS(Table1[[#This Row],[Depart]],Table1[[#This Row],[Arrive]])</f>
        <v>1</v>
      </c>
    </row>
    <row r="238" spans="1:21" x14ac:dyDescent="0.25">
      <c r="A238" t="s">
        <v>318</v>
      </c>
      <c r="B238" t="s">
        <v>319</v>
      </c>
      <c r="C238" t="s">
        <v>1179</v>
      </c>
      <c r="D238" s="1">
        <v>44003</v>
      </c>
      <c r="E238" s="1">
        <v>44004</v>
      </c>
      <c r="F238">
        <f t="shared" si="11"/>
        <v>1</v>
      </c>
      <c r="G238" s="1">
        <v>43992</v>
      </c>
      <c r="H238" s="2">
        <v>0.33333333333333331</v>
      </c>
      <c r="I238" s="3">
        <v>1</v>
      </c>
      <c r="J238" t="s">
        <v>1415</v>
      </c>
      <c r="K238" t="s">
        <v>1415</v>
      </c>
      <c r="L238" t="s">
        <v>22</v>
      </c>
      <c r="M238" s="12" t="s">
        <v>18</v>
      </c>
      <c r="N238">
        <v>5</v>
      </c>
      <c r="O238">
        <v>0</v>
      </c>
      <c r="P238" t="s">
        <v>19</v>
      </c>
      <c r="Q238" s="6">
        <v>110</v>
      </c>
      <c r="R238" t="str">
        <f t="shared" si="9"/>
        <v>Phiola's 5 Star Short Let Apartment in Lekki_x000C_</v>
      </c>
      <c r="S238" t="str">
        <f t="shared" si="10"/>
        <v>Phiola's 5 Star Short Let Apartment in Lekki</v>
      </c>
      <c r="T238">
        <f>Table1[[#This Row],[Adults]]+Table1[[#This Row],[Children]]</f>
        <v>5</v>
      </c>
      <c r="U238">
        <f>_xlfn.DAYS(Table1[[#This Row],[Depart]],Table1[[#This Row],[Arrive]])</f>
        <v>1</v>
      </c>
    </row>
    <row r="239" spans="1:21" x14ac:dyDescent="0.25">
      <c r="A239" t="s">
        <v>364</v>
      </c>
      <c r="B239" t="s">
        <v>365</v>
      </c>
      <c r="C239" t="s">
        <v>1175</v>
      </c>
      <c r="D239" s="1">
        <v>44004</v>
      </c>
      <c r="E239" s="1">
        <v>44005</v>
      </c>
      <c r="F239">
        <f t="shared" si="11"/>
        <v>1</v>
      </c>
      <c r="G239" s="1">
        <v>44001</v>
      </c>
      <c r="H239" s="2">
        <v>0.33333333333333331</v>
      </c>
      <c r="I239" s="3">
        <v>1</v>
      </c>
      <c r="J239" t="s">
        <v>1441</v>
      </c>
      <c r="K239" t="s">
        <v>1441</v>
      </c>
      <c r="L239" t="s">
        <v>22</v>
      </c>
      <c r="M239" s="12" t="s">
        <v>23</v>
      </c>
      <c r="N239">
        <v>6</v>
      </c>
      <c r="O239">
        <v>0</v>
      </c>
      <c r="P239" t="s">
        <v>19</v>
      </c>
      <c r="Q239" s="6">
        <v>110</v>
      </c>
      <c r="R239" t="str">
        <f t="shared" si="9"/>
        <v>Keji's 5 Star Short let Apartment in Lekki_x000C_</v>
      </c>
      <c r="S239" t="str">
        <f t="shared" si="10"/>
        <v>Keji's 5 Star Short let Apartment in Lekki</v>
      </c>
      <c r="T239">
        <f>Table1[[#This Row],[Adults]]+Table1[[#This Row],[Children]]</f>
        <v>6</v>
      </c>
      <c r="U239">
        <f>_xlfn.DAYS(Table1[[#This Row],[Depart]],Table1[[#This Row],[Arrive]])</f>
        <v>1</v>
      </c>
    </row>
    <row r="240" spans="1:21" x14ac:dyDescent="0.25">
      <c r="A240" t="s">
        <v>368</v>
      </c>
      <c r="B240" t="s">
        <v>369</v>
      </c>
      <c r="C240" t="s">
        <v>1179</v>
      </c>
      <c r="D240" s="1">
        <v>44004</v>
      </c>
      <c r="E240" s="1">
        <v>44005</v>
      </c>
      <c r="F240">
        <f t="shared" si="11"/>
        <v>1</v>
      </c>
      <c r="G240" s="1">
        <v>43991</v>
      </c>
      <c r="H240" s="2">
        <v>0.33333333333333331</v>
      </c>
      <c r="I240" s="3">
        <v>1</v>
      </c>
      <c r="J240" t="s">
        <v>1443</v>
      </c>
      <c r="K240" t="s">
        <v>1443</v>
      </c>
      <c r="L240" t="s">
        <v>22</v>
      </c>
      <c r="M240" s="12" t="s">
        <v>18</v>
      </c>
      <c r="N240">
        <v>10</v>
      </c>
      <c r="O240">
        <v>0</v>
      </c>
      <c r="P240" t="s">
        <v>19</v>
      </c>
      <c r="Q240" s="6">
        <v>330</v>
      </c>
      <c r="R240" t="str">
        <f t="shared" si="9"/>
        <v>Phiola's 5 Star Short Let Apartment in Lekki_x000C_</v>
      </c>
      <c r="S240" t="str">
        <f t="shared" si="10"/>
        <v>Phiola's 5 Star Short Let Apartment in Lekki</v>
      </c>
      <c r="T240">
        <f>Table1[[#This Row],[Adults]]+Table1[[#This Row],[Children]]</f>
        <v>10</v>
      </c>
      <c r="U240">
        <f>_xlfn.DAYS(Table1[[#This Row],[Depart]],Table1[[#This Row],[Arrive]])</f>
        <v>1</v>
      </c>
    </row>
    <row r="241" spans="1:21" x14ac:dyDescent="0.25">
      <c r="A241" t="s">
        <v>370</v>
      </c>
      <c r="B241" t="s">
        <v>371</v>
      </c>
      <c r="C241" t="s">
        <v>1179</v>
      </c>
      <c r="D241" s="1">
        <v>44004</v>
      </c>
      <c r="E241" s="1">
        <v>44006</v>
      </c>
      <c r="F241">
        <f t="shared" si="11"/>
        <v>2</v>
      </c>
      <c r="G241" s="1">
        <v>44001</v>
      </c>
      <c r="H241" s="2">
        <v>0.33333333333333331</v>
      </c>
      <c r="I241" s="3">
        <v>1</v>
      </c>
      <c r="J241" t="s">
        <v>1444</v>
      </c>
      <c r="K241" t="s">
        <v>1444</v>
      </c>
      <c r="L241" t="s">
        <v>22</v>
      </c>
      <c r="M241" s="12" t="s">
        <v>23</v>
      </c>
      <c r="N241">
        <v>5</v>
      </c>
      <c r="O241">
        <v>0</v>
      </c>
      <c r="P241" t="s">
        <v>19</v>
      </c>
      <c r="Q241" s="6">
        <v>220</v>
      </c>
      <c r="R241" t="str">
        <f t="shared" si="9"/>
        <v>Phiola's 5 Star Short Let Apartment in Lekki_x000C_</v>
      </c>
      <c r="S241" t="str">
        <f t="shared" si="10"/>
        <v>Phiola's 5 Star Short Let Apartment in Lekki</v>
      </c>
      <c r="T241">
        <f>Table1[[#This Row],[Adults]]+Table1[[#This Row],[Children]]</f>
        <v>5</v>
      </c>
      <c r="U241">
        <f>_xlfn.DAYS(Table1[[#This Row],[Depart]],Table1[[#This Row],[Arrive]])</f>
        <v>2</v>
      </c>
    </row>
    <row r="242" spans="1:21" x14ac:dyDescent="0.25">
      <c r="A242" t="s">
        <v>370</v>
      </c>
      <c r="B242" t="s">
        <v>371</v>
      </c>
      <c r="C242" t="s">
        <v>1173</v>
      </c>
      <c r="D242" s="1">
        <v>44004</v>
      </c>
      <c r="E242" s="1">
        <v>44005</v>
      </c>
      <c r="F242">
        <f t="shared" si="11"/>
        <v>1</v>
      </c>
      <c r="G242" s="1">
        <v>43999</v>
      </c>
      <c r="H242" s="2">
        <v>0.33333333333333331</v>
      </c>
      <c r="I242" s="3">
        <v>1</v>
      </c>
      <c r="J242" t="s">
        <v>1445</v>
      </c>
      <c r="K242" t="s">
        <v>1445</v>
      </c>
      <c r="L242" t="s">
        <v>22</v>
      </c>
      <c r="M242" s="12" t="s">
        <v>18</v>
      </c>
      <c r="N242">
        <v>4</v>
      </c>
      <c r="O242">
        <v>0</v>
      </c>
      <c r="P242" t="s">
        <v>19</v>
      </c>
      <c r="Q242" s="6">
        <v>110</v>
      </c>
      <c r="R242" t="str">
        <f t="shared" si="9"/>
        <v xml:space="preserve"> The Daniels 5 Star Short Let Apartment in Lekki_x000C_</v>
      </c>
      <c r="S242" t="str">
        <f t="shared" si="10"/>
        <v xml:space="preserve"> The Daniels 5 Star Short Let Apartment in Lekki</v>
      </c>
      <c r="T242">
        <f>Table1[[#This Row],[Adults]]+Table1[[#This Row],[Children]]</f>
        <v>4</v>
      </c>
      <c r="U242">
        <f>_xlfn.DAYS(Table1[[#This Row],[Depart]],Table1[[#This Row],[Arrive]])</f>
        <v>1</v>
      </c>
    </row>
    <row r="243" spans="1:21" x14ac:dyDescent="0.25">
      <c r="A243" t="s">
        <v>368</v>
      </c>
      <c r="B243" t="s">
        <v>369</v>
      </c>
      <c r="C243" t="s">
        <v>1173</v>
      </c>
      <c r="D243" s="1">
        <v>44004</v>
      </c>
      <c r="E243" s="1">
        <v>44005</v>
      </c>
      <c r="F243">
        <f t="shared" si="11"/>
        <v>1</v>
      </c>
      <c r="G243" s="1">
        <v>44001</v>
      </c>
      <c r="H243" s="2">
        <v>0.33333333333333331</v>
      </c>
      <c r="I243" s="3">
        <v>1</v>
      </c>
      <c r="J243" t="s">
        <v>1471</v>
      </c>
      <c r="K243" t="s">
        <v>1471</v>
      </c>
      <c r="L243" t="s">
        <v>22</v>
      </c>
      <c r="M243" s="12" t="s">
        <v>18</v>
      </c>
      <c r="N243">
        <v>6</v>
      </c>
      <c r="O243">
        <v>0</v>
      </c>
      <c r="P243" t="s">
        <v>19</v>
      </c>
      <c r="Q243" s="6">
        <v>110</v>
      </c>
      <c r="R243" t="str">
        <f t="shared" si="9"/>
        <v xml:space="preserve"> The Daniels 5 Star Short Let Apartment in Lekki_x000C_</v>
      </c>
      <c r="S243" t="str">
        <f t="shared" si="10"/>
        <v xml:space="preserve"> The Daniels 5 Star Short Let Apartment in Lekki</v>
      </c>
      <c r="T243">
        <f>Table1[[#This Row],[Adults]]+Table1[[#This Row],[Children]]</f>
        <v>6</v>
      </c>
      <c r="U243">
        <f>_xlfn.DAYS(Table1[[#This Row],[Depart]],Table1[[#This Row],[Arrive]])</f>
        <v>1</v>
      </c>
    </row>
    <row r="244" spans="1:21" x14ac:dyDescent="0.25">
      <c r="A244" t="s">
        <v>76</v>
      </c>
      <c r="B244" t="s">
        <v>77</v>
      </c>
      <c r="C244" t="s">
        <v>1175</v>
      </c>
      <c r="D244" s="1">
        <v>44005</v>
      </c>
      <c r="E244" s="1">
        <v>44011</v>
      </c>
      <c r="F244">
        <f t="shared" si="11"/>
        <v>6</v>
      </c>
      <c r="G244" s="1">
        <v>43889</v>
      </c>
      <c r="H244" s="2">
        <v>0.33333333333333331</v>
      </c>
      <c r="I244" s="3">
        <v>1</v>
      </c>
      <c r="J244" t="s">
        <v>1392</v>
      </c>
      <c r="K244" t="s">
        <v>1392</v>
      </c>
      <c r="L244" t="s">
        <v>22</v>
      </c>
      <c r="M244" s="12" t="s">
        <v>18</v>
      </c>
      <c r="N244">
        <v>3</v>
      </c>
      <c r="O244">
        <v>0</v>
      </c>
      <c r="P244" t="s">
        <v>19</v>
      </c>
      <c r="Q244" s="6">
        <v>660</v>
      </c>
      <c r="R244" t="str">
        <f t="shared" si="9"/>
        <v>Keji's 5 Star Short let Apartment in Lekki_x000C_</v>
      </c>
      <c r="S244" t="str">
        <f t="shared" si="10"/>
        <v>Keji's 5 Star Short let Apartment in Lekki</v>
      </c>
      <c r="T244">
        <f>Table1[[#This Row],[Adults]]+Table1[[#This Row],[Children]]</f>
        <v>3</v>
      </c>
      <c r="U244">
        <f>_xlfn.DAYS(Table1[[#This Row],[Depart]],Table1[[#This Row],[Arrive]])</f>
        <v>6</v>
      </c>
    </row>
    <row r="245" spans="1:21" x14ac:dyDescent="0.25">
      <c r="A245" t="s">
        <v>310</v>
      </c>
      <c r="B245" t="s">
        <v>311</v>
      </c>
      <c r="C245" t="s">
        <v>1175</v>
      </c>
      <c r="D245" s="1">
        <v>44005</v>
      </c>
      <c r="E245" s="1">
        <v>44006</v>
      </c>
      <c r="F245">
        <f t="shared" si="11"/>
        <v>1</v>
      </c>
      <c r="G245" s="1">
        <v>43991</v>
      </c>
      <c r="H245" s="2">
        <v>0.33333333333333331</v>
      </c>
      <c r="I245" s="3">
        <v>1</v>
      </c>
      <c r="J245" t="s">
        <v>1410</v>
      </c>
      <c r="K245" t="s">
        <v>1410</v>
      </c>
      <c r="L245" t="s">
        <v>22</v>
      </c>
      <c r="M245" s="12" t="s">
        <v>23</v>
      </c>
      <c r="N245">
        <v>6</v>
      </c>
      <c r="O245">
        <v>0</v>
      </c>
      <c r="P245" t="s">
        <v>19</v>
      </c>
      <c r="Q245" s="6">
        <v>110</v>
      </c>
      <c r="R245" t="str">
        <f t="shared" si="9"/>
        <v>Keji's 5 Star Short let Apartment in Lekki_x000C_</v>
      </c>
      <c r="S245" t="str">
        <f t="shared" si="10"/>
        <v>Keji's 5 Star Short let Apartment in Lekki</v>
      </c>
      <c r="T245">
        <f>Table1[[#This Row],[Adults]]+Table1[[#This Row],[Children]]</f>
        <v>6</v>
      </c>
      <c r="U245">
        <f>_xlfn.DAYS(Table1[[#This Row],[Depart]],Table1[[#This Row],[Arrive]])</f>
        <v>1</v>
      </c>
    </row>
    <row r="246" spans="1:21" x14ac:dyDescent="0.25">
      <c r="A246" t="s">
        <v>328</v>
      </c>
      <c r="B246" t="s">
        <v>329</v>
      </c>
      <c r="C246" t="s">
        <v>1173</v>
      </c>
      <c r="D246" s="1">
        <v>44005</v>
      </c>
      <c r="E246" s="1">
        <v>44006</v>
      </c>
      <c r="F246">
        <f t="shared" si="11"/>
        <v>1</v>
      </c>
      <c r="G246" s="1">
        <v>43991</v>
      </c>
      <c r="H246" s="2">
        <v>0.33333333333333331</v>
      </c>
      <c r="I246" s="3">
        <v>1</v>
      </c>
      <c r="J246" t="s">
        <v>1420</v>
      </c>
      <c r="K246" t="s">
        <v>1420</v>
      </c>
      <c r="L246" t="s">
        <v>22</v>
      </c>
      <c r="M246" s="12" t="s">
        <v>18</v>
      </c>
      <c r="N246">
        <v>6</v>
      </c>
      <c r="O246">
        <v>0</v>
      </c>
      <c r="P246" t="s">
        <v>19</v>
      </c>
      <c r="Q246" s="6">
        <v>110</v>
      </c>
      <c r="R246" t="str">
        <f t="shared" si="9"/>
        <v xml:space="preserve"> The Daniels 5 Star Short Let Apartment in Lekki_x000C_</v>
      </c>
      <c r="S246" t="str">
        <f t="shared" si="10"/>
        <v xml:space="preserve"> The Daniels 5 Star Short Let Apartment in Lekki</v>
      </c>
      <c r="T246">
        <f>Table1[[#This Row],[Adults]]+Table1[[#This Row],[Children]]</f>
        <v>6</v>
      </c>
      <c r="U246">
        <f>_xlfn.DAYS(Table1[[#This Row],[Depart]],Table1[[#This Row],[Arrive]])</f>
        <v>1</v>
      </c>
    </row>
    <row r="247" spans="1:21" x14ac:dyDescent="0.25">
      <c r="A247" t="s">
        <v>330</v>
      </c>
      <c r="B247" t="s">
        <v>331</v>
      </c>
      <c r="C247" t="s">
        <v>1173</v>
      </c>
      <c r="D247" s="1">
        <v>44005</v>
      </c>
      <c r="E247" s="1">
        <v>44008</v>
      </c>
      <c r="F247">
        <f t="shared" si="11"/>
        <v>3</v>
      </c>
      <c r="G247" s="1">
        <v>43995</v>
      </c>
      <c r="H247" s="2">
        <v>0.33333333333333331</v>
      </c>
      <c r="I247" s="3">
        <v>1</v>
      </c>
      <c r="J247" t="s">
        <v>1421</v>
      </c>
      <c r="K247" t="s">
        <v>1421</v>
      </c>
      <c r="L247" t="s">
        <v>22</v>
      </c>
      <c r="M247" s="12" t="s">
        <v>23</v>
      </c>
      <c r="N247">
        <v>6</v>
      </c>
      <c r="O247">
        <v>0</v>
      </c>
      <c r="P247" t="s">
        <v>19</v>
      </c>
      <c r="Q247" s="6">
        <v>330</v>
      </c>
      <c r="R247" t="str">
        <f t="shared" si="9"/>
        <v xml:space="preserve"> The Daniels 5 Star Short Let Apartment in Lekki_x000C_</v>
      </c>
      <c r="S247" t="str">
        <f t="shared" si="10"/>
        <v xml:space="preserve"> The Daniels 5 Star Short Let Apartment in Lekki</v>
      </c>
      <c r="T247">
        <f>Table1[[#This Row],[Adults]]+Table1[[#This Row],[Children]]</f>
        <v>6</v>
      </c>
      <c r="U247">
        <f>_xlfn.DAYS(Table1[[#This Row],[Depart]],Table1[[#This Row],[Arrive]])</f>
        <v>3</v>
      </c>
    </row>
    <row r="248" spans="1:21" x14ac:dyDescent="0.25">
      <c r="A248" t="s">
        <v>308</v>
      </c>
      <c r="B248" t="s">
        <v>309</v>
      </c>
      <c r="C248" t="s">
        <v>1175</v>
      </c>
      <c r="D248" s="1">
        <v>44006</v>
      </c>
      <c r="E248" s="1">
        <v>44007</v>
      </c>
      <c r="F248">
        <f t="shared" si="11"/>
        <v>1</v>
      </c>
      <c r="G248" s="1">
        <v>43990</v>
      </c>
      <c r="H248" s="2">
        <v>0.33333333333333331</v>
      </c>
      <c r="I248" s="3">
        <v>1</v>
      </c>
      <c r="J248" t="s">
        <v>1408</v>
      </c>
      <c r="K248" t="s">
        <v>1408</v>
      </c>
      <c r="L248" t="s">
        <v>22</v>
      </c>
      <c r="M248" s="12" t="s">
        <v>23</v>
      </c>
      <c r="N248">
        <v>6</v>
      </c>
      <c r="O248">
        <v>0</v>
      </c>
      <c r="P248" t="s">
        <v>19</v>
      </c>
      <c r="Q248" s="6">
        <v>110</v>
      </c>
      <c r="R248" t="str">
        <f t="shared" si="9"/>
        <v>Keji's 5 Star Short let Apartment in Lekki_x000C_</v>
      </c>
      <c r="S248" t="str">
        <f t="shared" si="10"/>
        <v>Keji's 5 Star Short let Apartment in Lekki</v>
      </c>
      <c r="T248">
        <f>Table1[[#This Row],[Adults]]+Table1[[#This Row],[Children]]</f>
        <v>6</v>
      </c>
      <c r="U248">
        <f>_xlfn.DAYS(Table1[[#This Row],[Depart]],Table1[[#This Row],[Arrive]])</f>
        <v>1</v>
      </c>
    </row>
    <row r="249" spans="1:21" x14ac:dyDescent="0.25">
      <c r="A249" t="s">
        <v>324</v>
      </c>
      <c r="B249" t="s">
        <v>325</v>
      </c>
      <c r="C249" t="s">
        <v>1173</v>
      </c>
      <c r="D249" s="1">
        <v>44006</v>
      </c>
      <c r="E249" s="1">
        <v>44008</v>
      </c>
      <c r="F249">
        <f t="shared" si="11"/>
        <v>2</v>
      </c>
      <c r="G249" s="1">
        <v>43995</v>
      </c>
      <c r="H249" s="2">
        <v>0.33333333333333331</v>
      </c>
      <c r="I249" s="3">
        <v>1</v>
      </c>
      <c r="J249" t="s">
        <v>1418</v>
      </c>
      <c r="K249" t="s">
        <v>1418</v>
      </c>
      <c r="L249" t="s">
        <v>26</v>
      </c>
      <c r="M249" s="12" t="s">
        <v>18</v>
      </c>
      <c r="N249">
        <v>1</v>
      </c>
      <c r="O249">
        <v>0</v>
      </c>
      <c r="P249" t="s">
        <v>19</v>
      </c>
      <c r="Q249" s="6">
        <v>213</v>
      </c>
      <c r="R249" t="str">
        <f t="shared" si="9"/>
        <v xml:space="preserve"> The Daniels 5 Star Short Let Apartment in Lekki_x000C_</v>
      </c>
      <c r="S249" t="str">
        <f t="shared" si="10"/>
        <v xml:space="preserve"> The Daniels 5 Star Short Let Apartment in Lekki</v>
      </c>
      <c r="T249">
        <f>Table1[[#This Row],[Adults]]+Table1[[#This Row],[Children]]</f>
        <v>1</v>
      </c>
      <c r="U249">
        <f>_xlfn.DAYS(Table1[[#This Row],[Depart]],Table1[[#This Row],[Arrive]])</f>
        <v>2</v>
      </c>
    </row>
    <row r="250" spans="1:21" x14ac:dyDescent="0.25">
      <c r="A250" t="s">
        <v>334</v>
      </c>
      <c r="B250" t="s">
        <v>335</v>
      </c>
      <c r="C250" t="s">
        <v>1179</v>
      </c>
      <c r="D250" s="1">
        <v>44006</v>
      </c>
      <c r="E250" s="1">
        <v>44011</v>
      </c>
      <c r="F250">
        <f t="shared" si="11"/>
        <v>5</v>
      </c>
      <c r="G250" s="1">
        <v>43990</v>
      </c>
      <c r="H250" s="2">
        <v>0.33333333333333331</v>
      </c>
      <c r="I250" s="3">
        <v>1</v>
      </c>
      <c r="J250" t="s">
        <v>1423</v>
      </c>
      <c r="K250" t="s">
        <v>1423</v>
      </c>
      <c r="L250" t="s">
        <v>22</v>
      </c>
      <c r="M250" s="12" t="s">
        <v>18</v>
      </c>
      <c r="N250">
        <v>5</v>
      </c>
      <c r="O250">
        <v>0</v>
      </c>
      <c r="P250" t="s">
        <v>19</v>
      </c>
      <c r="Q250" s="6">
        <v>550</v>
      </c>
      <c r="R250" t="str">
        <f t="shared" si="9"/>
        <v>Phiola's 5 Star Short Let Apartment in Lekki_x000C_</v>
      </c>
      <c r="S250" t="str">
        <f t="shared" si="10"/>
        <v>Phiola's 5 Star Short Let Apartment in Lekki</v>
      </c>
      <c r="T250">
        <f>Table1[[#This Row],[Adults]]+Table1[[#This Row],[Children]]</f>
        <v>5</v>
      </c>
      <c r="U250">
        <f>_xlfn.DAYS(Table1[[#This Row],[Depart]],Table1[[#This Row],[Arrive]])</f>
        <v>5</v>
      </c>
    </row>
    <row r="251" spans="1:21" x14ac:dyDescent="0.25">
      <c r="A251" t="s">
        <v>382</v>
      </c>
      <c r="B251" t="s">
        <v>383</v>
      </c>
      <c r="C251" t="s">
        <v>1179</v>
      </c>
      <c r="D251" s="1">
        <v>44006</v>
      </c>
      <c r="E251" s="1">
        <v>44008</v>
      </c>
      <c r="F251">
        <f t="shared" si="11"/>
        <v>2</v>
      </c>
      <c r="G251" s="1">
        <v>44004</v>
      </c>
      <c r="H251" s="2">
        <v>0.33333333333333331</v>
      </c>
      <c r="I251" s="3">
        <v>1</v>
      </c>
      <c r="J251" t="s">
        <v>1453</v>
      </c>
      <c r="K251" t="s">
        <v>1453</v>
      </c>
      <c r="L251" t="s">
        <v>22</v>
      </c>
      <c r="M251" s="12" t="s">
        <v>23</v>
      </c>
      <c r="N251">
        <v>5</v>
      </c>
      <c r="O251">
        <v>0</v>
      </c>
      <c r="P251" t="s">
        <v>19</v>
      </c>
      <c r="Q251" s="6">
        <v>220</v>
      </c>
      <c r="R251" t="str">
        <f t="shared" si="9"/>
        <v>Phiola's 5 Star Short Let Apartment in Lekki_x000C_</v>
      </c>
      <c r="S251" t="str">
        <f t="shared" si="10"/>
        <v>Phiola's 5 Star Short Let Apartment in Lekki</v>
      </c>
      <c r="T251">
        <f>Table1[[#This Row],[Adults]]+Table1[[#This Row],[Children]]</f>
        <v>5</v>
      </c>
      <c r="U251">
        <f>_xlfn.DAYS(Table1[[#This Row],[Depart]],Table1[[#This Row],[Arrive]])</f>
        <v>2</v>
      </c>
    </row>
    <row r="252" spans="1:21" x14ac:dyDescent="0.25">
      <c r="A252" t="s">
        <v>294</v>
      </c>
      <c r="B252" t="s">
        <v>295</v>
      </c>
      <c r="C252" t="s">
        <v>1180</v>
      </c>
      <c r="D252" s="1">
        <v>44007</v>
      </c>
      <c r="E252" s="1">
        <v>44008</v>
      </c>
      <c r="F252">
        <f t="shared" si="11"/>
        <v>1</v>
      </c>
      <c r="G252" s="1">
        <v>43987</v>
      </c>
      <c r="H252" s="2">
        <v>0.58333333333333337</v>
      </c>
      <c r="I252" s="2">
        <v>0.45833333333333331</v>
      </c>
      <c r="J252" t="s">
        <v>1398</v>
      </c>
      <c r="K252" t="s">
        <v>1398</v>
      </c>
      <c r="L252" t="s">
        <v>26</v>
      </c>
      <c r="M252" s="12" t="s">
        <v>18</v>
      </c>
      <c r="N252">
        <v>1</v>
      </c>
      <c r="O252">
        <v>0</v>
      </c>
      <c r="P252" t="s">
        <v>19</v>
      </c>
      <c r="Q252" s="6">
        <v>107</v>
      </c>
      <c r="R252" t="str">
        <f t="shared" si="9"/>
        <v>Zoe's 5 Star Short let Apartment in Lekki_x000C_</v>
      </c>
      <c r="S252" t="str">
        <f t="shared" si="10"/>
        <v>Zoe's 5 Star Short let Apartment in Lekki</v>
      </c>
      <c r="T252">
        <f>Table1[[#This Row],[Adults]]+Table1[[#This Row],[Children]]</f>
        <v>1</v>
      </c>
      <c r="U252">
        <f>_xlfn.DAYS(Table1[[#This Row],[Depart]],Table1[[#This Row],[Arrive]])</f>
        <v>1</v>
      </c>
    </row>
    <row r="253" spans="1:21" x14ac:dyDescent="0.25">
      <c r="A253" t="s">
        <v>298</v>
      </c>
      <c r="B253" t="s">
        <v>299</v>
      </c>
      <c r="C253" t="s">
        <v>1175</v>
      </c>
      <c r="D253" s="1">
        <v>44007</v>
      </c>
      <c r="E253" s="1">
        <v>44009</v>
      </c>
      <c r="F253">
        <f t="shared" si="11"/>
        <v>2</v>
      </c>
      <c r="G253" s="1">
        <v>43988</v>
      </c>
      <c r="H253" s="2">
        <v>0.33333333333333331</v>
      </c>
      <c r="I253" s="3">
        <v>1</v>
      </c>
      <c r="J253" t="s">
        <v>1401</v>
      </c>
      <c r="K253" t="s">
        <v>1401</v>
      </c>
      <c r="L253" t="s">
        <v>22</v>
      </c>
      <c r="M253" s="12" t="s">
        <v>23</v>
      </c>
      <c r="N253">
        <v>4</v>
      </c>
      <c r="O253">
        <v>0</v>
      </c>
      <c r="P253" t="s">
        <v>19</v>
      </c>
      <c r="Q253" s="6">
        <v>220</v>
      </c>
      <c r="R253" t="str">
        <f t="shared" si="9"/>
        <v>Keji's 5 Star Short let Apartment in Lekki_x000C_</v>
      </c>
      <c r="S253" t="str">
        <f t="shared" si="10"/>
        <v>Keji's 5 Star Short let Apartment in Lekki</v>
      </c>
      <c r="T253">
        <f>Table1[[#This Row],[Adults]]+Table1[[#This Row],[Children]]</f>
        <v>4</v>
      </c>
      <c r="U253">
        <f>_xlfn.DAYS(Table1[[#This Row],[Depart]],Table1[[#This Row],[Arrive]])</f>
        <v>2</v>
      </c>
    </row>
    <row r="254" spans="1:21" x14ac:dyDescent="0.25">
      <c r="A254" t="s">
        <v>78</v>
      </c>
      <c r="B254" t="s">
        <v>79</v>
      </c>
      <c r="C254" t="s">
        <v>1175</v>
      </c>
      <c r="D254" s="1">
        <v>44008</v>
      </c>
      <c r="E254" s="1">
        <v>44022</v>
      </c>
      <c r="F254">
        <f t="shared" si="11"/>
        <v>14</v>
      </c>
      <c r="G254" s="1">
        <v>43851</v>
      </c>
      <c r="H254" s="2">
        <v>0.33333333333333331</v>
      </c>
      <c r="I254" s="3">
        <v>1</v>
      </c>
      <c r="J254" t="s">
        <v>2168</v>
      </c>
      <c r="K254" t="s">
        <v>1215</v>
      </c>
      <c r="L254" t="s">
        <v>17</v>
      </c>
      <c r="M254" s="12" t="s">
        <v>18</v>
      </c>
      <c r="N254">
        <v>5</v>
      </c>
      <c r="O254">
        <v>0</v>
      </c>
      <c r="P254" t="s">
        <v>19</v>
      </c>
      <c r="Q254" s="6">
        <v>2205</v>
      </c>
      <c r="R254" t="str">
        <f t="shared" si="9"/>
        <v>Keji's 5 Star Short let Apartment in Lekki_x000C_</v>
      </c>
      <c r="S254" t="str">
        <f t="shared" si="10"/>
        <v>Keji's 5 Star Short let Apartment in Lekki</v>
      </c>
      <c r="T254">
        <f>Table1[[#This Row],[Adults]]+Table1[[#This Row],[Children]]</f>
        <v>5</v>
      </c>
      <c r="U254">
        <f>_xlfn.DAYS(Table1[[#This Row],[Depart]],Table1[[#This Row],[Arrive]])</f>
        <v>14</v>
      </c>
    </row>
    <row r="255" spans="1:21" x14ac:dyDescent="0.25">
      <c r="A255" t="s">
        <v>286</v>
      </c>
      <c r="B255" t="s">
        <v>287</v>
      </c>
      <c r="C255" t="s">
        <v>1176</v>
      </c>
      <c r="D255" s="1">
        <v>44008</v>
      </c>
      <c r="E255" s="1">
        <v>44013</v>
      </c>
      <c r="F255">
        <f t="shared" si="11"/>
        <v>5</v>
      </c>
      <c r="G255" s="1">
        <v>43968</v>
      </c>
      <c r="H255" s="2">
        <v>0.58333333333333337</v>
      </c>
      <c r="I255" s="2">
        <v>0.45833333333333331</v>
      </c>
      <c r="J255" t="s">
        <v>1380</v>
      </c>
      <c r="K255" t="s">
        <v>1380</v>
      </c>
      <c r="L255" t="s">
        <v>22</v>
      </c>
      <c r="M255" s="12" t="s">
        <v>18</v>
      </c>
      <c r="N255">
        <v>4</v>
      </c>
      <c r="O255">
        <v>0</v>
      </c>
      <c r="P255" t="s">
        <v>19</v>
      </c>
      <c r="Q255" s="6">
        <v>750</v>
      </c>
      <c r="R255" t="str">
        <f t="shared" si="9"/>
        <v>Tiara's Luxury Home Away From Home_x000C_</v>
      </c>
      <c r="S255" t="str">
        <f t="shared" si="10"/>
        <v>Tiara's Luxury Home Away From Home</v>
      </c>
      <c r="T255">
        <f>Table1[[#This Row],[Adults]]+Table1[[#This Row],[Children]]</f>
        <v>4</v>
      </c>
      <c r="U255">
        <f>_xlfn.DAYS(Table1[[#This Row],[Depart]],Table1[[#This Row],[Arrive]])</f>
        <v>5</v>
      </c>
    </row>
    <row r="256" spans="1:21" x14ac:dyDescent="0.25">
      <c r="A256" t="s">
        <v>286</v>
      </c>
      <c r="B256" t="s">
        <v>287</v>
      </c>
      <c r="C256" t="s">
        <v>1180</v>
      </c>
      <c r="D256" s="1">
        <v>44008</v>
      </c>
      <c r="E256" s="1">
        <v>44013</v>
      </c>
      <c r="F256">
        <f t="shared" si="11"/>
        <v>5</v>
      </c>
      <c r="G256" s="1">
        <v>43986</v>
      </c>
      <c r="H256" s="2">
        <v>0.58333333333333337</v>
      </c>
      <c r="I256" s="2">
        <v>0.45833333333333331</v>
      </c>
      <c r="J256" t="s">
        <v>1391</v>
      </c>
      <c r="K256" t="s">
        <v>1391</v>
      </c>
      <c r="L256" t="s">
        <v>22</v>
      </c>
      <c r="M256" s="12" t="s">
        <v>18</v>
      </c>
      <c r="N256">
        <v>4</v>
      </c>
      <c r="O256">
        <v>0</v>
      </c>
      <c r="P256" t="s">
        <v>19</v>
      </c>
      <c r="Q256" s="6">
        <v>750</v>
      </c>
      <c r="R256" t="str">
        <f t="shared" si="9"/>
        <v>Zoe's 5 Star Short let Apartment in Lekki_x000C_</v>
      </c>
      <c r="S256" t="str">
        <f t="shared" si="10"/>
        <v>Zoe's 5 Star Short let Apartment in Lekki</v>
      </c>
      <c r="T256">
        <f>Table1[[#This Row],[Adults]]+Table1[[#This Row],[Children]]</f>
        <v>4</v>
      </c>
      <c r="U256">
        <f>_xlfn.DAYS(Table1[[#This Row],[Depart]],Table1[[#This Row],[Arrive]])</f>
        <v>5</v>
      </c>
    </row>
    <row r="257" spans="1:21" x14ac:dyDescent="0.25">
      <c r="A257" t="s">
        <v>374</v>
      </c>
      <c r="B257" t="s">
        <v>375</v>
      </c>
      <c r="C257" t="s">
        <v>1179</v>
      </c>
      <c r="D257" s="1">
        <v>44008</v>
      </c>
      <c r="E257" s="1">
        <v>44011</v>
      </c>
      <c r="F257">
        <f t="shared" si="11"/>
        <v>3</v>
      </c>
      <c r="G257" s="1">
        <v>44002</v>
      </c>
      <c r="H257" s="2">
        <v>0.33333333333333331</v>
      </c>
      <c r="I257" s="3">
        <v>1</v>
      </c>
      <c r="J257" t="s">
        <v>1447</v>
      </c>
      <c r="K257" t="s">
        <v>1447</v>
      </c>
      <c r="L257" t="s">
        <v>22</v>
      </c>
      <c r="M257" s="12" t="s">
        <v>23</v>
      </c>
      <c r="N257">
        <v>5</v>
      </c>
      <c r="O257">
        <v>0</v>
      </c>
      <c r="P257" t="s">
        <v>19</v>
      </c>
      <c r="Q257" s="6">
        <v>110</v>
      </c>
      <c r="R257" t="str">
        <f t="shared" si="9"/>
        <v>Phiola's 5 Star Short Let Apartment in Lekki_x000C_</v>
      </c>
      <c r="S257" t="str">
        <f t="shared" si="10"/>
        <v>Phiola's 5 Star Short Let Apartment in Lekki</v>
      </c>
      <c r="T257">
        <f>Table1[[#This Row],[Adults]]+Table1[[#This Row],[Children]]</f>
        <v>5</v>
      </c>
      <c r="U257">
        <f>_xlfn.DAYS(Table1[[#This Row],[Depart]],Table1[[#This Row],[Arrive]])</f>
        <v>3</v>
      </c>
    </row>
    <row r="258" spans="1:21" x14ac:dyDescent="0.25">
      <c r="A258" t="s">
        <v>286</v>
      </c>
      <c r="B258" t="s">
        <v>287</v>
      </c>
      <c r="C258" t="s">
        <v>1173</v>
      </c>
      <c r="D258" s="1">
        <v>44008</v>
      </c>
      <c r="E258" s="1">
        <v>44012</v>
      </c>
      <c r="F258">
        <f t="shared" si="11"/>
        <v>4</v>
      </c>
      <c r="G258" s="1">
        <v>43987</v>
      </c>
      <c r="H258" s="2">
        <v>0.33333333333333331</v>
      </c>
      <c r="I258" s="3">
        <v>1</v>
      </c>
      <c r="J258" t="s">
        <v>1563</v>
      </c>
      <c r="K258" t="s">
        <v>1563</v>
      </c>
      <c r="L258" t="s">
        <v>22</v>
      </c>
      <c r="M258" s="12" t="s">
        <v>23</v>
      </c>
      <c r="N258">
        <v>4</v>
      </c>
      <c r="O258">
        <v>0</v>
      </c>
      <c r="P258" t="s">
        <v>19</v>
      </c>
      <c r="Q258" s="6">
        <v>440</v>
      </c>
      <c r="R258" t="str">
        <f t="shared" ref="R258:R321" si="12">SUBSTITUTE(C:C,"?","'")</f>
        <v xml:space="preserve"> The Daniels 5 Star Short Let Apartment in Lekki_x000C_</v>
      </c>
      <c r="S258" t="str">
        <f t="shared" ref="S258:S321" si="13">CLEAN(R:R)</f>
        <v xml:space="preserve"> The Daniels 5 Star Short Let Apartment in Lekki</v>
      </c>
      <c r="T258">
        <f>Table1[[#This Row],[Adults]]+Table1[[#This Row],[Children]]</f>
        <v>4</v>
      </c>
      <c r="U258">
        <f>_xlfn.DAYS(Table1[[#This Row],[Depart]],Table1[[#This Row],[Arrive]])</f>
        <v>4</v>
      </c>
    </row>
    <row r="259" spans="1:21" x14ac:dyDescent="0.25">
      <c r="A259" t="s">
        <v>284</v>
      </c>
      <c r="B259" t="s">
        <v>285</v>
      </c>
      <c r="C259" t="s">
        <v>1175</v>
      </c>
      <c r="D259" s="1">
        <v>44009</v>
      </c>
      <c r="E259" s="1">
        <v>44013</v>
      </c>
      <c r="F259">
        <f t="shared" ref="F259:F322" si="14">_xlfn.DAYS(E259,D259)</f>
        <v>4</v>
      </c>
      <c r="G259" s="1">
        <v>43987</v>
      </c>
      <c r="H259" s="2">
        <v>0.33333333333333331</v>
      </c>
      <c r="I259" s="3">
        <v>1</v>
      </c>
      <c r="J259" t="s">
        <v>1394</v>
      </c>
      <c r="K259" t="s">
        <v>1394</v>
      </c>
      <c r="L259" t="s">
        <v>22</v>
      </c>
      <c r="M259" s="12" t="s">
        <v>23</v>
      </c>
      <c r="N259">
        <v>3</v>
      </c>
      <c r="O259">
        <v>0</v>
      </c>
      <c r="P259" t="s">
        <v>19</v>
      </c>
      <c r="Q259" s="6">
        <v>440</v>
      </c>
      <c r="R259" t="str">
        <f t="shared" si="12"/>
        <v>Keji's 5 Star Short let Apartment in Lekki_x000C_</v>
      </c>
      <c r="S259" t="str">
        <f t="shared" si="13"/>
        <v>Keji's 5 Star Short let Apartment in Lekki</v>
      </c>
      <c r="T259">
        <f>Table1[[#This Row],[Adults]]+Table1[[#This Row],[Children]]</f>
        <v>3</v>
      </c>
      <c r="U259">
        <f>_xlfn.DAYS(Table1[[#This Row],[Depart]],Table1[[#This Row],[Arrive]])</f>
        <v>4</v>
      </c>
    </row>
    <row r="260" spans="1:21" x14ac:dyDescent="0.25">
      <c r="A260" t="s">
        <v>46</v>
      </c>
      <c r="B260" t="s">
        <v>47</v>
      </c>
      <c r="C260" t="s">
        <v>1178</v>
      </c>
      <c r="D260" s="1">
        <v>44011</v>
      </c>
      <c r="E260" s="1">
        <v>44013</v>
      </c>
      <c r="F260">
        <f t="shared" si="14"/>
        <v>2</v>
      </c>
      <c r="G260" s="1">
        <v>43878</v>
      </c>
      <c r="H260" s="2">
        <v>0.33333333333333331</v>
      </c>
      <c r="I260" s="3">
        <v>1</v>
      </c>
      <c r="J260" t="s">
        <v>1196</v>
      </c>
      <c r="K260" t="s">
        <v>1196</v>
      </c>
      <c r="L260" t="s">
        <v>26</v>
      </c>
      <c r="M260" s="12" t="s">
        <v>18</v>
      </c>
      <c r="N260">
        <v>1</v>
      </c>
      <c r="O260">
        <v>0</v>
      </c>
      <c r="P260" t="s">
        <v>19</v>
      </c>
      <c r="Q260" s="6">
        <v>212</v>
      </c>
      <c r="R260" t="str">
        <f t="shared" si="12"/>
        <v>Ope's 5 Star Short Let Apartment in Lekki_x000C_</v>
      </c>
      <c r="S260" t="str">
        <f t="shared" si="13"/>
        <v>Ope's 5 Star Short Let Apartment in Lekki</v>
      </c>
      <c r="T260">
        <f>Table1[[#This Row],[Adults]]+Table1[[#This Row],[Children]]</f>
        <v>1</v>
      </c>
      <c r="U260">
        <f>_xlfn.DAYS(Table1[[#This Row],[Depart]],Table1[[#This Row],[Arrive]])</f>
        <v>2</v>
      </c>
    </row>
    <row r="261" spans="1:21" x14ac:dyDescent="0.25">
      <c r="A261" t="s">
        <v>224</v>
      </c>
      <c r="B261" t="s">
        <v>225</v>
      </c>
      <c r="C261" t="s">
        <v>1179</v>
      </c>
      <c r="D261" s="1">
        <v>44011</v>
      </c>
      <c r="E261" s="1">
        <v>44013</v>
      </c>
      <c r="F261">
        <f t="shared" si="14"/>
        <v>2</v>
      </c>
      <c r="G261" s="1">
        <v>43879</v>
      </c>
      <c r="H261" s="2">
        <v>0.33333333333333331</v>
      </c>
      <c r="I261" s="3">
        <v>1</v>
      </c>
      <c r="J261" t="s">
        <v>1336</v>
      </c>
      <c r="K261" t="s">
        <v>1336</v>
      </c>
      <c r="L261" t="s">
        <v>22</v>
      </c>
      <c r="M261" s="12" t="s">
        <v>18</v>
      </c>
      <c r="N261">
        <v>2</v>
      </c>
      <c r="O261">
        <v>0</v>
      </c>
      <c r="P261" t="s">
        <v>19</v>
      </c>
      <c r="Q261" s="6">
        <v>110</v>
      </c>
      <c r="R261" t="str">
        <f t="shared" si="12"/>
        <v>Phiola's 5 Star Short Let Apartment in Lekki_x000C_</v>
      </c>
      <c r="S261" t="str">
        <f t="shared" si="13"/>
        <v>Phiola's 5 Star Short Let Apartment in Lekki</v>
      </c>
      <c r="T261">
        <f>Table1[[#This Row],[Adults]]+Table1[[#This Row],[Children]]</f>
        <v>2</v>
      </c>
      <c r="U261">
        <f>_xlfn.DAYS(Table1[[#This Row],[Depart]],Table1[[#This Row],[Arrive]])</f>
        <v>2</v>
      </c>
    </row>
    <row r="262" spans="1:21" x14ac:dyDescent="0.25">
      <c r="A262" t="s">
        <v>224</v>
      </c>
      <c r="B262" t="s">
        <v>225</v>
      </c>
      <c r="C262" t="s">
        <v>1176</v>
      </c>
      <c r="D262" s="1">
        <v>44011</v>
      </c>
      <c r="E262" s="1">
        <v>44013</v>
      </c>
      <c r="F262">
        <f t="shared" si="14"/>
        <v>2</v>
      </c>
      <c r="G262" s="1">
        <v>43964</v>
      </c>
      <c r="H262" s="2">
        <v>0.58333333333333337</v>
      </c>
      <c r="I262" s="2">
        <v>0.45833333333333331</v>
      </c>
      <c r="J262" t="s">
        <v>1346</v>
      </c>
      <c r="K262" t="s">
        <v>1346</v>
      </c>
      <c r="L262" t="s">
        <v>22</v>
      </c>
      <c r="M262" s="12" t="s">
        <v>18</v>
      </c>
      <c r="N262">
        <v>2</v>
      </c>
      <c r="O262">
        <v>0</v>
      </c>
      <c r="P262" t="s">
        <v>19</v>
      </c>
      <c r="Q262" s="6">
        <v>300</v>
      </c>
      <c r="R262" t="str">
        <f t="shared" si="12"/>
        <v>Tiara's Luxury Home Away From Home_x000C_</v>
      </c>
      <c r="S262" t="str">
        <f t="shared" si="13"/>
        <v>Tiara's Luxury Home Away From Home</v>
      </c>
      <c r="T262">
        <f>Table1[[#This Row],[Adults]]+Table1[[#This Row],[Children]]</f>
        <v>2</v>
      </c>
      <c r="U262">
        <f>_xlfn.DAYS(Table1[[#This Row],[Depart]],Table1[[#This Row],[Arrive]])</f>
        <v>2</v>
      </c>
    </row>
    <row r="263" spans="1:21" x14ac:dyDescent="0.25">
      <c r="A263" t="s">
        <v>224</v>
      </c>
      <c r="B263" t="s">
        <v>225</v>
      </c>
      <c r="C263" t="s">
        <v>1175</v>
      </c>
      <c r="D263" s="1">
        <v>44011</v>
      </c>
      <c r="E263" s="1">
        <v>44013</v>
      </c>
      <c r="F263">
        <f t="shared" si="14"/>
        <v>2</v>
      </c>
      <c r="G263" s="1">
        <v>43968</v>
      </c>
      <c r="H263" s="2">
        <v>0.33333333333333331</v>
      </c>
      <c r="I263" s="3">
        <v>1</v>
      </c>
      <c r="J263" t="s">
        <v>1393</v>
      </c>
      <c r="K263" t="s">
        <v>1393</v>
      </c>
      <c r="L263" t="s">
        <v>22</v>
      </c>
      <c r="M263" s="12" t="s">
        <v>18</v>
      </c>
      <c r="N263">
        <v>3</v>
      </c>
      <c r="O263">
        <v>0</v>
      </c>
      <c r="P263" t="s">
        <v>19</v>
      </c>
      <c r="Q263" s="6">
        <v>191</v>
      </c>
      <c r="R263" t="str">
        <f t="shared" si="12"/>
        <v>Keji's 5 Star Short let Apartment in Lekki_x000C_</v>
      </c>
      <c r="S263" t="str">
        <f t="shared" si="13"/>
        <v>Keji's 5 Star Short let Apartment in Lekki</v>
      </c>
      <c r="T263">
        <f>Table1[[#This Row],[Adults]]+Table1[[#This Row],[Children]]</f>
        <v>3</v>
      </c>
      <c r="U263">
        <f>_xlfn.DAYS(Table1[[#This Row],[Depart]],Table1[[#This Row],[Arrive]])</f>
        <v>2</v>
      </c>
    </row>
    <row r="264" spans="1:21" x14ac:dyDescent="0.25">
      <c r="A264" t="s">
        <v>384</v>
      </c>
      <c r="B264" t="s">
        <v>385</v>
      </c>
      <c r="C264" t="s">
        <v>1179</v>
      </c>
      <c r="D264" s="1">
        <v>44011</v>
      </c>
      <c r="E264" s="1">
        <v>44016</v>
      </c>
      <c r="F264">
        <f t="shared" si="14"/>
        <v>5</v>
      </c>
      <c r="G264" s="1">
        <v>43995</v>
      </c>
      <c r="H264" s="2">
        <v>0.33333333333333331</v>
      </c>
      <c r="I264" s="3">
        <v>1</v>
      </c>
      <c r="J264" t="s">
        <v>1454</v>
      </c>
      <c r="K264" t="s">
        <v>1454</v>
      </c>
      <c r="L264" t="s">
        <v>22</v>
      </c>
      <c r="M264" s="12" t="s">
        <v>23</v>
      </c>
      <c r="N264">
        <v>6</v>
      </c>
      <c r="O264">
        <v>0</v>
      </c>
      <c r="P264" t="s">
        <v>19</v>
      </c>
      <c r="Q264" s="6">
        <v>550</v>
      </c>
      <c r="R264" t="str">
        <f t="shared" si="12"/>
        <v>Phiola's 5 Star Short Let Apartment in Lekki_x000C_</v>
      </c>
      <c r="S264" t="str">
        <f t="shared" si="13"/>
        <v>Phiola's 5 Star Short Let Apartment in Lekki</v>
      </c>
      <c r="T264">
        <f>Table1[[#This Row],[Adults]]+Table1[[#This Row],[Children]]</f>
        <v>6</v>
      </c>
      <c r="U264">
        <f>_xlfn.DAYS(Table1[[#This Row],[Depart]],Table1[[#This Row],[Arrive]])</f>
        <v>5</v>
      </c>
    </row>
    <row r="265" spans="1:21" x14ac:dyDescent="0.25">
      <c r="A265" t="s">
        <v>204</v>
      </c>
      <c r="B265" t="s">
        <v>205</v>
      </c>
      <c r="C265" t="s">
        <v>1179</v>
      </c>
      <c r="D265" s="1">
        <v>44012</v>
      </c>
      <c r="E265" s="1">
        <v>44013</v>
      </c>
      <c r="F265">
        <f t="shared" si="14"/>
        <v>1</v>
      </c>
      <c r="G265" s="1">
        <v>43964</v>
      </c>
      <c r="H265" s="2">
        <v>0.33333333333333331</v>
      </c>
      <c r="I265" s="3">
        <v>1</v>
      </c>
      <c r="J265" t="s">
        <v>1405</v>
      </c>
      <c r="K265" t="s">
        <v>1405</v>
      </c>
      <c r="L265" t="s">
        <v>22</v>
      </c>
      <c r="M265" s="12" t="s">
        <v>18</v>
      </c>
      <c r="N265">
        <v>2</v>
      </c>
      <c r="O265">
        <v>0</v>
      </c>
      <c r="P265" t="s">
        <v>19</v>
      </c>
      <c r="Q265" s="6">
        <v>110</v>
      </c>
      <c r="R265" t="str">
        <f t="shared" si="12"/>
        <v>Phiola's 5 Star Short Let Apartment in Lekki_x000C_</v>
      </c>
      <c r="S265" t="str">
        <f t="shared" si="13"/>
        <v>Phiola's 5 Star Short Let Apartment in Lekki</v>
      </c>
      <c r="T265">
        <f>Table1[[#This Row],[Adults]]+Table1[[#This Row],[Children]]</f>
        <v>2</v>
      </c>
      <c r="U265">
        <f>_xlfn.DAYS(Table1[[#This Row],[Depart]],Table1[[#This Row],[Arrive]])</f>
        <v>1</v>
      </c>
    </row>
    <row r="266" spans="1:21" x14ac:dyDescent="0.25">
      <c r="A266" t="s">
        <v>188</v>
      </c>
      <c r="B266" t="s">
        <v>189</v>
      </c>
      <c r="C266" t="s">
        <v>1175</v>
      </c>
      <c r="D266" s="1">
        <v>44013</v>
      </c>
      <c r="E266" s="1">
        <v>44029</v>
      </c>
      <c r="F266">
        <f t="shared" si="14"/>
        <v>16</v>
      </c>
      <c r="G266" s="1">
        <v>43941</v>
      </c>
      <c r="H266" s="2">
        <v>0.33333333333333331</v>
      </c>
      <c r="I266" s="3">
        <v>1</v>
      </c>
      <c r="J266" t="s">
        <v>1305</v>
      </c>
      <c r="K266" t="s">
        <v>1305</v>
      </c>
      <c r="L266" t="s">
        <v>26</v>
      </c>
      <c r="M266" s="12" t="s">
        <v>18</v>
      </c>
      <c r="N266">
        <v>1</v>
      </c>
      <c r="O266">
        <v>0</v>
      </c>
      <c r="P266" t="s">
        <v>19</v>
      </c>
      <c r="Q266" s="6">
        <v>1646</v>
      </c>
      <c r="R266" t="str">
        <f t="shared" si="12"/>
        <v>Keji's 5 Star Short let Apartment in Lekki_x000C_</v>
      </c>
      <c r="S266" t="str">
        <f t="shared" si="13"/>
        <v>Keji's 5 Star Short let Apartment in Lekki</v>
      </c>
      <c r="T266">
        <f>Table1[[#This Row],[Adults]]+Table1[[#This Row],[Children]]</f>
        <v>1</v>
      </c>
      <c r="U266">
        <f>_xlfn.DAYS(Table1[[#This Row],[Depart]],Table1[[#This Row],[Arrive]])</f>
        <v>16</v>
      </c>
    </row>
    <row r="267" spans="1:21" x14ac:dyDescent="0.25">
      <c r="A267" t="s">
        <v>316</v>
      </c>
      <c r="B267" t="s">
        <v>317</v>
      </c>
      <c r="C267" t="s">
        <v>1175</v>
      </c>
      <c r="D267" s="1">
        <v>44013</v>
      </c>
      <c r="E267" s="1">
        <v>44016</v>
      </c>
      <c r="F267">
        <f t="shared" si="14"/>
        <v>3</v>
      </c>
      <c r="G267" s="1">
        <v>43994</v>
      </c>
      <c r="H267" s="2">
        <v>0.33333333333333331</v>
      </c>
      <c r="I267" s="3">
        <v>1</v>
      </c>
      <c r="J267" t="s">
        <v>1413</v>
      </c>
      <c r="K267" t="s">
        <v>1413</v>
      </c>
      <c r="L267" t="s">
        <v>26</v>
      </c>
      <c r="M267" s="12" t="s">
        <v>18</v>
      </c>
      <c r="N267">
        <v>1</v>
      </c>
      <c r="O267">
        <v>0</v>
      </c>
      <c r="P267" t="s">
        <v>19</v>
      </c>
      <c r="Q267" s="6">
        <v>318</v>
      </c>
      <c r="R267" t="str">
        <f t="shared" si="12"/>
        <v>Keji's 5 Star Short let Apartment in Lekki_x000C_</v>
      </c>
      <c r="S267" t="str">
        <f t="shared" si="13"/>
        <v>Keji's 5 Star Short let Apartment in Lekki</v>
      </c>
      <c r="T267">
        <f>Table1[[#This Row],[Adults]]+Table1[[#This Row],[Children]]</f>
        <v>1</v>
      </c>
      <c r="U267">
        <f>_xlfn.DAYS(Table1[[#This Row],[Depart]],Table1[[#This Row],[Arrive]])</f>
        <v>3</v>
      </c>
    </row>
    <row r="268" spans="1:21" x14ac:dyDescent="0.25">
      <c r="A268" t="s">
        <v>352</v>
      </c>
      <c r="B268" t="s">
        <v>353</v>
      </c>
      <c r="C268" t="s">
        <v>1173</v>
      </c>
      <c r="D268" s="1">
        <v>44013</v>
      </c>
      <c r="E268" s="1">
        <v>44015</v>
      </c>
      <c r="F268">
        <f t="shared" si="14"/>
        <v>2</v>
      </c>
      <c r="G268" s="1">
        <v>44000</v>
      </c>
      <c r="H268" s="2">
        <v>0.33333333333333331</v>
      </c>
      <c r="I268" s="3">
        <v>1</v>
      </c>
      <c r="J268" t="s">
        <v>1435</v>
      </c>
      <c r="K268" t="s">
        <v>1435</v>
      </c>
      <c r="L268" t="s">
        <v>22</v>
      </c>
      <c r="M268" s="12" t="s">
        <v>23</v>
      </c>
      <c r="N268">
        <v>8</v>
      </c>
      <c r="O268">
        <v>0</v>
      </c>
      <c r="P268" t="s">
        <v>19</v>
      </c>
      <c r="Q268" s="6">
        <v>220</v>
      </c>
      <c r="R268" t="str">
        <f t="shared" si="12"/>
        <v xml:space="preserve"> The Daniels 5 Star Short Let Apartment in Lekki_x000C_</v>
      </c>
      <c r="S268" t="str">
        <f t="shared" si="13"/>
        <v xml:space="preserve"> The Daniels 5 Star Short Let Apartment in Lekki</v>
      </c>
      <c r="T268">
        <f>Table1[[#This Row],[Adults]]+Table1[[#This Row],[Children]]</f>
        <v>8</v>
      </c>
      <c r="U268">
        <f>_xlfn.DAYS(Table1[[#This Row],[Depart]],Table1[[#This Row],[Arrive]])</f>
        <v>2</v>
      </c>
    </row>
    <row r="269" spans="1:21" x14ac:dyDescent="0.25">
      <c r="A269" t="s">
        <v>390</v>
      </c>
      <c r="B269" t="s">
        <v>391</v>
      </c>
      <c r="C269" t="s">
        <v>1175</v>
      </c>
      <c r="D269" s="1">
        <v>44013</v>
      </c>
      <c r="E269" s="1">
        <v>44016</v>
      </c>
      <c r="F269">
        <f t="shared" si="14"/>
        <v>3</v>
      </c>
      <c r="G269" s="1">
        <v>44006</v>
      </c>
      <c r="H269" s="2">
        <v>0.33333333333333331</v>
      </c>
      <c r="I269" s="3">
        <v>1</v>
      </c>
      <c r="J269" t="s">
        <v>1457</v>
      </c>
      <c r="K269" t="s">
        <v>1457</v>
      </c>
      <c r="L269" t="s">
        <v>26</v>
      </c>
      <c r="M269" s="12" t="s">
        <v>18</v>
      </c>
      <c r="N269">
        <v>1</v>
      </c>
      <c r="O269">
        <v>0</v>
      </c>
      <c r="P269" t="s">
        <v>19</v>
      </c>
      <c r="Q269" s="6">
        <v>319</v>
      </c>
      <c r="R269" t="str">
        <f t="shared" si="12"/>
        <v>Keji's 5 Star Short let Apartment in Lekki_x000C_</v>
      </c>
      <c r="S269" t="str">
        <f t="shared" si="13"/>
        <v>Keji's 5 Star Short let Apartment in Lekki</v>
      </c>
      <c r="T269">
        <f>Table1[[#This Row],[Adults]]+Table1[[#This Row],[Children]]</f>
        <v>1</v>
      </c>
      <c r="U269">
        <f>_xlfn.DAYS(Table1[[#This Row],[Depart]],Table1[[#This Row],[Arrive]])</f>
        <v>3</v>
      </c>
    </row>
    <row r="270" spans="1:21" x14ac:dyDescent="0.25">
      <c r="A270" t="s">
        <v>392</v>
      </c>
      <c r="B270" t="s">
        <v>393</v>
      </c>
      <c r="C270" t="s">
        <v>1175</v>
      </c>
      <c r="D270" s="1">
        <v>44013</v>
      </c>
      <c r="E270" s="1">
        <v>44016</v>
      </c>
      <c r="F270">
        <f t="shared" si="14"/>
        <v>3</v>
      </c>
      <c r="G270" s="1">
        <v>44006</v>
      </c>
      <c r="H270" s="2">
        <v>0.33333333333333331</v>
      </c>
      <c r="I270" s="3">
        <v>1</v>
      </c>
      <c r="J270" t="s">
        <v>1458</v>
      </c>
      <c r="K270" t="s">
        <v>1458</v>
      </c>
      <c r="L270" t="s">
        <v>22</v>
      </c>
      <c r="M270" s="12" t="s">
        <v>23</v>
      </c>
      <c r="N270">
        <v>6</v>
      </c>
      <c r="O270">
        <v>0</v>
      </c>
      <c r="P270" t="s">
        <v>19</v>
      </c>
      <c r="Q270" s="6">
        <v>330</v>
      </c>
      <c r="R270" t="str">
        <f t="shared" si="12"/>
        <v>Keji's 5 Star Short let Apartment in Lekki_x000C_</v>
      </c>
      <c r="S270" t="str">
        <f t="shared" si="13"/>
        <v>Keji's 5 Star Short let Apartment in Lekki</v>
      </c>
      <c r="T270">
        <f>Table1[[#This Row],[Adults]]+Table1[[#This Row],[Children]]</f>
        <v>6</v>
      </c>
      <c r="U270">
        <f>_xlfn.DAYS(Table1[[#This Row],[Depart]],Table1[[#This Row],[Arrive]])</f>
        <v>3</v>
      </c>
    </row>
    <row r="271" spans="1:21" x14ac:dyDescent="0.25">
      <c r="A271" t="s">
        <v>348</v>
      </c>
      <c r="B271" t="s">
        <v>349</v>
      </c>
      <c r="C271" t="s">
        <v>1173</v>
      </c>
      <c r="D271" s="1">
        <v>44014</v>
      </c>
      <c r="E271" s="1">
        <v>44017</v>
      </c>
      <c r="F271">
        <f t="shared" si="14"/>
        <v>3</v>
      </c>
      <c r="G271" s="1">
        <v>43999</v>
      </c>
      <c r="H271" s="2">
        <v>0.33333333333333331</v>
      </c>
      <c r="I271" s="3">
        <v>1</v>
      </c>
      <c r="J271" t="s">
        <v>1433</v>
      </c>
      <c r="K271" t="s">
        <v>1433</v>
      </c>
      <c r="L271" t="s">
        <v>26</v>
      </c>
      <c r="M271" s="12" t="s">
        <v>18</v>
      </c>
      <c r="N271">
        <v>3</v>
      </c>
      <c r="O271">
        <v>0</v>
      </c>
      <c r="P271" t="s">
        <v>19</v>
      </c>
      <c r="Q271" s="6">
        <v>319</v>
      </c>
      <c r="R271" t="str">
        <f t="shared" si="12"/>
        <v xml:space="preserve"> The Daniels 5 Star Short Let Apartment in Lekki_x000C_</v>
      </c>
      <c r="S271" t="str">
        <f t="shared" si="13"/>
        <v xml:space="preserve"> The Daniels 5 Star Short Let Apartment in Lekki</v>
      </c>
      <c r="T271">
        <f>Table1[[#This Row],[Adults]]+Table1[[#This Row],[Children]]</f>
        <v>3</v>
      </c>
      <c r="U271">
        <f>_xlfn.DAYS(Table1[[#This Row],[Depart]],Table1[[#This Row],[Arrive]])</f>
        <v>3</v>
      </c>
    </row>
    <row r="272" spans="1:21" x14ac:dyDescent="0.25">
      <c r="A272" t="s">
        <v>312</v>
      </c>
      <c r="B272" t="s">
        <v>313</v>
      </c>
      <c r="C272" t="s">
        <v>1173</v>
      </c>
      <c r="D272" s="1">
        <v>44015</v>
      </c>
      <c r="E272" s="1">
        <v>44016</v>
      </c>
      <c r="F272">
        <f t="shared" si="14"/>
        <v>1</v>
      </c>
      <c r="G272" s="1">
        <v>43992</v>
      </c>
      <c r="H272" s="2">
        <v>0.33333333333333331</v>
      </c>
      <c r="I272" s="3">
        <v>1</v>
      </c>
      <c r="J272" t="s">
        <v>1411</v>
      </c>
      <c r="K272" t="s">
        <v>1411</v>
      </c>
      <c r="L272" t="s">
        <v>26</v>
      </c>
      <c r="M272" s="12" t="s">
        <v>18</v>
      </c>
      <c r="N272">
        <v>1</v>
      </c>
      <c r="O272">
        <v>0</v>
      </c>
      <c r="P272" t="s">
        <v>19</v>
      </c>
      <c r="Q272" s="6">
        <v>106</v>
      </c>
      <c r="R272" t="str">
        <f t="shared" si="12"/>
        <v xml:space="preserve"> The Daniels 5 Star Short Let Apartment in Lekki_x000C_</v>
      </c>
      <c r="S272" t="str">
        <f t="shared" si="13"/>
        <v xml:space="preserve"> The Daniels 5 Star Short Let Apartment in Lekki</v>
      </c>
      <c r="T272">
        <f>Table1[[#This Row],[Adults]]+Table1[[#This Row],[Children]]</f>
        <v>1</v>
      </c>
      <c r="U272">
        <f>_xlfn.DAYS(Table1[[#This Row],[Depart]],Table1[[#This Row],[Arrive]])</f>
        <v>1</v>
      </c>
    </row>
    <row r="273" spans="1:21" x14ac:dyDescent="0.25">
      <c r="A273" t="s">
        <v>326</v>
      </c>
      <c r="B273" t="s">
        <v>327</v>
      </c>
      <c r="C273" t="s">
        <v>1179</v>
      </c>
      <c r="D273" s="1">
        <v>44015</v>
      </c>
      <c r="E273" s="1">
        <v>44017</v>
      </c>
      <c r="F273">
        <f t="shared" si="14"/>
        <v>2</v>
      </c>
      <c r="G273" s="1">
        <v>43995</v>
      </c>
      <c r="H273" s="2">
        <v>0.33333333333333331</v>
      </c>
      <c r="I273" s="3">
        <v>1</v>
      </c>
      <c r="J273" t="s">
        <v>1419</v>
      </c>
      <c r="K273" t="s">
        <v>1419</v>
      </c>
      <c r="L273" t="s">
        <v>26</v>
      </c>
      <c r="M273" s="12" t="s">
        <v>18</v>
      </c>
      <c r="N273">
        <v>5</v>
      </c>
      <c r="O273">
        <v>0</v>
      </c>
      <c r="P273" t="s">
        <v>19</v>
      </c>
      <c r="Q273" s="6">
        <v>232</v>
      </c>
      <c r="R273" t="str">
        <f t="shared" si="12"/>
        <v>Phiola's 5 Star Short Let Apartment in Lekki_x000C_</v>
      </c>
      <c r="S273" t="str">
        <f t="shared" si="13"/>
        <v>Phiola's 5 Star Short Let Apartment in Lekki</v>
      </c>
      <c r="T273">
        <f>Table1[[#This Row],[Adults]]+Table1[[#This Row],[Children]]</f>
        <v>5</v>
      </c>
      <c r="U273">
        <f>_xlfn.DAYS(Table1[[#This Row],[Depart]],Table1[[#This Row],[Arrive]])</f>
        <v>2</v>
      </c>
    </row>
    <row r="274" spans="1:21" x14ac:dyDescent="0.25">
      <c r="A274" t="s">
        <v>360</v>
      </c>
      <c r="B274" t="s">
        <v>361</v>
      </c>
      <c r="C274" t="s">
        <v>1173</v>
      </c>
      <c r="D274" s="1">
        <v>44015</v>
      </c>
      <c r="E274" s="1">
        <v>44017</v>
      </c>
      <c r="F274">
        <f t="shared" si="14"/>
        <v>2</v>
      </c>
      <c r="G274" s="1">
        <v>44001</v>
      </c>
      <c r="H274" s="2">
        <v>0.33333333333333331</v>
      </c>
      <c r="I274" s="3">
        <v>1</v>
      </c>
      <c r="J274" t="s">
        <v>1439</v>
      </c>
      <c r="K274" t="s">
        <v>1439</v>
      </c>
      <c r="L274" t="s">
        <v>26</v>
      </c>
      <c r="M274" s="12" t="s">
        <v>18</v>
      </c>
      <c r="N274">
        <v>1</v>
      </c>
      <c r="O274">
        <v>0</v>
      </c>
      <c r="P274" t="s">
        <v>19</v>
      </c>
      <c r="Q274" s="6">
        <v>213</v>
      </c>
      <c r="R274" t="str">
        <f t="shared" si="12"/>
        <v xml:space="preserve"> The Daniels 5 Star Short Let Apartment in Lekki_x000C_</v>
      </c>
      <c r="S274" t="str">
        <f t="shared" si="13"/>
        <v xml:space="preserve"> The Daniels 5 Star Short Let Apartment in Lekki</v>
      </c>
      <c r="T274">
        <f>Table1[[#This Row],[Adults]]+Table1[[#This Row],[Children]]</f>
        <v>1</v>
      </c>
      <c r="U274">
        <f>_xlfn.DAYS(Table1[[#This Row],[Depart]],Table1[[#This Row],[Arrive]])</f>
        <v>2</v>
      </c>
    </row>
    <row r="275" spans="1:21" x14ac:dyDescent="0.25">
      <c r="A275" t="s">
        <v>366</v>
      </c>
      <c r="B275" t="s">
        <v>367</v>
      </c>
      <c r="C275" t="s">
        <v>1173</v>
      </c>
      <c r="D275" s="1">
        <v>44015</v>
      </c>
      <c r="E275" s="1">
        <v>44017</v>
      </c>
      <c r="F275">
        <f t="shared" si="14"/>
        <v>2</v>
      </c>
      <c r="G275" s="1">
        <v>44001</v>
      </c>
      <c r="H275" s="2">
        <v>0.33333333333333331</v>
      </c>
      <c r="I275" s="3">
        <v>1</v>
      </c>
      <c r="J275" t="s">
        <v>1442</v>
      </c>
      <c r="K275" t="s">
        <v>1442</v>
      </c>
      <c r="L275" t="s">
        <v>22</v>
      </c>
      <c r="M275" s="12" t="s">
        <v>23</v>
      </c>
      <c r="N275">
        <v>4</v>
      </c>
      <c r="O275">
        <v>0</v>
      </c>
      <c r="P275" t="s">
        <v>19</v>
      </c>
      <c r="Q275" s="6">
        <v>220</v>
      </c>
      <c r="R275" t="str">
        <f t="shared" si="12"/>
        <v xml:space="preserve"> The Daniels 5 Star Short Let Apartment in Lekki_x000C_</v>
      </c>
      <c r="S275" t="str">
        <f t="shared" si="13"/>
        <v xml:space="preserve"> The Daniels 5 Star Short Let Apartment in Lekki</v>
      </c>
      <c r="T275">
        <f>Table1[[#This Row],[Adults]]+Table1[[#This Row],[Children]]</f>
        <v>4</v>
      </c>
      <c r="U275">
        <f>_xlfn.DAYS(Table1[[#This Row],[Depart]],Table1[[#This Row],[Arrive]])</f>
        <v>2</v>
      </c>
    </row>
    <row r="276" spans="1:21" x14ac:dyDescent="0.25">
      <c r="A276" t="s">
        <v>42</v>
      </c>
      <c r="B276" t="s">
        <v>43</v>
      </c>
      <c r="C276" t="s">
        <v>1178</v>
      </c>
      <c r="D276" s="1">
        <v>44015</v>
      </c>
      <c r="E276" s="1">
        <v>44017</v>
      </c>
      <c r="F276">
        <f t="shared" si="14"/>
        <v>2</v>
      </c>
      <c r="G276" s="1">
        <v>44003</v>
      </c>
      <c r="H276" s="2">
        <v>0.33333333333333331</v>
      </c>
      <c r="I276" s="3">
        <v>1</v>
      </c>
      <c r="J276" t="s">
        <v>1449</v>
      </c>
      <c r="K276" t="s">
        <v>1449</v>
      </c>
      <c r="L276" t="s">
        <v>22</v>
      </c>
      <c r="M276" s="12" t="s">
        <v>23</v>
      </c>
      <c r="N276">
        <v>5</v>
      </c>
      <c r="O276">
        <v>0</v>
      </c>
      <c r="P276" t="s">
        <v>19</v>
      </c>
      <c r="Q276" s="6">
        <v>220</v>
      </c>
      <c r="R276" t="str">
        <f t="shared" si="12"/>
        <v>Ope's 5 Star Short Let Apartment in Lekki_x000C_</v>
      </c>
      <c r="S276" t="str">
        <f t="shared" si="13"/>
        <v>Ope's 5 Star Short Let Apartment in Lekki</v>
      </c>
      <c r="T276">
        <f>Table1[[#This Row],[Adults]]+Table1[[#This Row],[Children]]</f>
        <v>5</v>
      </c>
      <c r="U276">
        <f>_xlfn.DAYS(Table1[[#This Row],[Depart]],Table1[[#This Row],[Arrive]])</f>
        <v>2</v>
      </c>
    </row>
    <row r="277" spans="1:21" x14ac:dyDescent="0.25">
      <c r="A277" t="s">
        <v>304</v>
      </c>
      <c r="B277" t="s">
        <v>305</v>
      </c>
      <c r="C277" t="s">
        <v>1173</v>
      </c>
      <c r="D277" s="1">
        <v>44016</v>
      </c>
      <c r="E277" s="1">
        <v>44017</v>
      </c>
      <c r="F277">
        <f t="shared" si="14"/>
        <v>1</v>
      </c>
      <c r="G277" s="1">
        <v>43990</v>
      </c>
      <c r="H277" s="2">
        <v>0.33333333333333331</v>
      </c>
      <c r="I277" s="3">
        <v>1</v>
      </c>
      <c r="J277" t="s">
        <v>1404</v>
      </c>
      <c r="K277" t="s">
        <v>1404</v>
      </c>
      <c r="L277" t="s">
        <v>26</v>
      </c>
      <c r="M277" s="12" t="s">
        <v>18</v>
      </c>
      <c r="N277">
        <v>2</v>
      </c>
      <c r="O277">
        <v>0</v>
      </c>
      <c r="P277" t="s">
        <v>19</v>
      </c>
      <c r="Q277" s="6">
        <v>106</v>
      </c>
      <c r="R277" t="str">
        <f t="shared" si="12"/>
        <v xml:space="preserve"> The Daniels 5 Star Short Let Apartment in Lekki_x000C_</v>
      </c>
      <c r="S277" t="str">
        <f t="shared" si="13"/>
        <v xml:space="preserve"> The Daniels 5 Star Short Let Apartment in Lekki</v>
      </c>
      <c r="T277">
        <f>Table1[[#This Row],[Adults]]+Table1[[#This Row],[Children]]</f>
        <v>2</v>
      </c>
      <c r="U277">
        <f>_xlfn.DAYS(Table1[[#This Row],[Depart]],Table1[[#This Row],[Arrive]])</f>
        <v>1</v>
      </c>
    </row>
    <row r="278" spans="1:21" x14ac:dyDescent="0.25">
      <c r="A278" t="s">
        <v>344</v>
      </c>
      <c r="B278" t="s">
        <v>345</v>
      </c>
      <c r="C278" t="s">
        <v>1175</v>
      </c>
      <c r="D278" s="1">
        <v>44016</v>
      </c>
      <c r="E278" s="1">
        <v>44017</v>
      </c>
      <c r="F278">
        <f t="shared" si="14"/>
        <v>1</v>
      </c>
      <c r="G278" s="1">
        <v>43997</v>
      </c>
      <c r="H278" s="2">
        <v>0.33333333333333331</v>
      </c>
      <c r="I278" s="3">
        <v>1</v>
      </c>
      <c r="J278" t="s">
        <v>1430</v>
      </c>
      <c r="K278" t="s">
        <v>1430</v>
      </c>
      <c r="L278" t="s">
        <v>22</v>
      </c>
      <c r="M278" s="12" t="s">
        <v>23</v>
      </c>
      <c r="N278">
        <v>5</v>
      </c>
      <c r="O278">
        <v>0</v>
      </c>
      <c r="P278" t="s">
        <v>19</v>
      </c>
      <c r="Q278" s="6">
        <v>110</v>
      </c>
      <c r="R278" t="str">
        <f t="shared" si="12"/>
        <v>Keji's 5 Star Short let Apartment in Lekki_x000C_</v>
      </c>
      <c r="S278" t="str">
        <f t="shared" si="13"/>
        <v>Keji's 5 Star Short let Apartment in Lekki</v>
      </c>
      <c r="T278">
        <f>Table1[[#This Row],[Adults]]+Table1[[#This Row],[Children]]</f>
        <v>5</v>
      </c>
      <c r="U278">
        <f>_xlfn.DAYS(Table1[[#This Row],[Depart]],Table1[[#This Row],[Arrive]])</f>
        <v>1</v>
      </c>
    </row>
    <row r="279" spans="1:21" x14ac:dyDescent="0.25">
      <c r="A279" t="s">
        <v>358</v>
      </c>
      <c r="B279" t="s">
        <v>359</v>
      </c>
      <c r="C279" t="s">
        <v>1179</v>
      </c>
      <c r="D279" s="1">
        <v>44016</v>
      </c>
      <c r="E279" s="1">
        <v>44018</v>
      </c>
      <c r="F279">
        <f t="shared" si="14"/>
        <v>2</v>
      </c>
      <c r="G279" s="1">
        <v>44001</v>
      </c>
      <c r="H279" s="2">
        <v>0.33333333333333331</v>
      </c>
      <c r="I279" s="3">
        <v>1</v>
      </c>
      <c r="J279" t="s">
        <v>1438</v>
      </c>
      <c r="K279" t="s">
        <v>1438</v>
      </c>
      <c r="L279" t="s">
        <v>22</v>
      </c>
      <c r="M279" s="12" t="s">
        <v>23</v>
      </c>
      <c r="N279">
        <v>5</v>
      </c>
      <c r="O279">
        <v>0</v>
      </c>
      <c r="P279" t="s">
        <v>19</v>
      </c>
      <c r="Q279" s="6">
        <v>220</v>
      </c>
      <c r="R279" t="str">
        <f t="shared" si="12"/>
        <v>Phiola's 5 Star Short Let Apartment in Lekki_x000C_</v>
      </c>
      <c r="S279" t="str">
        <f t="shared" si="13"/>
        <v>Phiola's 5 Star Short Let Apartment in Lekki</v>
      </c>
      <c r="T279">
        <f>Table1[[#This Row],[Adults]]+Table1[[#This Row],[Children]]</f>
        <v>5</v>
      </c>
      <c r="U279">
        <f>_xlfn.DAYS(Table1[[#This Row],[Depart]],Table1[[#This Row],[Arrive]])</f>
        <v>2</v>
      </c>
    </row>
    <row r="280" spans="1:21" x14ac:dyDescent="0.25">
      <c r="A280" t="s">
        <v>400</v>
      </c>
      <c r="B280" t="s">
        <v>401</v>
      </c>
      <c r="C280" t="s">
        <v>1175</v>
      </c>
      <c r="D280" s="1">
        <v>44017</v>
      </c>
      <c r="E280" s="1">
        <v>44018</v>
      </c>
      <c r="F280">
        <f t="shared" si="14"/>
        <v>1</v>
      </c>
      <c r="G280" s="1">
        <v>44008</v>
      </c>
      <c r="H280" s="2">
        <v>0.33333333333333331</v>
      </c>
      <c r="I280" s="3">
        <v>1</v>
      </c>
      <c r="J280" t="s">
        <v>1475</v>
      </c>
      <c r="K280" t="s">
        <v>1475</v>
      </c>
      <c r="L280" t="s">
        <v>22</v>
      </c>
      <c r="M280" s="12" t="s">
        <v>18</v>
      </c>
      <c r="N280">
        <v>5</v>
      </c>
      <c r="O280">
        <v>0</v>
      </c>
      <c r="P280" t="s">
        <v>19</v>
      </c>
      <c r="Q280" s="6">
        <v>110</v>
      </c>
      <c r="R280" t="str">
        <f t="shared" si="12"/>
        <v>Keji's 5 Star Short let Apartment in Lekki_x000C_</v>
      </c>
      <c r="S280" t="str">
        <f t="shared" si="13"/>
        <v>Keji's 5 Star Short let Apartment in Lekki</v>
      </c>
      <c r="T280">
        <f>Table1[[#This Row],[Adults]]+Table1[[#This Row],[Children]]</f>
        <v>5</v>
      </c>
      <c r="U280">
        <f>_xlfn.DAYS(Table1[[#This Row],[Depart]],Table1[[#This Row],[Arrive]])</f>
        <v>1</v>
      </c>
    </row>
    <row r="281" spans="1:21" x14ac:dyDescent="0.25">
      <c r="A281" t="s">
        <v>220</v>
      </c>
      <c r="B281" t="s">
        <v>221</v>
      </c>
      <c r="C281" t="s">
        <v>1178</v>
      </c>
      <c r="D281" s="1">
        <v>44018</v>
      </c>
      <c r="E281" s="1">
        <v>44025</v>
      </c>
      <c r="F281">
        <f t="shared" si="14"/>
        <v>7</v>
      </c>
      <c r="G281" s="1">
        <v>43873</v>
      </c>
      <c r="H281" s="2">
        <v>0.33333333333333331</v>
      </c>
      <c r="I281" s="3">
        <v>1</v>
      </c>
      <c r="J281" t="s">
        <v>1334</v>
      </c>
      <c r="K281" t="s">
        <v>1334</v>
      </c>
      <c r="L281" t="s">
        <v>22</v>
      </c>
      <c r="M281" s="12" t="s">
        <v>18</v>
      </c>
      <c r="N281">
        <v>2</v>
      </c>
      <c r="O281">
        <v>0</v>
      </c>
      <c r="P281" t="s">
        <v>19</v>
      </c>
      <c r="Q281" s="6">
        <v>770</v>
      </c>
      <c r="R281" t="str">
        <f t="shared" si="12"/>
        <v>Ope's 5 Star Short Let Apartment in Lekki_x000C_</v>
      </c>
      <c r="S281" t="str">
        <f t="shared" si="13"/>
        <v>Ope's 5 Star Short Let Apartment in Lekki</v>
      </c>
      <c r="T281">
        <f>Table1[[#This Row],[Adults]]+Table1[[#This Row],[Children]]</f>
        <v>2</v>
      </c>
      <c r="U281">
        <f>_xlfn.DAYS(Table1[[#This Row],[Depart]],Table1[[#This Row],[Arrive]])</f>
        <v>7</v>
      </c>
    </row>
    <row r="282" spans="1:21" x14ac:dyDescent="0.25">
      <c r="A282" t="s">
        <v>414</v>
      </c>
      <c r="B282" t="s">
        <v>415</v>
      </c>
      <c r="C282" t="s">
        <v>1173</v>
      </c>
      <c r="D282" s="1">
        <v>44018</v>
      </c>
      <c r="E282" s="1">
        <v>44019</v>
      </c>
      <c r="F282">
        <f t="shared" si="14"/>
        <v>1</v>
      </c>
      <c r="G282" s="1">
        <v>44011</v>
      </c>
      <c r="H282" s="2">
        <v>0.33333333333333331</v>
      </c>
      <c r="I282" s="3">
        <v>1</v>
      </c>
      <c r="J282" t="s">
        <v>1472</v>
      </c>
      <c r="K282" t="s">
        <v>1472</v>
      </c>
      <c r="L282" t="s">
        <v>26</v>
      </c>
      <c r="M282" s="12" t="s">
        <v>18</v>
      </c>
      <c r="N282">
        <v>1</v>
      </c>
      <c r="O282">
        <v>0</v>
      </c>
      <c r="P282" t="s">
        <v>19</v>
      </c>
      <c r="Q282" s="6">
        <v>107</v>
      </c>
      <c r="R282" t="str">
        <f t="shared" si="12"/>
        <v xml:space="preserve"> The Daniels 5 Star Short Let Apartment in Lekki_x000C_</v>
      </c>
      <c r="S282" t="str">
        <f t="shared" si="13"/>
        <v xml:space="preserve"> The Daniels 5 Star Short Let Apartment in Lekki</v>
      </c>
      <c r="T282">
        <f>Table1[[#This Row],[Adults]]+Table1[[#This Row],[Children]]</f>
        <v>1</v>
      </c>
      <c r="U282">
        <f>_xlfn.DAYS(Table1[[#This Row],[Depart]],Table1[[#This Row],[Arrive]])</f>
        <v>1</v>
      </c>
    </row>
    <row r="283" spans="1:21" x14ac:dyDescent="0.25">
      <c r="A283" t="s">
        <v>296</v>
      </c>
      <c r="B283" t="s">
        <v>297</v>
      </c>
      <c r="C283" t="s">
        <v>1175</v>
      </c>
      <c r="D283" s="1">
        <v>44018</v>
      </c>
      <c r="E283" s="1">
        <v>44023</v>
      </c>
      <c r="F283">
        <f t="shared" si="14"/>
        <v>5</v>
      </c>
      <c r="G283" s="1">
        <v>44013</v>
      </c>
      <c r="H283" s="2">
        <v>0.33333333333333331</v>
      </c>
      <c r="I283" s="3">
        <v>1</v>
      </c>
      <c r="J283" t="s">
        <v>1490</v>
      </c>
      <c r="K283" t="s">
        <v>1490</v>
      </c>
      <c r="L283" t="s">
        <v>22</v>
      </c>
      <c r="M283" s="12" t="s">
        <v>23</v>
      </c>
      <c r="N283">
        <v>6</v>
      </c>
      <c r="O283">
        <v>0</v>
      </c>
      <c r="P283" t="s">
        <v>19</v>
      </c>
      <c r="Q283" s="6">
        <v>675</v>
      </c>
      <c r="R283" t="str">
        <f t="shared" si="12"/>
        <v>Keji's 5 Star Short let Apartment in Lekki_x000C_</v>
      </c>
      <c r="S283" t="str">
        <f t="shared" si="13"/>
        <v>Keji's 5 Star Short let Apartment in Lekki</v>
      </c>
      <c r="T283">
        <f>Table1[[#This Row],[Adults]]+Table1[[#This Row],[Children]]</f>
        <v>6</v>
      </c>
      <c r="U283">
        <f>_xlfn.DAYS(Table1[[#This Row],[Depart]],Table1[[#This Row],[Arrive]])</f>
        <v>5</v>
      </c>
    </row>
    <row r="284" spans="1:21" x14ac:dyDescent="0.25">
      <c r="A284" t="s">
        <v>486</v>
      </c>
      <c r="B284" t="s">
        <v>487</v>
      </c>
      <c r="C284" t="s">
        <v>1173</v>
      </c>
      <c r="D284" s="1">
        <v>44018</v>
      </c>
      <c r="E284" s="1">
        <v>44021</v>
      </c>
      <c r="F284">
        <f t="shared" si="14"/>
        <v>3</v>
      </c>
      <c r="G284" s="1">
        <v>44015</v>
      </c>
      <c r="H284" s="2">
        <v>0.33333333333333331</v>
      </c>
      <c r="I284" s="3">
        <v>1</v>
      </c>
      <c r="J284" t="s">
        <v>1526</v>
      </c>
      <c r="K284" t="s">
        <v>1526</v>
      </c>
      <c r="L284" t="s">
        <v>22</v>
      </c>
      <c r="M284" s="12" t="s">
        <v>23</v>
      </c>
      <c r="N284">
        <v>8</v>
      </c>
      <c r="O284">
        <v>0</v>
      </c>
      <c r="P284" t="s">
        <v>19</v>
      </c>
      <c r="Q284" s="6">
        <v>525</v>
      </c>
      <c r="R284" t="str">
        <f t="shared" si="12"/>
        <v xml:space="preserve"> The Daniels 5 Star Short Let Apartment in Lekki_x000C_</v>
      </c>
      <c r="S284" t="str">
        <f t="shared" si="13"/>
        <v xml:space="preserve"> The Daniels 5 Star Short Let Apartment in Lekki</v>
      </c>
      <c r="T284">
        <f>Table1[[#This Row],[Adults]]+Table1[[#This Row],[Children]]</f>
        <v>8</v>
      </c>
      <c r="U284">
        <f>_xlfn.DAYS(Table1[[#This Row],[Depart]],Table1[[#This Row],[Arrive]])</f>
        <v>3</v>
      </c>
    </row>
    <row r="285" spans="1:21" x14ac:dyDescent="0.25">
      <c r="A285" t="s">
        <v>384</v>
      </c>
      <c r="B285" t="s">
        <v>385</v>
      </c>
      <c r="C285" t="s">
        <v>1179</v>
      </c>
      <c r="D285" s="1">
        <v>44018</v>
      </c>
      <c r="E285" s="1">
        <v>44039</v>
      </c>
      <c r="F285">
        <f t="shared" si="14"/>
        <v>21</v>
      </c>
      <c r="G285" s="1">
        <v>44004</v>
      </c>
      <c r="H285" s="2">
        <v>0.33333333333333331</v>
      </c>
      <c r="I285" s="3">
        <v>1</v>
      </c>
      <c r="J285" t="s">
        <v>1544</v>
      </c>
      <c r="K285" t="s">
        <v>1544</v>
      </c>
      <c r="L285" t="s">
        <v>22</v>
      </c>
      <c r="M285" s="12" t="s">
        <v>23</v>
      </c>
      <c r="N285">
        <v>5</v>
      </c>
      <c r="O285">
        <v>0</v>
      </c>
      <c r="P285" t="s">
        <v>19</v>
      </c>
      <c r="Q285" s="6">
        <v>2310</v>
      </c>
      <c r="R285" t="str">
        <f t="shared" si="12"/>
        <v>Phiola's 5 Star Short Let Apartment in Lekki_x000C_</v>
      </c>
      <c r="S285" t="str">
        <f t="shared" si="13"/>
        <v>Phiola's 5 Star Short Let Apartment in Lekki</v>
      </c>
      <c r="T285">
        <f>Table1[[#This Row],[Adults]]+Table1[[#This Row],[Children]]</f>
        <v>5</v>
      </c>
      <c r="U285">
        <f>_xlfn.DAYS(Table1[[#This Row],[Depart]],Table1[[#This Row],[Arrive]])</f>
        <v>21</v>
      </c>
    </row>
    <row r="286" spans="1:21" x14ac:dyDescent="0.25">
      <c r="A286" t="s">
        <v>410</v>
      </c>
      <c r="B286" t="s">
        <v>411</v>
      </c>
      <c r="C286" t="s">
        <v>1173</v>
      </c>
      <c r="D286" s="1">
        <v>44019</v>
      </c>
      <c r="E286" s="1">
        <v>44020</v>
      </c>
      <c r="F286">
        <f t="shared" si="14"/>
        <v>1</v>
      </c>
      <c r="G286" s="1">
        <v>44010</v>
      </c>
      <c r="H286" s="2">
        <v>0.33333333333333331</v>
      </c>
      <c r="I286" s="3">
        <v>1</v>
      </c>
      <c r="J286" t="s">
        <v>1468</v>
      </c>
      <c r="K286" t="s">
        <v>1468</v>
      </c>
      <c r="L286" t="s">
        <v>26</v>
      </c>
      <c r="M286" s="12" t="s">
        <v>18</v>
      </c>
      <c r="N286">
        <v>1</v>
      </c>
      <c r="O286">
        <v>0</v>
      </c>
      <c r="P286" t="s">
        <v>19</v>
      </c>
      <c r="Q286" s="6">
        <v>107</v>
      </c>
      <c r="R286" t="str">
        <f t="shared" si="12"/>
        <v xml:space="preserve"> The Daniels 5 Star Short Let Apartment in Lekki_x000C_</v>
      </c>
      <c r="S286" t="str">
        <f t="shared" si="13"/>
        <v xml:space="preserve"> The Daniels 5 Star Short Let Apartment in Lekki</v>
      </c>
      <c r="T286">
        <f>Table1[[#This Row],[Adults]]+Table1[[#This Row],[Children]]</f>
        <v>1</v>
      </c>
      <c r="U286">
        <f>_xlfn.DAYS(Table1[[#This Row],[Depart]],Table1[[#This Row],[Arrive]])</f>
        <v>1</v>
      </c>
    </row>
    <row r="287" spans="1:21" x14ac:dyDescent="0.25">
      <c r="A287" t="s">
        <v>452</v>
      </c>
      <c r="B287" t="s">
        <v>453</v>
      </c>
      <c r="C287" t="s">
        <v>1178</v>
      </c>
      <c r="D287" s="1">
        <v>44019</v>
      </c>
      <c r="E287" s="1">
        <v>44020</v>
      </c>
      <c r="F287">
        <f t="shared" si="14"/>
        <v>1</v>
      </c>
      <c r="G287" s="1">
        <v>44018</v>
      </c>
      <c r="H287" s="2">
        <v>0.33333333333333331</v>
      </c>
      <c r="I287" s="3">
        <v>1</v>
      </c>
      <c r="J287" t="s">
        <v>1504</v>
      </c>
      <c r="K287" t="s">
        <v>1504</v>
      </c>
      <c r="L287" t="s">
        <v>22</v>
      </c>
      <c r="M287" s="12" t="s">
        <v>23</v>
      </c>
      <c r="N287">
        <v>5</v>
      </c>
      <c r="O287">
        <v>0</v>
      </c>
      <c r="P287" t="s">
        <v>19</v>
      </c>
      <c r="Q287" s="6">
        <v>135</v>
      </c>
      <c r="R287" t="str">
        <f t="shared" si="12"/>
        <v>Ope's 5 Star Short Let Apartment in Lekki_x000C_</v>
      </c>
      <c r="S287" t="str">
        <f t="shared" si="13"/>
        <v>Ope's 5 Star Short Let Apartment in Lekki</v>
      </c>
      <c r="T287">
        <f>Table1[[#This Row],[Adults]]+Table1[[#This Row],[Children]]</f>
        <v>5</v>
      </c>
      <c r="U287">
        <f>_xlfn.DAYS(Table1[[#This Row],[Depart]],Table1[[#This Row],[Arrive]])</f>
        <v>1</v>
      </c>
    </row>
    <row r="288" spans="1:21" x14ac:dyDescent="0.25">
      <c r="A288" t="s">
        <v>454</v>
      </c>
      <c r="B288" t="s">
        <v>455</v>
      </c>
      <c r="C288" t="s">
        <v>1178</v>
      </c>
      <c r="D288" s="1">
        <v>44020</v>
      </c>
      <c r="E288" s="1">
        <v>44021</v>
      </c>
      <c r="F288">
        <f t="shared" si="14"/>
        <v>1</v>
      </c>
      <c r="G288" s="1">
        <v>44020</v>
      </c>
      <c r="H288" s="2">
        <v>0.33333333333333331</v>
      </c>
      <c r="I288" s="3">
        <v>1</v>
      </c>
      <c r="J288" t="s">
        <v>1505</v>
      </c>
      <c r="K288" t="s">
        <v>1505</v>
      </c>
      <c r="L288" t="s">
        <v>22</v>
      </c>
      <c r="M288" s="12" t="s">
        <v>23</v>
      </c>
      <c r="N288">
        <v>6</v>
      </c>
      <c r="O288">
        <v>0</v>
      </c>
      <c r="P288" t="s">
        <v>19</v>
      </c>
      <c r="Q288" s="6">
        <v>135</v>
      </c>
      <c r="R288" t="str">
        <f t="shared" si="12"/>
        <v>Ope's 5 Star Short Let Apartment in Lekki_x000C_</v>
      </c>
      <c r="S288" t="str">
        <f t="shared" si="13"/>
        <v>Ope's 5 Star Short Let Apartment in Lekki</v>
      </c>
      <c r="T288">
        <f>Table1[[#This Row],[Adults]]+Table1[[#This Row],[Children]]</f>
        <v>6</v>
      </c>
      <c r="U288">
        <f>_xlfn.DAYS(Table1[[#This Row],[Depart]],Table1[[#This Row],[Arrive]])</f>
        <v>1</v>
      </c>
    </row>
    <row r="289" spans="1:21" x14ac:dyDescent="0.25">
      <c r="A289" t="s">
        <v>454</v>
      </c>
      <c r="B289" t="s">
        <v>455</v>
      </c>
      <c r="C289" t="s">
        <v>1173</v>
      </c>
      <c r="D289" s="1">
        <v>44020</v>
      </c>
      <c r="E289" s="1">
        <v>44021</v>
      </c>
      <c r="F289">
        <f t="shared" si="14"/>
        <v>1</v>
      </c>
      <c r="G289" s="1">
        <v>44006</v>
      </c>
      <c r="H289" s="2">
        <v>0.33333333333333331</v>
      </c>
      <c r="I289" s="3">
        <v>1</v>
      </c>
      <c r="J289" t="s">
        <v>1506</v>
      </c>
      <c r="K289" t="s">
        <v>1506</v>
      </c>
      <c r="L289" t="s">
        <v>22</v>
      </c>
      <c r="M289" s="12" t="s">
        <v>18</v>
      </c>
      <c r="N289">
        <v>5</v>
      </c>
      <c r="O289">
        <v>0</v>
      </c>
      <c r="P289" t="s">
        <v>19</v>
      </c>
      <c r="Q289" s="6">
        <v>110</v>
      </c>
      <c r="R289" t="str">
        <f t="shared" si="12"/>
        <v xml:space="preserve"> The Daniels 5 Star Short Let Apartment in Lekki_x000C_</v>
      </c>
      <c r="S289" t="str">
        <f t="shared" si="13"/>
        <v xml:space="preserve"> The Daniels 5 Star Short Let Apartment in Lekki</v>
      </c>
      <c r="T289">
        <f>Table1[[#This Row],[Adults]]+Table1[[#This Row],[Children]]</f>
        <v>5</v>
      </c>
      <c r="U289">
        <f>_xlfn.DAYS(Table1[[#This Row],[Depart]],Table1[[#This Row],[Arrive]])</f>
        <v>1</v>
      </c>
    </row>
    <row r="290" spans="1:21" x14ac:dyDescent="0.25">
      <c r="A290" t="s">
        <v>178</v>
      </c>
      <c r="B290" t="s">
        <v>179</v>
      </c>
      <c r="C290" t="s">
        <v>1175</v>
      </c>
      <c r="D290" s="1">
        <v>44021</v>
      </c>
      <c r="E290" s="1">
        <v>44026</v>
      </c>
      <c r="F290">
        <f t="shared" si="14"/>
        <v>5</v>
      </c>
      <c r="G290" s="1">
        <v>43920</v>
      </c>
      <c r="H290" s="2">
        <v>0.33333333333333331</v>
      </c>
      <c r="I290" s="3">
        <v>1</v>
      </c>
      <c r="J290" t="s">
        <v>1290</v>
      </c>
      <c r="K290" t="s">
        <v>1290</v>
      </c>
      <c r="L290" t="s">
        <v>26</v>
      </c>
      <c r="M290" s="12" t="s">
        <v>18</v>
      </c>
      <c r="N290">
        <v>6</v>
      </c>
      <c r="O290">
        <v>0</v>
      </c>
      <c r="P290" t="s">
        <v>19</v>
      </c>
      <c r="Q290" s="6">
        <v>531</v>
      </c>
      <c r="R290" t="str">
        <f t="shared" si="12"/>
        <v>Keji's 5 Star Short let Apartment in Lekki_x000C_</v>
      </c>
      <c r="S290" t="str">
        <f t="shared" si="13"/>
        <v>Keji's 5 Star Short let Apartment in Lekki</v>
      </c>
      <c r="T290">
        <f>Table1[[#This Row],[Adults]]+Table1[[#This Row],[Children]]</f>
        <v>6</v>
      </c>
      <c r="U290">
        <f>_xlfn.DAYS(Table1[[#This Row],[Depart]],Table1[[#This Row],[Arrive]])</f>
        <v>5</v>
      </c>
    </row>
    <row r="291" spans="1:21" x14ac:dyDescent="0.25">
      <c r="A291" t="s">
        <v>440</v>
      </c>
      <c r="B291" t="s">
        <v>441</v>
      </c>
      <c r="C291" t="s">
        <v>1178</v>
      </c>
      <c r="D291" s="1">
        <v>44021</v>
      </c>
      <c r="E291" s="1">
        <v>44022</v>
      </c>
      <c r="F291">
        <f t="shared" si="14"/>
        <v>1</v>
      </c>
      <c r="G291" s="1">
        <v>44019</v>
      </c>
      <c r="H291" s="2">
        <v>0.33333333333333331</v>
      </c>
      <c r="I291" s="3">
        <v>1</v>
      </c>
      <c r="J291" t="s">
        <v>1496</v>
      </c>
      <c r="K291" t="s">
        <v>1496</v>
      </c>
      <c r="L291" t="s">
        <v>22</v>
      </c>
      <c r="M291" s="12" t="s">
        <v>23</v>
      </c>
      <c r="N291">
        <v>5</v>
      </c>
      <c r="O291">
        <v>0</v>
      </c>
      <c r="P291" t="s">
        <v>19</v>
      </c>
      <c r="Q291" s="6">
        <v>135</v>
      </c>
      <c r="R291" t="str">
        <f t="shared" si="12"/>
        <v>Ope's 5 Star Short Let Apartment in Lekki_x000C_</v>
      </c>
      <c r="S291" t="str">
        <f t="shared" si="13"/>
        <v>Ope's 5 Star Short Let Apartment in Lekki</v>
      </c>
      <c r="T291">
        <f>Table1[[#This Row],[Adults]]+Table1[[#This Row],[Children]]</f>
        <v>5</v>
      </c>
      <c r="U291">
        <f>_xlfn.DAYS(Table1[[#This Row],[Depart]],Table1[[#This Row],[Arrive]])</f>
        <v>1</v>
      </c>
    </row>
    <row r="292" spans="1:21" x14ac:dyDescent="0.25">
      <c r="A292" t="s">
        <v>130</v>
      </c>
      <c r="B292" t="s">
        <v>131</v>
      </c>
      <c r="C292" t="s">
        <v>1175</v>
      </c>
      <c r="D292" s="1">
        <v>44022</v>
      </c>
      <c r="E292" s="1">
        <v>44029</v>
      </c>
      <c r="F292">
        <f t="shared" si="14"/>
        <v>7</v>
      </c>
      <c r="G292" s="1">
        <v>43953</v>
      </c>
      <c r="H292" s="2">
        <v>0.33333333333333331</v>
      </c>
      <c r="I292" s="3">
        <v>1</v>
      </c>
      <c r="J292" t="s">
        <v>1432</v>
      </c>
      <c r="K292" t="s">
        <v>1432</v>
      </c>
      <c r="L292" t="s">
        <v>22</v>
      </c>
      <c r="M292" s="12" t="s">
        <v>18</v>
      </c>
      <c r="N292">
        <v>4</v>
      </c>
      <c r="O292">
        <v>0</v>
      </c>
      <c r="P292" t="s">
        <v>19</v>
      </c>
      <c r="Q292" s="6">
        <v>770</v>
      </c>
      <c r="R292" t="str">
        <f t="shared" si="12"/>
        <v>Keji's 5 Star Short let Apartment in Lekki_x000C_</v>
      </c>
      <c r="S292" t="str">
        <f t="shared" si="13"/>
        <v>Keji's 5 Star Short let Apartment in Lekki</v>
      </c>
      <c r="T292">
        <f>Table1[[#This Row],[Adults]]+Table1[[#This Row],[Children]]</f>
        <v>4</v>
      </c>
      <c r="U292">
        <f>_xlfn.DAYS(Table1[[#This Row],[Depart]],Table1[[#This Row],[Arrive]])</f>
        <v>7</v>
      </c>
    </row>
    <row r="293" spans="1:21" x14ac:dyDescent="0.25">
      <c r="A293" t="s">
        <v>400</v>
      </c>
      <c r="B293" t="s">
        <v>401</v>
      </c>
      <c r="C293" t="s">
        <v>1173</v>
      </c>
      <c r="D293" s="1">
        <v>44022</v>
      </c>
      <c r="E293" s="1">
        <v>44023</v>
      </c>
      <c r="F293">
        <f t="shared" si="14"/>
        <v>1</v>
      </c>
      <c r="G293" s="1">
        <v>44008</v>
      </c>
      <c r="H293" s="2">
        <v>0.33333333333333331</v>
      </c>
      <c r="I293" s="3">
        <v>1</v>
      </c>
      <c r="J293" t="s">
        <v>1462</v>
      </c>
      <c r="K293" t="s">
        <v>1462</v>
      </c>
      <c r="L293" t="s">
        <v>22</v>
      </c>
      <c r="M293" s="12" t="s">
        <v>23</v>
      </c>
      <c r="N293">
        <v>5</v>
      </c>
      <c r="O293">
        <v>0</v>
      </c>
      <c r="P293" t="s">
        <v>19</v>
      </c>
      <c r="Q293" s="6">
        <v>110</v>
      </c>
      <c r="R293" t="str">
        <f t="shared" si="12"/>
        <v xml:space="preserve"> The Daniels 5 Star Short Let Apartment in Lekki_x000C_</v>
      </c>
      <c r="S293" t="str">
        <f t="shared" si="13"/>
        <v xml:space="preserve"> The Daniels 5 Star Short Let Apartment in Lekki</v>
      </c>
      <c r="T293">
        <f>Table1[[#This Row],[Adults]]+Table1[[#This Row],[Children]]</f>
        <v>5</v>
      </c>
      <c r="U293">
        <f>_xlfn.DAYS(Table1[[#This Row],[Depart]],Table1[[#This Row],[Arrive]])</f>
        <v>1</v>
      </c>
    </row>
    <row r="294" spans="1:21" x14ac:dyDescent="0.25">
      <c r="A294" t="s">
        <v>434</v>
      </c>
      <c r="B294" t="s">
        <v>435</v>
      </c>
      <c r="C294" t="s">
        <v>1178</v>
      </c>
      <c r="D294" s="1">
        <v>44022</v>
      </c>
      <c r="E294" s="1">
        <v>44023</v>
      </c>
      <c r="F294">
        <f t="shared" si="14"/>
        <v>1</v>
      </c>
      <c r="G294" s="1">
        <v>44009</v>
      </c>
      <c r="H294" s="2">
        <v>0.33333333333333331</v>
      </c>
      <c r="I294" s="3">
        <v>1</v>
      </c>
      <c r="J294" t="s">
        <v>1487</v>
      </c>
      <c r="K294" t="s">
        <v>1487</v>
      </c>
      <c r="L294" t="s">
        <v>22</v>
      </c>
      <c r="M294" s="12" t="s">
        <v>18</v>
      </c>
      <c r="N294">
        <v>3</v>
      </c>
      <c r="O294">
        <v>0</v>
      </c>
      <c r="P294" t="s">
        <v>19</v>
      </c>
      <c r="Q294" s="6">
        <v>135</v>
      </c>
      <c r="R294" t="str">
        <f t="shared" si="12"/>
        <v>Ope's 5 Star Short Let Apartment in Lekki_x000C_</v>
      </c>
      <c r="S294" t="str">
        <f t="shared" si="13"/>
        <v>Ope's 5 Star Short Let Apartment in Lekki</v>
      </c>
      <c r="T294">
        <f>Table1[[#This Row],[Adults]]+Table1[[#This Row],[Children]]</f>
        <v>3</v>
      </c>
      <c r="U294">
        <f>_xlfn.DAYS(Table1[[#This Row],[Depart]],Table1[[#This Row],[Arrive]])</f>
        <v>1</v>
      </c>
    </row>
    <row r="295" spans="1:21" x14ac:dyDescent="0.25">
      <c r="A295" t="s">
        <v>436</v>
      </c>
      <c r="B295" t="s">
        <v>437</v>
      </c>
      <c r="C295" t="s">
        <v>1175</v>
      </c>
      <c r="D295" s="1">
        <v>44022</v>
      </c>
      <c r="E295" s="1">
        <v>44025</v>
      </c>
      <c r="F295">
        <f t="shared" si="14"/>
        <v>3</v>
      </c>
      <c r="G295" s="1">
        <v>44005</v>
      </c>
      <c r="H295" s="2">
        <v>0.33333333333333331</v>
      </c>
      <c r="I295" s="3">
        <v>1</v>
      </c>
      <c r="J295" t="s">
        <v>1488</v>
      </c>
      <c r="K295" t="s">
        <v>1488</v>
      </c>
      <c r="L295" t="s">
        <v>22</v>
      </c>
      <c r="M295" s="12" t="s">
        <v>18</v>
      </c>
      <c r="N295">
        <v>5</v>
      </c>
      <c r="O295">
        <v>0</v>
      </c>
      <c r="P295" t="s">
        <v>19</v>
      </c>
      <c r="Q295" s="6">
        <v>330</v>
      </c>
      <c r="R295" t="str">
        <f t="shared" si="12"/>
        <v>Keji's 5 Star Short let Apartment in Lekki_x000C_</v>
      </c>
      <c r="S295" t="str">
        <f t="shared" si="13"/>
        <v>Keji's 5 Star Short let Apartment in Lekki</v>
      </c>
      <c r="T295">
        <f>Table1[[#This Row],[Adults]]+Table1[[#This Row],[Children]]</f>
        <v>5</v>
      </c>
      <c r="U295">
        <f>_xlfn.DAYS(Table1[[#This Row],[Depart]],Table1[[#This Row],[Arrive]])</f>
        <v>3</v>
      </c>
    </row>
    <row r="296" spans="1:21" x14ac:dyDescent="0.25">
      <c r="A296" t="s">
        <v>436</v>
      </c>
      <c r="B296" t="s">
        <v>437</v>
      </c>
      <c r="C296" t="s">
        <v>1178</v>
      </c>
      <c r="D296" s="1">
        <v>44022</v>
      </c>
      <c r="E296" s="1">
        <v>44025</v>
      </c>
      <c r="F296">
        <f t="shared" si="14"/>
        <v>3</v>
      </c>
      <c r="G296" s="1">
        <v>44018</v>
      </c>
      <c r="H296" s="2">
        <v>0.33333333333333331</v>
      </c>
      <c r="I296" s="3">
        <v>1</v>
      </c>
      <c r="J296" t="s">
        <v>1492</v>
      </c>
      <c r="K296" t="s">
        <v>1492</v>
      </c>
      <c r="L296" t="s">
        <v>22</v>
      </c>
      <c r="M296" s="12" t="s">
        <v>23</v>
      </c>
      <c r="N296">
        <v>8</v>
      </c>
      <c r="O296">
        <v>0</v>
      </c>
      <c r="P296" t="s">
        <v>19</v>
      </c>
      <c r="Q296" s="6">
        <v>525</v>
      </c>
      <c r="R296" t="str">
        <f t="shared" si="12"/>
        <v>Ope's 5 Star Short Let Apartment in Lekki_x000C_</v>
      </c>
      <c r="S296" t="str">
        <f t="shared" si="13"/>
        <v>Ope's 5 Star Short Let Apartment in Lekki</v>
      </c>
      <c r="T296">
        <f>Table1[[#This Row],[Adults]]+Table1[[#This Row],[Children]]</f>
        <v>8</v>
      </c>
      <c r="U296">
        <f>_xlfn.DAYS(Table1[[#This Row],[Depart]],Table1[[#This Row],[Arrive]])</f>
        <v>3</v>
      </c>
    </row>
    <row r="297" spans="1:21" x14ac:dyDescent="0.25">
      <c r="A297" t="s">
        <v>386</v>
      </c>
      <c r="B297" t="s">
        <v>387</v>
      </c>
      <c r="C297" t="s">
        <v>1173</v>
      </c>
      <c r="D297" s="1">
        <v>44023</v>
      </c>
      <c r="E297" s="1">
        <v>44024</v>
      </c>
      <c r="F297">
        <f t="shared" si="14"/>
        <v>1</v>
      </c>
      <c r="G297" s="1">
        <v>44005</v>
      </c>
      <c r="H297" s="2">
        <v>0.33333333333333331</v>
      </c>
      <c r="I297" s="3">
        <v>1</v>
      </c>
      <c r="J297" t="s">
        <v>1455</v>
      </c>
      <c r="K297" t="s">
        <v>1455</v>
      </c>
      <c r="L297" t="s">
        <v>22</v>
      </c>
      <c r="M297" s="12" t="s">
        <v>23</v>
      </c>
      <c r="N297">
        <v>5</v>
      </c>
      <c r="O297">
        <v>0</v>
      </c>
      <c r="P297" t="s">
        <v>19</v>
      </c>
      <c r="Q297" s="6">
        <v>110</v>
      </c>
      <c r="R297" t="str">
        <f t="shared" si="12"/>
        <v xml:space="preserve"> The Daniels 5 Star Short Let Apartment in Lekki_x000C_</v>
      </c>
      <c r="S297" t="str">
        <f t="shared" si="13"/>
        <v xml:space="preserve"> The Daniels 5 Star Short Let Apartment in Lekki</v>
      </c>
      <c r="T297">
        <f>Table1[[#This Row],[Adults]]+Table1[[#This Row],[Children]]</f>
        <v>5</v>
      </c>
      <c r="U297">
        <f>_xlfn.DAYS(Table1[[#This Row],[Depart]],Table1[[#This Row],[Arrive]])</f>
        <v>1</v>
      </c>
    </row>
    <row r="298" spans="1:21" x14ac:dyDescent="0.25">
      <c r="A298" t="s">
        <v>432</v>
      </c>
      <c r="B298" t="s">
        <v>433</v>
      </c>
      <c r="C298" t="s">
        <v>1175</v>
      </c>
      <c r="D298" s="1">
        <v>44023</v>
      </c>
      <c r="E298" s="1">
        <v>44024</v>
      </c>
      <c r="F298">
        <f t="shared" si="14"/>
        <v>1</v>
      </c>
      <c r="G298" s="1">
        <v>44018</v>
      </c>
      <c r="H298" s="2">
        <v>0.33333333333333331</v>
      </c>
      <c r="I298" s="3">
        <v>1</v>
      </c>
      <c r="J298" t="s">
        <v>1489</v>
      </c>
      <c r="K298" t="s">
        <v>1489</v>
      </c>
      <c r="L298" t="s">
        <v>22</v>
      </c>
      <c r="M298" s="12" t="s">
        <v>18</v>
      </c>
      <c r="N298">
        <v>5</v>
      </c>
      <c r="O298">
        <v>0</v>
      </c>
      <c r="P298" t="s">
        <v>19</v>
      </c>
      <c r="Q298" s="6">
        <v>135</v>
      </c>
      <c r="R298" t="str">
        <f t="shared" si="12"/>
        <v>Keji's 5 Star Short let Apartment in Lekki_x000C_</v>
      </c>
      <c r="S298" t="str">
        <f t="shared" si="13"/>
        <v>Keji's 5 Star Short let Apartment in Lekki</v>
      </c>
      <c r="T298">
        <f>Table1[[#This Row],[Adults]]+Table1[[#This Row],[Children]]</f>
        <v>5</v>
      </c>
      <c r="U298">
        <f>_xlfn.DAYS(Table1[[#This Row],[Depart]],Table1[[#This Row],[Arrive]])</f>
        <v>1</v>
      </c>
    </row>
    <row r="299" spans="1:21" x14ac:dyDescent="0.25">
      <c r="A299" t="s">
        <v>432</v>
      </c>
      <c r="B299" t="s">
        <v>433</v>
      </c>
      <c r="C299" t="s">
        <v>1175</v>
      </c>
      <c r="D299" s="1">
        <v>44023</v>
      </c>
      <c r="E299" s="1">
        <v>44024</v>
      </c>
      <c r="F299">
        <f t="shared" si="14"/>
        <v>1</v>
      </c>
      <c r="G299" s="1">
        <v>44018</v>
      </c>
      <c r="H299" s="2">
        <v>0.33333333333333331</v>
      </c>
      <c r="I299" s="3">
        <v>1</v>
      </c>
      <c r="J299" t="s">
        <v>1491</v>
      </c>
      <c r="K299" t="s">
        <v>1491</v>
      </c>
      <c r="L299" t="s">
        <v>35</v>
      </c>
      <c r="M299" s="12" t="s">
        <v>23</v>
      </c>
      <c r="N299">
        <v>3</v>
      </c>
      <c r="O299">
        <v>0</v>
      </c>
      <c r="P299" t="s">
        <v>19</v>
      </c>
      <c r="Q299" s="6">
        <v>135</v>
      </c>
      <c r="R299" t="str">
        <f t="shared" si="12"/>
        <v>Keji's 5 Star Short let Apartment in Lekki_x000C_</v>
      </c>
      <c r="S299" t="str">
        <f t="shared" si="13"/>
        <v>Keji's 5 Star Short let Apartment in Lekki</v>
      </c>
      <c r="T299">
        <f>Table1[[#This Row],[Adults]]+Table1[[#This Row],[Children]]</f>
        <v>3</v>
      </c>
      <c r="U299">
        <f>_xlfn.DAYS(Table1[[#This Row],[Depart]],Table1[[#This Row],[Arrive]])</f>
        <v>1</v>
      </c>
    </row>
    <row r="300" spans="1:21" x14ac:dyDescent="0.25">
      <c r="A300" t="s">
        <v>394</v>
      </c>
      <c r="B300" t="s">
        <v>395</v>
      </c>
      <c r="C300" t="s">
        <v>1173</v>
      </c>
      <c r="D300" s="1">
        <v>44024</v>
      </c>
      <c r="E300" s="1">
        <v>44026</v>
      </c>
      <c r="F300">
        <f t="shared" si="14"/>
        <v>2</v>
      </c>
      <c r="G300" s="1">
        <v>44006</v>
      </c>
      <c r="H300" s="2">
        <v>0.33333333333333331</v>
      </c>
      <c r="I300" s="3">
        <v>1</v>
      </c>
      <c r="J300" t="s">
        <v>1459</v>
      </c>
      <c r="K300" t="s">
        <v>1459</v>
      </c>
      <c r="L300" t="s">
        <v>22</v>
      </c>
      <c r="M300" s="12" t="s">
        <v>23</v>
      </c>
      <c r="N300">
        <v>4</v>
      </c>
      <c r="O300">
        <v>0</v>
      </c>
      <c r="P300" t="s">
        <v>19</v>
      </c>
      <c r="Q300" s="6">
        <v>220</v>
      </c>
      <c r="R300" t="str">
        <f t="shared" si="12"/>
        <v xml:space="preserve"> The Daniels 5 Star Short Let Apartment in Lekki_x000C_</v>
      </c>
      <c r="S300" t="str">
        <f t="shared" si="13"/>
        <v xml:space="preserve"> The Daniels 5 Star Short Let Apartment in Lekki</v>
      </c>
      <c r="T300">
        <f>Table1[[#This Row],[Adults]]+Table1[[#This Row],[Children]]</f>
        <v>4</v>
      </c>
      <c r="U300">
        <f>_xlfn.DAYS(Table1[[#This Row],[Depart]],Table1[[#This Row],[Arrive]])</f>
        <v>2</v>
      </c>
    </row>
    <row r="301" spans="1:21" x14ac:dyDescent="0.25">
      <c r="A301" t="s">
        <v>456</v>
      </c>
      <c r="B301" t="s">
        <v>457</v>
      </c>
      <c r="C301" t="s">
        <v>1175</v>
      </c>
      <c r="D301" s="1">
        <v>44024</v>
      </c>
      <c r="E301" s="1">
        <v>44025</v>
      </c>
      <c r="F301">
        <f t="shared" si="14"/>
        <v>1</v>
      </c>
      <c r="G301" s="1">
        <v>44021</v>
      </c>
      <c r="H301" s="2">
        <v>0.33333333333333331</v>
      </c>
      <c r="I301" s="3">
        <v>1</v>
      </c>
      <c r="J301" t="s">
        <v>1507</v>
      </c>
      <c r="K301" t="s">
        <v>1507</v>
      </c>
      <c r="L301" t="s">
        <v>22</v>
      </c>
      <c r="M301" s="12" t="s">
        <v>23</v>
      </c>
      <c r="N301">
        <v>9</v>
      </c>
      <c r="O301">
        <v>0</v>
      </c>
      <c r="P301" t="s">
        <v>19</v>
      </c>
      <c r="Q301" s="6">
        <v>195</v>
      </c>
      <c r="R301" t="str">
        <f t="shared" si="12"/>
        <v>Keji's 5 Star Short let Apartment in Lekki_x000C_</v>
      </c>
      <c r="S301" t="str">
        <f t="shared" si="13"/>
        <v>Keji's 5 Star Short let Apartment in Lekki</v>
      </c>
      <c r="T301">
        <f>Table1[[#This Row],[Adults]]+Table1[[#This Row],[Children]]</f>
        <v>9</v>
      </c>
      <c r="U301">
        <f>_xlfn.DAYS(Table1[[#This Row],[Depart]],Table1[[#This Row],[Arrive]])</f>
        <v>1</v>
      </c>
    </row>
    <row r="302" spans="1:21" x14ac:dyDescent="0.25">
      <c r="A302" t="s">
        <v>895</v>
      </c>
      <c r="B302" t="s">
        <v>896</v>
      </c>
      <c r="C302" t="s">
        <v>1175</v>
      </c>
      <c r="D302" s="1">
        <v>44024</v>
      </c>
      <c r="E302" s="1">
        <v>44055</v>
      </c>
      <c r="F302">
        <f t="shared" si="14"/>
        <v>31</v>
      </c>
      <c r="G302" s="1">
        <v>44126</v>
      </c>
      <c r="H302" s="2">
        <v>0.5</v>
      </c>
      <c r="I302" s="2">
        <v>0.58333333333333337</v>
      </c>
      <c r="J302" t="s">
        <v>1906</v>
      </c>
      <c r="K302" t="s">
        <v>1906</v>
      </c>
      <c r="L302" t="s">
        <v>22</v>
      </c>
      <c r="M302" s="12" t="s">
        <v>18</v>
      </c>
      <c r="N302">
        <v>1</v>
      </c>
      <c r="O302">
        <v>0</v>
      </c>
      <c r="P302" t="s">
        <v>19</v>
      </c>
      <c r="Q302" s="6">
        <v>75000</v>
      </c>
      <c r="R302" t="str">
        <f t="shared" si="12"/>
        <v>Keji's 5 Star Short let Apartment in Lekki_x000C_</v>
      </c>
      <c r="S302" t="str">
        <f t="shared" si="13"/>
        <v>Keji's 5 Star Short let Apartment in Lekki</v>
      </c>
      <c r="T302">
        <f>Table1[[#This Row],[Adults]]+Table1[[#This Row],[Children]]</f>
        <v>1</v>
      </c>
      <c r="U302">
        <f>_xlfn.DAYS(Table1[[#This Row],[Depart]],Table1[[#This Row],[Arrive]])</f>
        <v>31</v>
      </c>
    </row>
    <row r="303" spans="1:21" x14ac:dyDescent="0.25">
      <c r="A303" t="s">
        <v>895</v>
      </c>
      <c r="B303" t="s">
        <v>896</v>
      </c>
      <c r="C303" t="s">
        <v>1175</v>
      </c>
      <c r="D303" s="1">
        <v>44024</v>
      </c>
      <c r="E303" s="1">
        <v>44055</v>
      </c>
      <c r="F303">
        <f t="shared" si="14"/>
        <v>31</v>
      </c>
      <c r="G303" s="1">
        <v>44126</v>
      </c>
      <c r="H303" s="2">
        <v>0.5</v>
      </c>
      <c r="I303" s="2">
        <v>0.58333333333333337</v>
      </c>
      <c r="J303" t="s">
        <v>1911</v>
      </c>
      <c r="K303" t="s">
        <v>1911</v>
      </c>
      <c r="L303" t="s">
        <v>22</v>
      </c>
      <c r="M303" s="12" t="s">
        <v>18</v>
      </c>
      <c r="N303">
        <v>1</v>
      </c>
      <c r="O303">
        <v>0</v>
      </c>
      <c r="P303" t="s">
        <v>19</v>
      </c>
      <c r="Q303" s="6">
        <v>75000</v>
      </c>
      <c r="R303" t="str">
        <f t="shared" si="12"/>
        <v>Keji's 5 Star Short let Apartment in Lekki_x000C_</v>
      </c>
      <c r="S303" t="str">
        <f t="shared" si="13"/>
        <v>Keji's 5 Star Short let Apartment in Lekki</v>
      </c>
      <c r="T303">
        <f>Table1[[#This Row],[Adults]]+Table1[[#This Row],[Children]]</f>
        <v>1</v>
      </c>
      <c r="U303">
        <f>_xlfn.DAYS(Table1[[#This Row],[Depart]],Table1[[#This Row],[Arrive]])</f>
        <v>31</v>
      </c>
    </row>
    <row r="304" spans="1:21" x14ac:dyDescent="0.25">
      <c r="A304" t="s">
        <v>951</v>
      </c>
      <c r="B304" t="s">
        <v>952</v>
      </c>
      <c r="C304" t="s">
        <v>1175</v>
      </c>
      <c r="D304" s="1">
        <v>44024</v>
      </c>
      <c r="E304" s="1">
        <v>44116</v>
      </c>
      <c r="F304">
        <f t="shared" si="14"/>
        <v>92</v>
      </c>
      <c r="G304" s="1">
        <v>44129</v>
      </c>
      <c r="H304" s="2">
        <v>0.5</v>
      </c>
      <c r="I304" s="2">
        <v>0.58333333333333337</v>
      </c>
      <c r="J304" t="s">
        <v>1937</v>
      </c>
      <c r="K304" t="s">
        <v>1937</v>
      </c>
      <c r="L304" t="s">
        <v>22</v>
      </c>
      <c r="M304" s="12" t="s">
        <v>18</v>
      </c>
      <c r="N304">
        <v>1</v>
      </c>
      <c r="O304">
        <v>0</v>
      </c>
      <c r="P304" t="s">
        <v>19</v>
      </c>
      <c r="Q304" s="6">
        <v>390000</v>
      </c>
      <c r="R304" t="str">
        <f t="shared" si="12"/>
        <v>Keji's 5 Star Short let Apartment in Lekki_x000C_</v>
      </c>
      <c r="S304" t="str">
        <f t="shared" si="13"/>
        <v>Keji's 5 Star Short let Apartment in Lekki</v>
      </c>
      <c r="T304">
        <f>Table1[[#This Row],[Adults]]+Table1[[#This Row],[Children]]</f>
        <v>1</v>
      </c>
      <c r="U304">
        <f>_xlfn.DAYS(Table1[[#This Row],[Depart]],Table1[[#This Row],[Arrive]])</f>
        <v>92</v>
      </c>
    </row>
    <row r="305" spans="1:21" x14ac:dyDescent="0.25">
      <c r="A305" t="s">
        <v>396</v>
      </c>
      <c r="B305" t="s">
        <v>397</v>
      </c>
      <c r="C305" t="s">
        <v>1175</v>
      </c>
      <c r="D305" s="1">
        <v>44025</v>
      </c>
      <c r="E305" s="1">
        <v>44027</v>
      </c>
      <c r="F305">
        <f t="shared" si="14"/>
        <v>2</v>
      </c>
      <c r="G305" s="1">
        <v>44007</v>
      </c>
      <c r="H305" s="2">
        <v>0.33333333333333331</v>
      </c>
      <c r="I305" s="3">
        <v>1</v>
      </c>
      <c r="J305" t="s">
        <v>1460</v>
      </c>
      <c r="K305" t="s">
        <v>1460</v>
      </c>
      <c r="L305" t="s">
        <v>22</v>
      </c>
      <c r="M305" s="12" t="s">
        <v>23</v>
      </c>
      <c r="N305">
        <v>12</v>
      </c>
      <c r="O305">
        <v>0</v>
      </c>
      <c r="P305" t="s">
        <v>19</v>
      </c>
      <c r="Q305" s="6">
        <v>220</v>
      </c>
      <c r="R305" t="str">
        <f t="shared" si="12"/>
        <v>Keji's 5 Star Short let Apartment in Lekki_x000C_</v>
      </c>
      <c r="S305" t="str">
        <f t="shared" si="13"/>
        <v>Keji's 5 Star Short let Apartment in Lekki</v>
      </c>
      <c r="T305">
        <f>Table1[[#This Row],[Adults]]+Table1[[#This Row],[Children]]</f>
        <v>12</v>
      </c>
      <c r="U305">
        <f>_xlfn.DAYS(Table1[[#This Row],[Depart]],Table1[[#This Row],[Arrive]])</f>
        <v>2</v>
      </c>
    </row>
    <row r="306" spans="1:21" x14ac:dyDescent="0.25">
      <c r="A306" t="s">
        <v>434</v>
      </c>
      <c r="B306" t="s">
        <v>435</v>
      </c>
      <c r="C306" t="s">
        <v>1178</v>
      </c>
      <c r="D306" s="1">
        <v>44025</v>
      </c>
      <c r="E306" s="1">
        <v>44036</v>
      </c>
      <c r="F306">
        <f t="shared" si="14"/>
        <v>11</v>
      </c>
      <c r="G306" s="1">
        <v>44009</v>
      </c>
      <c r="H306" s="2">
        <v>0.33333333333333331</v>
      </c>
      <c r="I306" s="3">
        <v>1</v>
      </c>
      <c r="J306" t="s">
        <v>1493</v>
      </c>
      <c r="K306" t="s">
        <v>1493</v>
      </c>
      <c r="L306" t="s">
        <v>22</v>
      </c>
      <c r="M306" s="12" t="s">
        <v>18</v>
      </c>
      <c r="N306">
        <v>3</v>
      </c>
      <c r="O306">
        <v>0</v>
      </c>
      <c r="P306" t="s">
        <v>19</v>
      </c>
      <c r="Q306" s="6">
        <v>1485</v>
      </c>
      <c r="R306" t="str">
        <f t="shared" si="12"/>
        <v>Ope's 5 Star Short Let Apartment in Lekki_x000C_</v>
      </c>
      <c r="S306" t="str">
        <f t="shared" si="13"/>
        <v>Ope's 5 Star Short Let Apartment in Lekki</v>
      </c>
      <c r="T306">
        <f>Table1[[#This Row],[Adults]]+Table1[[#This Row],[Children]]</f>
        <v>3</v>
      </c>
      <c r="U306">
        <f>_xlfn.DAYS(Table1[[#This Row],[Depart]],Table1[[#This Row],[Arrive]])</f>
        <v>11</v>
      </c>
    </row>
    <row r="307" spans="1:21" x14ac:dyDescent="0.25">
      <c r="A307" t="s">
        <v>450</v>
      </c>
      <c r="B307" t="s">
        <v>451</v>
      </c>
      <c r="C307" t="s">
        <v>1178</v>
      </c>
      <c r="D307" s="1">
        <v>44025</v>
      </c>
      <c r="E307" s="1">
        <v>44027</v>
      </c>
      <c r="F307">
        <f t="shared" si="14"/>
        <v>2</v>
      </c>
      <c r="G307" s="1">
        <v>44020</v>
      </c>
      <c r="H307" s="2">
        <v>0.33333333333333331</v>
      </c>
      <c r="I307" s="3">
        <v>1</v>
      </c>
      <c r="J307" t="s">
        <v>1502</v>
      </c>
      <c r="K307" t="s">
        <v>1502</v>
      </c>
      <c r="L307" t="s">
        <v>22</v>
      </c>
      <c r="M307" s="12" t="s">
        <v>23</v>
      </c>
      <c r="N307">
        <v>5</v>
      </c>
      <c r="O307">
        <v>0</v>
      </c>
      <c r="P307" t="s">
        <v>19</v>
      </c>
      <c r="Q307" s="6">
        <v>270</v>
      </c>
      <c r="R307" t="str">
        <f t="shared" si="12"/>
        <v>Ope's 5 Star Short Let Apartment in Lekki_x000C_</v>
      </c>
      <c r="S307" t="str">
        <f t="shared" si="13"/>
        <v>Ope's 5 Star Short Let Apartment in Lekki</v>
      </c>
      <c r="T307">
        <f>Table1[[#This Row],[Adults]]+Table1[[#This Row],[Children]]</f>
        <v>5</v>
      </c>
      <c r="U307">
        <f>_xlfn.DAYS(Table1[[#This Row],[Depart]],Table1[[#This Row],[Arrive]])</f>
        <v>2</v>
      </c>
    </row>
    <row r="308" spans="1:21" x14ac:dyDescent="0.25">
      <c r="A308" t="s">
        <v>486</v>
      </c>
      <c r="B308" t="s">
        <v>487</v>
      </c>
      <c r="C308" t="s">
        <v>1173</v>
      </c>
      <c r="D308" s="1">
        <v>44026</v>
      </c>
      <c r="E308" s="1">
        <v>44028</v>
      </c>
      <c r="F308">
        <f t="shared" si="14"/>
        <v>2</v>
      </c>
      <c r="G308" s="1">
        <v>44015</v>
      </c>
      <c r="H308" s="2">
        <v>0.33333333333333331</v>
      </c>
      <c r="I308" s="3">
        <v>1</v>
      </c>
      <c r="J308" t="s">
        <v>1527</v>
      </c>
      <c r="K308" t="s">
        <v>1527</v>
      </c>
      <c r="L308" t="s">
        <v>22</v>
      </c>
      <c r="M308" s="12" t="s">
        <v>23</v>
      </c>
      <c r="N308">
        <v>6</v>
      </c>
      <c r="O308">
        <v>0</v>
      </c>
      <c r="P308" t="s">
        <v>19</v>
      </c>
      <c r="Q308" s="6">
        <v>270</v>
      </c>
      <c r="R308" t="str">
        <f t="shared" si="12"/>
        <v xml:space="preserve"> The Daniels 5 Star Short Let Apartment in Lekki_x000C_</v>
      </c>
      <c r="S308" t="str">
        <f t="shared" si="13"/>
        <v xml:space="preserve"> The Daniels 5 Star Short Let Apartment in Lekki</v>
      </c>
      <c r="T308">
        <f>Table1[[#This Row],[Adults]]+Table1[[#This Row],[Children]]</f>
        <v>6</v>
      </c>
      <c r="U308">
        <f>_xlfn.DAYS(Table1[[#This Row],[Depart]],Table1[[#This Row],[Arrive]])</f>
        <v>2</v>
      </c>
    </row>
    <row r="309" spans="1:21" x14ac:dyDescent="0.25">
      <c r="A309" t="s">
        <v>438</v>
      </c>
      <c r="B309" t="s">
        <v>439</v>
      </c>
      <c r="C309" t="s">
        <v>1178</v>
      </c>
      <c r="D309" s="1">
        <v>44027</v>
      </c>
      <c r="E309" s="1">
        <v>44028</v>
      </c>
      <c r="F309">
        <f t="shared" si="14"/>
        <v>1</v>
      </c>
      <c r="G309" s="1">
        <v>44019</v>
      </c>
      <c r="H309" s="2">
        <v>0.33333333333333331</v>
      </c>
      <c r="I309" s="3">
        <v>1</v>
      </c>
      <c r="J309" t="s">
        <v>1495</v>
      </c>
      <c r="K309" t="s">
        <v>1495</v>
      </c>
      <c r="L309" t="s">
        <v>22</v>
      </c>
      <c r="M309" s="12" t="s">
        <v>23</v>
      </c>
      <c r="N309">
        <v>8</v>
      </c>
      <c r="O309">
        <v>0</v>
      </c>
      <c r="P309" t="s">
        <v>19</v>
      </c>
      <c r="Q309" s="6">
        <v>175</v>
      </c>
      <c r="R309" t="str">
        <f t="shared" si="12"/>
        <v>Ope's 5 Star Short Let Apartment in Lekki_x000C_</v>
      </c>
      <c r="S309" t="str">
        <f t="shared" si="13"/>
        <v>Ope's 5 Star Short Let Apartment in Lekki</v>
      </c>
      <c r="T309">
        <f>Table1[[#This Row],[Adults]]+Table1[[#This Row],[Children]]</f>
        <v>8</v>
      </c>
      <c r="U309">
        <f>_xlfn.DAYS(Table1[[#This Row],[Depart]],Table1[[#This Row],[Arrive]])</f>
        <v>1</v>
      </c>
    </row>
    <row r="310" spans="1:21" x14ac:dyDescent="0.25">
      <c r="A310" t="s">
        <v>438</v>
      </c>
      <c r="B310" t="s">
        <v>439</v>
      </c>
      <c r="C310" t="s">
        <v>1175</v>
      </c>
      <c r="D310" s="1">
        <v>44027</v>
      </c>
      <c r="E310" s="1">
        <v>44028</v>
      </c>
      <c r="F310">
        <f t="shared" si="14"/>
        <v>1</v>
      </c>
      <c r="G310" s="1">
        <v>44016</v>
      </c>
      <c r="H310" s="2">
        <v>0.33333333333333331</v>
      </c>
      <c r="I310" s="3">
        <v>1</v>
      </c>
      <c r="J310" t="s">
        <v>1497</v>
      </c>
      <c r="K310" t="s">
        <v>1497</v>
      </c>
      <c r="L310" t="s">
        <v>22</v>
      </c>
      <c r="M310" s="12" t="s">
        <v>18</v>
      </c>
      <c r="N310">
        <v>7</v>
      </c>
      <c r="O310">
        <v>0</v>
      </c>
      <c r="P310" t="s">
        <v>19</v>
      </c>
      <c r="Q310" s="6">
        <v>155</v>
      </c>
      <c r="R310" t="str">
        <f t="shared" si="12"/>
        <v>Keji's 5 Star Short let Apartment in Lekki_x000C_</v>
      </c>
      <c r="S310" t="str">
        <f t="shared" si="13"/>
        <v>Keji's 5 Star Short let Apartment in Lekki</v>
      </c>
      <c r="T310">
        <f>Table1[[#This Row],[Adults]]+Table1[[#This Row],[Children]]</f>
        <v>7</v>
      </c>
      <c r="U310">
        <f>_xlfn.DAYS(Table1[[#This Row],[Depart]],Table1[[#This Row],[Arrive]])</f>
        <v>1</v>
      </c>
    </row>
    <row r="311" spans="1:21" x14ac:dyDescent="0.25">
      <c r="A311" t="s">
        <v>284</v>
      </c>
      <c r="B311" t="s">
        <v>285</v>
      </c>
      <c r="C311" t="s">
        <v>1175</v>
      </c>
      <c r="D311" s="1">
        <v>44027</v>
      </c>
      <c r="E311" s="1">
        <v>44028</v>
      </c>
      <c r="F311">
        <f t="shared" si="14"/>
        <v>1</v>
      </c>
      <c r="G311" s="1">
        <v>44020</v>
      </c>
      <c r="H311" s="2">
        <v>0.33333333333333331</v>
      </c>
      <c r="I311" s="3">
        <v>1</v>
      </c>
      <c r="J311" t="s">
        <v>1503</v>
      </c>
      <c r="K311" t="s">
        <v>1503</v>
      </c>
      <c r="L311" t="s">
        <v>22</v>
      </c>
      <c r="M311" s="12" t="s">
        <v>23</v>
      </c>
      <c r="N311">
        <v>5</v>
      </c>
      <c r="O311">
        <v>0</v>
      </c>
      <c r="P311" t="s">
        <v>19</v>
      </c>
      <c r="Q311" s="6">
        <v>135</v>
      </c>
      <c r="R311" t="str">
        <f t="shared" si="12"/>
        <v>Keji's 5 Star Short let Apartment in Lekki_x000C_</v>
      </c>
      <c r="S311" t="str">
        <f t="shared" si="13"/>
        <v>Keji's 5 Star Short let Apartment in Lekki</v>
      </c>
      <c r="T311">
        <f>Table1[[#This Row],[Adults]]+Table1[[#This Row],[Children]]</f>
        <v>5</v>
      </c>
      <c r="U311">
        <f>_xlfn.DAYS(Table1[[#This Row],[Depart]],Table1[[#This Row],[Arrive]])</f>
        <v>1</v>
      </c>
    </row>
    <row r="312" spans="1:21" x14ac:dyDescent="0.25">
      <c r="A312" t="s">
        <v>432</v>
      </c>
      <c r="B312" t="s">
        <v>433</v>
      </c>
      <c r="C312" t="s">
        <v>1175</v>
      </c>
      <c r="D312" s="1">
        <v>44028</v>
      </c>
      <c r="E312" s="1">
        <v>44029</v>
      </c>
      <c r="F312">
        <f t="shared" si="14"/>
        <v>1</v>
      </c>
      <c r="G312" s="1">
        <v>44018</v>
      </c>
      <c r="H312" s="2">
        <v>0.33333333333333331</v>
      </c>
      <c r="I312" s="3">
        <v>1</v>
      </c>
      <c r="J312" t="s">
        <v>1486</v>
      </c>
      <c r="K312" t="s">
        <v>1486</v>
      </c>
      <c r="L312" t="s">
        <v>35</v>
      </c>
      <c r="M312" s="12" t="s">
        <v>18</v>
      </c>
      <c r="N312">
        <v>3</v>
      </c>
      <c r="O312">
        <v>0</v>
      </c>
      <c r="P312" t="s">
        <v>19</v>
      </c>
      <c r="Q312" s="6">
        <v>135</v>
      </c>
      <c r="R312" t="str">
        <f t="shared" si="12"/>
        <v>Keji's 5 Star Short let Apartment in Lekki_x000C_</v>
      </c>
      <c r="S312" t="str">
        <f t="shared" si="13"/>
        <v>Keji's 5 Star Short let Apartment in Lekki</v>
      </c>
      <c r="T312">
        <f>Table1[[#This Row],[Adults]]+Table1[[#This Row],[Children]]</f>
        <v>3</v>
      </c>
      <c r="U312">
        <f>_xlfn.DAYS(Table1[[#This Row],[Depart]],Table1[[#This Row],[Arrive]])</f>
        <v>1</v>
      </c>
    </row>
    <row r="313" spans="1:21" x14ac:dyDescent="0.25">
      <c r="A313" t="s">
        <v>448</v>
      </c>
      <c r="B313" t="s">
        <v>449</v>
      </c>
      <c r="C313" t="s">
        <v>1175</v>
      </c>
      <c r="D313" s="1">
        <v>44028</v>
      </c>
      <c r="E313" s="1">
        <v>44029</v>
      </c>
      <c r="F313">
        <f t="shared" si="14"/>
        <v>1</v>
      </c>
      <c r="G313" s="1">
        <v>44020</v>
      </c>
      <c r="H313" s="2">
        <v>0.33333333333333331</v>
      </c>
      <c r="I313" s="3">
        <v>1</v>
      </c>
      <c r="J313" t="s">
        <v>1501</v>
      </c>
      <c r="K313" t="s">
        <v>1501</v>
      </c>
      <c r="L313" t="s">
        <v>22</v>
      </c>
      <c r="M313" s="12" t="s">
        <v>23</v>
      </c>
      <c r="N313">
        <v>9</v>
      </c>
      <c r="O313">
        <v>0</v>
      </c>
      <c r="P313" t="s">
        <v>19</v>
      </c>
      <c r="Q313" s="6">
        <v>195</v>
      </c>
      <c r="R313" t="str">
        <f t="shared" si="12"/>
        <v>Keji's 5 Star Short let Apartment in Lekki_x000C_</v>
      </c>
      <c r="S313" t="str">
        <f t="shared" si="13"/>
        <v>Keji's 5 Star Short let Apartment in Lekki</v>
      </c>
      <c r="T313">
        <f>Table1[[#This Row],[Adults]]+Table1[[#This Row],[Children]]</f>
        <v>9</v>
      </c>
      <c r="U313">
        <f>_xlfn.DAYS(Table1[[#This Row],[Depart]],Table1[[#This Row],[Arrive]])</f>
        <v>1</v>
      </c>
    </row>
    <row r="314" spans="1:21" x14ac:dyDescent="0.25">
      <c r="A314" t="s">
        <v>470</v>
      </c>
      <c r="B314" t="s">
        <v>471</v>
      </c>
      <c r="C314" t="s">
        <v>1178</v>
      </c>
      <c r="D314" s="1">
        <v>44028</v>
      </c>
      <c r="E314" s="1">
        <v>44029</v>
      </c>
      <c r="F314">
        <f t="shared" si="14"/>
        <v>1</v>
      </c>
      <c r="G314" s="1">
        <v>44024</v>
      </c>
      <c r="H314" s="2">
        <v>0.58333333333333337</v>
      </c>
      <c r="I314" s="2">
        <v>0.45833333333333331</v>
      </c>
      <c r="J314" t="s">
        <v>1515</v>
      </c>
      <c r="K314" t="s">
        <v>1515</v>
      </c>
      <c r="L314" t="s">
        <v>22</v>
      </c>
      <c r="M314" s="12" t="s">
        <v>23</v>
      </c>
      <c r="N314">
        <v>6</v>
      </c>
      <c r="O314">
        <v>0</v>
      </c>
      <c r="P314" t="s">
        <v>19</v>
      </c>
      <c r="Q314" s="6">
        <v>135</v>
      </c>
      <c r="R314" t="str">
        <f t="shared" si="12"/>
        <v>Ope's 5 Star Short Let Apartment in Lekki_x000C_</v>
      </c>
      <c r="S314" t="str">
        <f t="shared" si="13"/>
        <v>Ope's 5 Star Short Let Apartment in Lekki</v>
      </c>
      <c r="T314">
        <f>Table1[[#This Row],[Adults]]+Table1[[#This Row],[Children]]</f>
        <v>6</v>
      </c>
      <c r="U314">
        <f>_xlfn.DAYS(Table1[[#This Row],[Depart]],Table1[[#This Row],[Arrive]])</f>
        <v>1</v>
      </c>
    </row>
    <row r="315" spans="1:21" x14ac:dyDescent="0.25">
      <c r="A315" t="s">
        <v>356</v>
      </c>
      <c r="B315" t="s">
        <v>357</v>
      </c>
      <c r="C315" t="s">
        <v>1175</v>
      </c>
      <c r="D315" s="1">
        <v>44029</v>
      </c>
      <c r="E315" s="1">
        <v>44039</v>
      </c>
      <c r="F315">
        <f t="shared" si="14"/>
        <v>10</v>
      </c>
      <c r="G315" s="1">
        <v>43848</v>
      </c>
      <c r="H315" s="2">
        <v>0.33333333333333331</v>
      </c>
      <c r="I315" s="3">
        <v>1</v>
      </c>
      <c r="J315" t="s">
        <v>2177</v>
      </c>
      <c r="K315" t="s">
        <v>1215</v>
      </c>
      <c r="L315" t="s">
        <v>17</v>
      </c>
      <c r="M315" s="12" t="s">
        <v>18</v>
      </c>
      <c r="N315">
        <v>2</v>
      </c>
      <c r="O315">
        <v>0</v>
      </c>
      <c r="P315" t="s">
        <v>19</v>
      </c>
      <c r="Q315" s="6">
        <v>928.8</v>
      </c>
      <c r="R315" t="str">
        <f t="shared" si="12"/>
        <v>Keji's 5 Star Short let Apartment in Lekki_x000C_</v>
      </c>
      <c r="S315" t="str">
        <f t="shared" si="13"/>
        <v>Keji's 5 Star Short let Apartment in Lekki</v>
      </c>
      <c r="T315">
        <f>Table1[[#This Row],[Adults]]+Table1[[#This Row],[Children]]</f>
        <v>2</v>
      </c>
      <c r="U315">
        <f>_xlfn.DAYS(Table1[[#This Row],[Depart]],Table1[[#This Row],[Arrive]])</f>
        <v>10</v>
      </c>
    </row>
    <row r="316" spans="1:21" x14ac:dyDescent="0.25">
      <c r="A316" t="s">
        <v>402</v>
      </c>
      <c r="B316" t="s">
        <v>403</v>
      </c>
      <c r="C316" t="s">
        <v>1173</v>
      </c>
      <c r="D316" s="1">
        <v>44029</v>
      </c>
      <c r="E316" s="1">
        <v>44031</v>
      </c>
      <c r="F316">
        <f t="shared" si="14"/>
        <v>2</v>
      </c>
      <c r="G316" s="1">
        <v>44009</v>
      </c>
      <c r="H316" s="2">
        <v>0.33333333333333331</v>
      </c>
      <c r="I316" s="3">
        <v>1</v>
      </c>
      <c r="J316" t="s">
        <v>1463</v>
      </c>
      <c r="K316" t="s">
        <v>1463</v>
      </c>
      <c r="L316" t="s">
        <v>22</v>
      </c>
      <c r="M316" s="12" t="s">
        <v>23</v>
      </c>
      <c r="N316">
        <v>4</v>
      </c>
      <c r="O316">
        <v>0</v>
      </c>
      <c r="P316" t="s">
        <v>19</v>
      </c>
      <c r="Q316" s="6">
        <v>220</v>
      </c>
      <c r="R316" t="str">
        <f t="shared" si="12"/>
        <v xml:space="preserve"> The Daniels 5 Star Short Let Apartment in Lekki_x000C_</v>
      </c>
      <c r="S316" t="str">
        <f t="shared" si="13"/>
        <v xml:space="preserve"> The Daniels 5 Star Short Let Apartment in Lekki</v>
      </c>
      <c r="T316">
        <f>Table1[[#This Row],[Adults]]+Table1[[#This Row],[Children]]</f>
        <v>4</v>
      </c>
      <c r="U316">
        <f>_xlfn.DAYS(Table1[[#This Row],[Depart]],Table1[[#This Row],[Arrive]])</f>
        <v>2</v>
      </c>
    </row>
    <row r="317" spans="1:21" x14ac:dyDescent="0.25">
      <c r="A317" t="s">
        <v>402</v>
      </c>
      <c r="B317" t="s">
        <v>403</v>
      </c>
      <c r="C317" t="s">
        <v>1178</v>
      </c>
      <c r="D317" s="1">
        <v>44029</v>
      </c>
      <c r="E317" s="1">
        <v>44031</v>
      </c>
      <c r="F317">
        <f t="shared" si="14"/>
        <v>2</v>
      </c>
      <c r="G317" s="1">
        <v>43995</v>
      </c>
      <c r="H317" s="2">
        <v>0.33333333333333331</v>
      </c>
      <c r="I317" s="3">
        <v>1</v>
      </c>
      <c r="J317" t="s">
        <v>1464</v>
      </c>
      <c r="K317" t="s">
        <v>1464</v>
      </c>
      <c r="L317" t="s">
        <v>22</v>
      </c>
      <c r="M317" s="12" t="s">
        <v>18</v>
      </c>
      <c r="N317">
        <v>6</v>
      </c>
      <c r="O317">
        <v>0</v>
      </c>
      <c r="P317" t="s">
        <v>19</v>
      </c>
      <c r="Q317" s="6">
        <v>220</v>
      </c>
      <c r="R317" t="str">
        <f t="shared" si="12"/>
        <v>Ope's 5 Star Short Let Apartment in Lekki_x000C_</v>
      </c>
      <c r="S317" t="str">
        <f t="shared" si="13"/>
        <v>Ope's 5 Star Short Let Apartment in Lekki</v>
      </c>
      <c r="T317">
        <f>Table1[[#This Row],[Adults]]+Table1[[#This Row],[Children]]</f>
        <v>6</v>
      </c>
      <c r="U317">
        <f>_xlfn.DAYS(Table1[[#This Row],[Depart]],Table1[[#This Row],[Arrive]])</f>
        <v>2</v>
      </c>
    </row>
    <row r="318" spans="1:21" x14ac:dyDescent="0.25">
      <c r="A318" t="s">
        <v>406</v>
      </c>
      <c r="B318" t="s">
        <v>407</v>
      </c>
      <c r="C318" t="s">
        <v>1175</v>
      </c>
      <c r="D318" s="1">
        <v>44029</v>
      </c>
      <c r="E318" s="1">
        <v>44031</v>
      </c>
      <c r="F318">
        <f t="shared" si="14"/>
        <v>2</v>
      </c>
      <c r="G318" s="1">
        <v>44009</v>
      </c>
      <c r="H318" s="2">
        <v>0.33333333333333331</v>
      </c>
      <c r="I318" s="3">
        <v>1</v>
      </c>
      <c r="J318" t="s">
        <v>1466</v>
      </c>
      <c r="K318" t="s">
        <v>1466</v>
      </c>
      <c r="L318" t="s">
        <v>22</v>
      </c>
      <c r="M318" s="12" t="s">
        <v>23</v>
      </c>
      <c r="N318">
        <v>3</v>
      </c>
      <c r="O318">
        <v>0</v>
      </c>
      <c r="P318" t="s">
        <v>19</v>
      </c>
      <c r="Q318" s="6">
        <v>220</v>
      </c>
      <c r="R318" t="str">
        <f t="shared" si="12"/>
        <v>Keji's 5 Star Short let Apartment in Lekki_x000C_</v>
      </c>
      <c r="S318" t="str">
        <f t="shared" si="13"/>
        <v>Keji's 5 Star Short let Apartment in Lekki</v>
      </c>
      <c r="T318">
        <f>Table1[[#This Row],[Adults]]+Table1[[#This Row],[Children]]</f>
        <v>3</v>
      </c>
      <c r="U318">
        <f>_xlfn.DAYS(Table1[[#This Row],[Depart]],Table1[[#This Row],[Arrive]])</f>
        <v>2</v>
      </c>
    </row>
    <row r="319" spans="1:21" x14ac:dyDescent="0.25">
      <c r="A319" t="s">
        <v>468</v>
      </c>
      <c r="B319" t="s">
        <v>469</v>
      </c>
      <c r="C319" t="s">
        <v>1178</v>
      </c>
      <c r="D319" s="1">
        <v>44029</v>
      </c>
      <c r="E319" s="1">
        <v>44031</v>
      </c>
      <c r="F319">
        <f t="shared" si="14"/>
        <v>2</v>
      </c>
      <c r="G319" s="1">
        <v>44021</v>
      </c>
      <c r="H319" s="2">
        <v>0.33333333333333331</v>
      </c>
      <c r="I319" s="3">
        <v>1</v>
      </c>
      <c r="J319" t="s">
        <v>1514</v>
      </c>
      <c r="K319" t="s">
        <v>1514</v>
      </c>
      <c r="L319" t="s">
        <v>22</v>
      </c>
      <c r="M319" s="12" t="s">
        <v>23</v>
      </c>
      <c r="N319">
        <v>6</v>
      </c>
      <c r="O319">
        <v>0</v>
      </c>
      <c r="P319" t="s">
        <v>19</v>
      </c>
      <c r="Q319" s="6">
        <v>264</v>
      </c>
      <c r="R319" t="str">
        <f t="shared" si="12"/>
        <v>Ope's 5 Star Short Let Apartment in Lekki_x000C_</v>
      </c>
      <c r="S319" t="str">
        <f t="shared" si="13"/>
        <v>Ope's 5 Star Short Let Apartment in Lekki</v>
      </c>
      <c r="T319">
        <f>Table1[[#This Row],[Adults]]+Table1[[#This Row],[Children]]</f>
        <v>6</v>
      </c>
      <c r="U319">
        <f>_xlfn.DAYS(Table1[[#This Row],[Depart]],Table1[[#This Row],[Arrive]])</f>
        <v>2</v>
      </c>
    </row>
    <row r="320" spans="1:21" x14ac:dyDescent="0.25">
      <c r="A320" t="s">
        <v>372</v>
      </c>
      <c r="B320" t="s">
        <v>373</v>
      </c>
      <c r="C320" t="s">
        <v>1173</v>
      </c>
      <c r="D320" s="1">
        <v>44031</v>
      </c>
      <c r="E320" s="1">
        <v>44032</v>
      </c>
      <c r="F320">
        <f t="shared" si="14"/>
        <v>1</v>
      </c>
      <c r="G320" s="1">
        <v>44001</v>
      </c>
      <c r="H320" s="2">
        <v>0.33333333333333331</v>
      </c>
      <c r="I320" s="3">
        <v>1</v>
      </c>
      <c r="J320" t="s">
        <v>1446</v>
      </c>
      <c r="K320" t="s">
        <v>1446</v>
      </c>
      <c r="L320" t="s">
        <v>22</v>
      </c>
      <c r="M320" s="12" t="s">
        <v>23</v>
      </c>
      <c r="N320">
        <v>6</v>
      </c>
      <c r="O320">
        <v>0</v>
      </c>
      <c r="P320" t="s">
        <v>19</v>
      </c>
      <c r="Q320" s="6">
        <v>110</v>
      </c>
      <c r="R320" t="str">
        <f t="shared" si="12"/>
        <v xml:space="preserve"> The Daniels 5 Star Short Let Apartment in Lekki_x000C_</v>
      </c>
      <c r="S320" t="str">
        <f t="shared" si="13"/>
        <v xml:space="preserve"> The Daniels 5 Star Short Let Apartment in Lekki</v>
      </c>
      <c r="T320">
        <f>Table1[[#This Row],[Adults]]+Table1[[#This Row],[Children]]</f>
        <v>6</v>
      </c>
      <c r="U320">
        <f>_xlfn.DAYS(Table1[[#This Row],[Depart]],Table1[[#This Row],[Arrive]])</f>
        <v>1</v>
      </c>
    </row>
    <row r="321" spans="1:21" x14ac:dyDescent="0.25">
      <c r="A321" t="s">
        <v>484</v>
      </c>
      <c r="B321" t="s">
        <v>485</v>
      </c>
      <c r="C321" t="s">
        <v>1178</v>
      </c>
      <c r="D321" s="1">
        <v>44031</v>
      </c>
      <c r="E321" s="1">
        <v>44032</v>
      </c>
      <c r="F321">
        <f t="shared" si="14"/>
        <v>1</v>
      </c>
      <c r="G321" s="1">
        <v>44022</v>
      </c>
      <c r="H321" s="2">
        <v>0.58333333333333337</v>
      </c>
      <c r="I321" s="2">
        <v>0.45833333333333331</v>
      </c>
      <c r="J321" t="s">
        <v>1525</v>
      </c>
      <c r="K321" t="s">
        <v>1525</v>
      </c>
      <c r="L321" t="s">
        <v>22</v>
      </c>
      <c r="M321" s="12" t="s">
        <v>23</v>
      </c>
      <c r="N321">
        <v>6</v>
      </c>
      <c r="O321">
        <v>0</v>
      </c>
      <c r="P321" t="s">
        <v>19</v>
      </c>
      <c r="Q321" s="6">
        <v>135</v>
      </c>
      <c r="R321" t="str">
        <f t="shared" si="12"/>
        <v>Ope's 5 Star Short Let Apartment in Lekki_x000C_</v>
      </c>
      <c r="S321" t="str">
        <f t="shared" si="13"/>
        <v>Ope's 5 Star Short Let Apartment in Lekki</v>
      </c>
      <c r="T321">
        <f>Table1[[#This Row],[Adults]]+Table1[[#This Row],[Children]]</f>
        <v>6</v>
      </c>
      <c r="U321">
        <f>_xlfn.DAYS(Table1[[#This Row],[Depart]],Table1[[#This Row],[Arrive]])</f>
        <v>1</v>
      </c>
    </row>
    <row r="322" spans="1:21" x14ac:dyDescent="0.25">
      <c r="A322" t="s">
        <v>242</v>
      </c>
      <c r="B322" t="s">
        <v>243</v>
      </c>
      <c r="C322" t="s">
        <v>1173</v>
      </c>
      <c r="D322" s="1">
        <v>44032</v>
      </c>
      <c r="E322" s="1">
        <v>44034</v>
      </c>
      <c r="F322">
        <f t="shared" si="14"/>
        <v>2</v>
      </c>
      <c r="G322" s="1">
        <v>44014</v>
      </c>
      <c r="H322" s="2">
        <v>0.33333333333333331</v>
      </c>
      <c r="I322" s="3">
        <v>1</v>
      </c>
      <c r="J322" t="s">
        <v>1478</v>
      </c>
      <c r="K322" t="s">
        <v>1478</v>
      </c>
      <c r="L322" t="s">
        <v>22</v>
      </c>
      <c r="M322" s="12" t="s">
        <v>23</v>
      </c>
      <c r="N322">
        <v>7</v>
      </c>
      <c r="O322">
        <v>0</v>
      </c>
      <c r="P322" t="s">
        <v>19</v>
      </c>
      <c r="Q322" s="6">
        <v>220</v>
      </c>
      <c r="R322" t="str">
        <f t="shared" ref="R322:R385" si="15">SUBSTITUTE(C:C,"?","'")</f>
        <v xml:space="preserve"> The Daniels 5 Star Short Let Apartment in Lekki_x000C_</v>
      </c>
      <c r="S322" t="str">
        <f t="shared" ref="S322:S385" si="16">CLEAN(R:R)</f>
        <v xml:space="preserve"> The Daniels 5 Star Short Let Apartment in Lekki</v>
      </c>
      <c r="T322">
        <f>Table1[[#This Row],[Adults]]+Table1[[#This Row],[Children]]</f>
        <v>7</v>
      </c>
      <c r="U322">
        <f>_xlfn.DAYS(Table1[[#This Row],[Depart]],Table1[[#This Row],[Arrive]])</f>
        <v>2</v>
      </c>
    </row>
    <row r="323" spans="1:21" x14ac:dyDescent="0.25">
      <c r="A323" t="s">
        <v>492</v>
      </c>
      <c r="B323" t="s">
        <v>493</v>
      </c>
      <c r="C323" t="s">
        <v>1180</v>
      </c>
      <c r="D323" s="1">
        <v>44032</v>
      </c>
      <c r="E323" s="1">
        <v>44035</v>
      </c>
      <c r="F323">
        <f t="shared" ref="F323:F386" si="17">_xlfn.DAYS(E323,D323)</f>
        <v>3</v>
      </c>
      <c r="G323" s="1">
        <v>44032</v>
      </c>
      <c r="H323" s="2">
        <v>0.58333333333333337</v>
      </c>
      <c r="I323" s="2">
        <v>0.45833333333333331</v>
      </c>
      <c r="J323" t="s">
        <v>1531</v>
      </c>
      <c r="K323" t="s">
        <v>1531</v>
      </c>
      <c r="L323" t="s">
        <v>22</v>
      </c>
      <c r="M323" s="12" t="s">
        <v>23</v>
      </c>
      <c r="N323">
        <v>3</v>
      </c>
      <c r="O323">
        <v>0</v>
      </c>
      <c r="P323" t="s">
        <v>19</v>
      </c>
      <c r="Q323" s="6">
        <v>330</v>
      </c>
      <c r="R323" t="str">
        <f t="shared" si="15"/>
        <v>Zoe's 5 Star Short let Apartment in Lekki_x000C_</v>
      </c>
      <c r="S323" t="str">
        <f t="shared" si="16"/>
        <v>Zoe's 5 Star Short let Apartment in Lekki</v>
      </c>
      <c r="T323">
        <f>Table1[[#This Row],[Adults]]+Table1[[#This Row],[Children]]</f>
        <v>3</v>
      </c>
      <c r="U323">
        <f>_xlfn.DAYS(Table1[[#This Row],[Depart]],Table1[[#This Row],[Arrive]])</f>
        <v>3</v>
      </c>
    </row>
    <row r="324" spans="1:21" x14ac:dyDescent="0.25">
      <c r="A324" t="s">
        <v>416</v>
      </c>
      <c r="B324" t="s">
        <v>417</v>
      </c>
      <c r="C324" t="s">
        <v>1175</v>
      </c>
      <c r="D324" s="1">
        <v>44033</v>
      </c>
      <c r="E324" s="1">
        <v>44037</v>
      </c>
      <c r="F324">
        <f t="shared" si="17"/>
        <v>4</v>
      </c>
      <c r="G324" s="1">
        <v>44011</v>
      </c>
      <c r="H324" s="2">
        <v>0.33333333333333331</v>
      </c>
      <c r="I324" s="3">
        <v>1</v>
      </c>
      <c r="J324" t="s">
        <v>1473</v>
      </c>
      <c r="K324" t="s">
        <v>1473</v>
      </c>
      <c r="L324" t="s">
        <v>22</v>
      </c>
      <c r="M324" s="12" t="s">
        <v>18</v>
      </c>
      <c r="N324">
        <v>2</v>
      </c>
      <c r="O324">
        <v>0</v>
      </c>
      <c r="P324" t="s">
        <v>19</v>
      </c>
      <c r="Q324" s="6">
        <v>440</v>
      </c>
      <c r="R324" t="str">
        <f t="shared" si="15"/>
        <v>Keji's 5 Star Short let Apartment in Lekki_x000C_</v>
      </c>
      <c r="S324" t="str">
        <f t="shared" si="16"/>
        <v>Keji's 5 Star Short let Apartment in Lekki</v>
      </c>
      <c r="T324">
        <f>Table1[[#This Row],[Adults]]+Table1[[#This Row],[Children]]</f>
        <v>2</v>
      </c>
      <c r="U324">
        <f>_xlfn.DAYS(Table1[[#This Row],[Depart]],Table1[[#This Row],[Arrive]])</f>
        <v>4</v>
      </c>
    </row>
    <row r="325" spans="1:21" x14ac:dyDescent="0.25">
      <c r="A325" t="s">
        <v>420</v>
      </c>
      <c r="B325" t="s">
        <v>421</v>
      </c>
      <c r="C325" t="s">
        <v>1175</v>
      </c>
      <c r="D325" s="1">
        <v>44033</v>
      </c>
      <c r="E325" s="1">
        <v>44034</v>
      </c>
      <c r="F325">
        <f t="shared" si="17"/>
        <v>1</v>
      </c>
      <c r="G325" s="1">
        <v>44014</v>
      </c>
      <c r="H325" s="2">
        <v>0.33333333333333331</v>
      </c>
      <c r="I325" s="3">
        <v>1</v>
      </c>
      <c r="J325" t="s">
        <v>1477</v>
      </c>
      <c r="K325" t="s">
        <v>1477</v>
      </c>
      <c r="L325" t="s">
        <v>22</v>
      </c>
      <c r="M325" s="12" t="s">
        <v>23</v>
      </c>
      <c r="N325">
        <v>5</v>
      </c>
      <c r="O325">
        <v>0</v>
      </c>
      <c r="P325" t="s">
        <v>19</v>
      </c>
      <c r="Q325" s="6">
        <v>110</v>
      </c>
      <c r="R325" t="str">
        <f t="shared" si="15"/>
        <v>Keji's 5 Star Short let Apartment in Lekki_x000C_</v>
      </c>
      <c r="S325" t="str">
        <f t="shared" si="16"/>
        <v>Keji's 5 Star Short let Apartment in Lekki</v>
      </c>
      <c r="T325">
        <f>Table1[[#This Row],[Adults]]+Table1[[#This Row],[Children]]</f>
        <v>5</v>
      </c>
      <c r="U325">
        <f>_xlfn.DAYS(Table1[[#This Row],[Depart]],Table1[[#This Row],[Arrive]])</f>
        <v>1</v>
      </c>
    </row>
    <row r="326" spans="1:21" x14ac:dyDescent="0.25">
      <c r="A326" t="s">
        <v>496</v>
      </c>
      <c r="B326" t="s">
        <v>497</v>
      </c>
      <c r="C326" t="s">
        <v>1178</v>
      </c>
      <c r="D326" s="1">
        <v>44033</v>
      </c>
      <c r="E326" s="1">
        <v>44036</v>
      </c>
      <c r="F326">
        <f t="shared" si="17"/>
        <v>3</v>
      </c>
      <c r="G326" s="1">
        <v>44023</v>
      </c>
      <c r="H326" s="2">
        <v>0.58333333333333337</v>
      </c>
      <c r="I326" s="2">
        <v>0.45833333333333331</v>
      </c>
      <c r="J326" t="s">
        <v>1533</v>
      </c>
      <c r="K326" t="s">
        <v>1533</v>
      </c>
      <c r="L326" t="s">
        <v>22</v>
      </c>
      <c r="M326" s="12" t="s">
        <v>23</v>
      </c>
      <c r="N326">
        <v>5</v>
      </c>
      <c r="O326">
        <v>0</v>
      </c>
      <c r="P326" t="s">
        <v>19</v>
      </c>
      <c r="Q326" s="6">
        <v>405</v>
      </c>
      <c r="R326" t="str">
        <f t="shared" si="15"/>
        <v>Ope's 5 Star Short Let Apartment in Lekki_x000C_</v>
      </c>
      <c r="S326" t="str">
        <f t="shared" si="16"/>
        <v>Ope's 5 Star Short Let Apartment in Lekki</v>
      </c>
      <c r="T326">
        <f>Table1[[#This Row],[Adults]]+Table1[[#This Row],[Children]]</f>
        <v>5</v>
      </c>
      <c r="U326">
        <f>_xlfn.DAYS(Table1[[#This Row],[Depart]],Table1[[#This Row],[Arrive]])</f>
        <v>3</v>
      </c>
    </row>
    <row r="327" spans="1:21" x14ac:dyDescent="0.25">
      <c r="A327" t="s">
        <v>266</v>
      </c>
      <c r="B327" t="s">
        <v>267</v>
      </c>
      <c r="C327" t="s">
        <v>1178</v>
      </c>
      <c r="D327" s="1">
        <v>44034</v>
      </c>
      <c r="E327" s="1">
        <v>44046</v>
      </c>
      <c r="F327">
        <f t="shared" si="17"/>
        <v>12</v>
      </c>
      <c r="G327" s="1">
        <v>43986</v>
      </c>
      <c r="H327" s="2">
        <v>0.33333333333333331</v>
      </c>
      <c r="I327" s="3">
        <v>1</v>
      </c>
      <c r="J327" t="s">
        <v>1367</v>
      </c>
      <c r="K327" t="s">
        <v>1367</v>
      </c>
      <c r="L327" t="s">
        <v>26</v>
      </c>
      <c r="M327" s="12" t="s">
        <v>18</v>
      </c>
      <c r="N327">
        <v>4</v>
      </c>
      <c r="O327">
        <v>0</v>
      </c>
      <c r="P327" t="s">
        <v>19</v>
      </c>
      <c r="Q327" s="6">
        <v>1234</v>
      </c>
      <c r="R327" t="str">
        <f t="shared" si="15"/>
        <v>Ope's 5 Star Short Let Apartment in Lekki_x000C_</v>
      </c>
      <c r="S327" t="str">
        <f t="shared" si="16"/>
        <v>Ope's 5 Star Short Let Apartment in Lekki</v>
      </c>
      <c r="T327">
        <f>Table1[[#This Row],[Adults]]+Table1[[#This Row],[Children]]</f>
        <v>4</v>
      </c>
      <c r="U327">
        <f>_xlfn.DAYS(Table1[[#This Row],[Depart]],Table1[[#This Row],[Arrive]])</f>
        <v>12</v>
      </c>
    </row>
    <row r="328" spans="1:21" x14ac:dyDescent="0.25">
      <c r="A328" t="s">
        <v>442</v>
      </c>
      <c r="B328" t="s">
        <v>443</v>
      </c>
      <c r="C328" t="s">
        <v>1175</v>
      </c>
      <c r="D328" s="1">
        <v>44034</v>
      </c>
      <c r="E328" s="1">
        <v>44037</v>
      </c>
      <c r="F328">
        <f t="shared" si="17"/>
        <v>3</v>
      </c>
      <c r="G328" s="1">
        <v>44019</v>
      </c>
      <c r="H328" s="2">
        <v>0.33333333333333331</v>
      </c>
      <c r="I328" s="3">
        <v>1</v>
      </c>
      <c r="J328" s="4" t="s">
        <v>1498</v>
      </c>
      <c r="K328" s="4" t="s">
        <v>1498</v>
      </c>
      <c r="L328" t="s">
        <v>26</v>
      </c>
      <c r="M328" s="12" t="s">
        <v>18</v>
      </c>
      <c r="N328">
        <v>1</v>
      </c>
      <c r="O328">
        <v>0</v>
      </c>
      <c r="P328" t="s">
        <v>19</v>
      </c>
      <c r="Q328" s="6">
        <v>391</v>
      </c>
      <c r="R328" t="str">
        <f t="shared" si="15"/>
        <v>Keji's 5 Star Short let Apartment in Lekki_x000C_</v>
      </c>
      <c r="S328" t="str">
        <f t="shared" si="16"/>
        <v>Keji's 5 Star Short let Apartment in Lekki</v>
      </c>
      <c r="T328">
        <f>Table1[[#This Row],[Adults]]+Table1[[#This Row],[Children]]</f>
        <v>1</v>
      </c>
      <c r="U328">
        <f>_xlfn.DAYS(Table1[[#This Row],[Depart]],Table1[[#This Row],[Arrive]])</f>
        <v>3</v>
      </c>
    </row>
    <row r="329" spans="1:21" x14ac:dyDescent="0.25">
      <c r="A329" t="s">
        <v>460</v>
      </c>
      <c r="B329" t="s">
        <v>461</v>
      </c>
      <c r="C329" t="s">
        <v>1173</v>
      </c>
      <c r="D329" s="1">
        <v>44034</v>
      </c>
      <c r="E329" s="1">
        <v>44035</v>
      </c>
      <c r="F329">
        <f t="shared" si="17"/>
        <v>1</v>
      </c>
      <c r="G329" s="1">
        <v>44021</v>
      </c>
      <c r="H329" s="2">
        <v>0.33333333333333331</v>
      </c>
      <c r="I329" s="3">
        <v>1</v>
      </c>
      <c r="J329" t="s">
        <v>1509</v>
      </c>
      <c r="K329" t="s">
        <v>1509</v>
      </c>
      <c r="L329" t="s">
        <v>22</v>
      </c>
      <c r="M329" s="12" t="s">
        <v>18</v>
      </c>
      <c r="N329">
        <v>1</v>
      </c>
      <c r="O329">
        <v>0</v>
      </c>
      <c r="P329" t="s">
        <v>19</v>
      </c>
      <c r="Q329" s="6">
        <v>65000</v>
      </c>
      <c r="R329" t="str">
        <f t="shared" si="15"/>
        <v xml:space="preserve"> The Daniels 5 Star Short Let Apartment in Lekki_x000C_</v>
      </c>
      <c r="S329" t="str">
        <f t="shared" si="16"/>
        <v xml:space="preserve"> The Daniels 5 Star Short Let Apartment in Lekki</v>
      </c>
      <c r="T329">
        <f>Table1[[#This Row],[Adults]]+Table1[[#This Row],[Children]]</f>
        <v>1</v>
      </c>
      <c r="U329">
        <f>_xlfn.DAYS(Table1[[#This Row],[Depart]],Table1[[#This Row],[Arrive]])</f>
        <v>1</v>
      </c>
    </row>
    <row r="330" spans="1:21" x14ac:dyDescent="0.25">
      <c r="A330" t="s">
        <v>460</v>
      </c>
      <c r="B330" t="s">
        <v>461</v>
      </c>
      <c r="C330" t="s">
        <v>1175</v>
      </c>
      <c r="D330" s="1">
        <v>44034</v>
      </c>
      <c r="E330" s="1">
        <v>44035</v>
      </c>
      <c r="F330">
        <f t="shared" si="17"/>
        <v>1</v>
      </c>
      <c r="G330" s="1">
        <v>44021</v>
      </c>
      <c r="H330" s="2">
        <v>0.33333333333333331</v>
      </c>
      <c r="I330" s="3">
        <v>1</v>
      </c>
      <c r="J330" t="s">
        <v>1512</v>
      </c>
      <c r="K330" t="s">
        <v>1512</v>
      </c>
      <c r="L330" t="s">
        <v>22</v>
      </c>
      <c r="M330" s="12" t="s">
        <v>18</v>
      </c>
      <c r="N330">
        <v>6</v>
      </c>
      <c r="O330">
        <v>0</v>
      </c>
      <c r="P330" t="s">
        <v>19</v>
      </c>
      <c r="Q330" s="6">
        <v>135</v>
      </c>
      <c r="R330" t="str">
        <f t="shared" si="15"/>
        <v>Keji's 5 Star Short let Apartment in Lekki_x000C_</v>
      </c>
      <c r="S330" t="str">
        <f t="shared" si="16"/>
        <v>Keji's 5 Star Short let Apartment in Lekki</v>
      </c>
      <c r="T330">
        <f>Table1[[#This Row],[Adults]]+Table1[[#This Row],[Children]]</f>
        <v>6</v>
      </c>
      <c r="U330">
        <f>_xlfn.DAYS(Table1[[#This Row],[Depart]],Table1[[#This Row],[Arrive]])</f>
        <v>1</v>
      </c>
    </row>
    <row r="331" spans="1:21" x14ac:dyDescent="0.25">
      <c r="A331" t="s">
        <v>296</v>
      </c>
      <c r="B331" t="s">
        <v>297</v>
      </c>
      <c r="C331" t="s">
        <v>1175</v>
      </c>
      <c r="D331" s="1">
        <v>44034</v>
      </c>
      <c r="E331" s="1">
        <v>44037</v>
      </c>
      <c r="F331">
        <f t="shared" si="17"/>
        <v>3</v>
      </c>
      <c r="G331" s="1">
        <v>44024</v>
      </c>
      <c r="H331" s="2">
        <v>0.33333333333333331</v>
      </c>
      <c r="I331" s="3">
        <v>1</v>
      </c>
      <c r="J331" t="s">
        <v>1517</v>
      </c>
      <c r="K331" t="s">
        <v>1517</v>
      </c>
      <c r="L331" t="s">
        <v>22</v>
      </c>
      <c r="M331" s="12" t="s">
        <v>23</v>
      </c>
      <c r="N331">
        <v>5</v>
      </c>
      <c r="O331">
        <v>0</v>
      </c>
      <c r="P331" t="s">
        <v>19</v>
      </c>
      <c r="Q331" s="6">
        <v>405</v>
      </c>
      <c r="R331" t="str">
        <f t="shared" si="15"/>
        <v>Keji's 5 Star Short let Apartment in Lekki_x000C_</v>
      </c>
      <c r="S331" t="str">
        <f t="shared" si="16"/>
        <v>Keji's 5 Star Short let Apartment in Lekki</v>
      </c>
      <c r="T331">
        <f>Table1[[#This Row],[Adults]]+Table1[[#This Row],[Children]]</f>
        <v>5</v>
      </c>
      <c r="U331">
        <f>_xlfn.DAYS(Table1[[#This Row],[Depart]],Table1[[#This Row],[Arrive]])</f>
        <v>3</v>
      </c>
    </row>
    <row r="332" spans="1:21" x14ac:dyDescent="0.25">
      <c r="A332" t="s">
        <v>476</v>
      </c>
      <c r="B332" t="s">
        <v>477</v>
      </c>
      <c r="C332" t="s">
        <v>1173</v>
      </c>
      <c r="D332" s="1">
        <v>44034</v>
      </c>
      <c r="E332" s="1">
        <v>44035</v>
      </c>
      <c r="F332">
        <f t="shared" si="17"/>
        <v>1</v>
      </c>
      <c r="G332" s="1">
        <v>44026</v>
      </c>
      <c r="H332" s="2">
        <v>0.33333333333333331</v>
      </c>
      <c r="I332" s="3">
        <v>1</v>
      </c>
      <c r="J332" t="s">
        <v>1519</v>
      </c>
      <c r="K332" t="s">
        <v>1519</v>
      </c>
      <c r="L332" t="s">
        <v>22</v>
      </c>
      <c r="M332" s="12" t="s">
        <v>23</v>
      </c>
      <c r="N332">
        <v>6</v>
      </c>
      <c r="O332">
        <v>0</v>
      </c>
      <c r="P332" t="s">
        <v>19</v>
      </c>
      <c r="Q332" s="6">
        <v>135</v>
      </c>
      <c r="R332" t="str">
        <f t="shared" si="15"/>
        <v xml:space="preserve"> The Daniels 5 Star Short Let Apartment in Lekki_x000C_</v>
      </c>
      <c r="S332" t="str">
        <f t="shared" si="16"/>
        <v xml:space="preserve"> The Daniels 5 Star Short Let Apartment in Lekki</v>
      </c>
      <c r="T332">
        <f>Table1[[#This Row],[Adults]]+Table1[[#This Row],[Children]]</f>
        <v>6</v>
      </c>
      <c r="U332">
        <f>_xlfn.DAYS(Table1[[#This Row],[Depart]],Table1[[#This Row],[Arrive]])</f>
        <v>1</v>
      </c>
    </row>
    <row r="333" spans="1:21" x14ac:dyDescent="0.25">
      <c r="A333" t="s">
        <v>372</v>
      </c>
      <c r="B333" t="s">
        <v>373</v>
      </c>
      <c r="C333" t="s">
        <v>1173</v>
      </c>
      <c r="D333" s="1">
        <v>44035</v>
      </c>
      <c r="E333" s="1">
        <v>44041</v>
      </c>
      <c r="F333">
        <f t="shared" si="17"/>
        <v>6</v>
      </c>
      <c r="G333" s="1">
        <v>44004</v>
      </c>
      <c r="H333" s="2">
        <v>0.33333333333333331</v>
      </c>
      <c r="I333" s="3">
        <v>1</v>
      </c>
      <c r="J333" t="s">
        <v>1481</v>
      </c>
      <c r="K333" t="s">
        <v>1481</v>
      </c>
      <c r="L333" t="s">
        <v>22</v>
      </c>
      <c r="M333" s="12" t="s">
        <v>23</v>
      </c>
      <c r="N333">
        <v>5</v>
      </c>
      <c r="O333">
        <v>0</v>
      </c>
      <c r="P333" t="s">
        <v>19</v>
      </c>
      <c r="Q333" s="6">
        <v>810</v>
      </c>
      <c r="R333" t="str">
        <f t="shared" si="15"/>
        <v xml:space="preserve"> The Daniels 5 Star Short Let Apartment in Lekki_x000C_</v>
      </c>
      <c r="S333" t="str">
        <f t="shared" si="16"/>
        <v xml:space="preserve"> The Daniels 5 Star Short Let Apartment in Lekki</v>
      </c>
      <c r="T333">
        <f>Table1[[#This Row],[Adults]]+Table1[[#This Row],[Children]]</f>
        <v>5</v>
      </c>
      <c r="U333">
        <f>_xlfn.DAYS(Table1[[#This Row],[Depart]],Table1[[#This Row],[Arrive]])</f>
        <v>6</v>
      </c>
    </row>
    <row r="334" spans="1:21" x14ac:dyDescent="0.25">
      <c r="A334" t="s">
        <v>498</v>
      </c>
      <c r="B334" t="s">
        <v>499</v>
      </c>
      <c r="C334" t="s">
        <v>1180</v>
      </c>
      <c r="D334" s="1">
        <v>44035</v>
      </c>
      <c r="E334" s="1">
        <v>44037</v>
      </c>
      <c r="F334">
        <f t="shared" si="17"/>
        <v>2</v>
      </c>
      <c r="G334" s="1">
        <v>44033</v>
      </c>
      <c r="H334" s="2">
        <v>0.58333333333333337</v>
      </c>
      <c r="I334" s="2">
        <v>0.45833333333333331</v>
      </c>
      <c r="J334" t="s">
        <v>1534</v>
      </c>
      <c r="K334" t="s">
        <v>1534</v>
      </c>
      <c r="L334" t="s">
        <v>22</v>
      </c>
      <c r="M334" s="12" t="s">
        <v>23</v>
      </c>
      <c r="N334">
        <v>3</v>
      </c>
      <c r="O334">
        <v>2</v>
      </c>
      <c r="P334" t="s">
        <v>19</v>
      </c>
      <c r="Q334" s="6">
        <v>220</v>
      </c>
      <c r="R334" t="str">
        <f t="shared" si="15"/>
        <v>Zoe's 5 Star Short let Apartment in Lekki_x000C_</v>
      </c>
      <c r="S334" t="str">
        <f t="shared" si="16"/>
        <v>Zoe's 5 Star Short let Apartment in Lekki</v>
      </c>
      <c r="T334">
        <f>Table1[[#This Row],[Adults]]+Table1[[#This Row],[Children]]</f>
        <v>5</v>
      </c>
      <c r="U334">
        <f>_xlfn.DAYS(Table1[[#This Row],[Depart]],Table1[[#This Row],[Arrive]])</f>
        <v>2</v>
      </c>
    </row>
    <row r="335" spans="1:21" x14ac:dyDescent="0.25">
      <c r="A335" t="s">
        <v>472</v>
      </c>
      <c r="B335" t="s">
        <v>473</v>
      </c>
      <c r="C335" t="s">
        <v>1175</v>
      </c>
      <c r="D335" s="1">
        <v>44036</v>
      </c>
      <c r="E335" s="1">
        <v>44037</v>
      </c>
      <c r="F335">
        <f t="shared" si="17"/>
        <v>1</v>
      </c>
      <c r="G335" s="1">
        <v>44020</v>
      </c>
      <c r="H335" s="2">
        <v>0.33333333333333331</v>
      </c>
      <c r="I335" s="3">
        <v>1</v>
      </c>
      <c r="J335" t="s">
        <v>1516</v>
      </c>
      <c r="K335" t="s">
        <v>1516</v>
      </c>
      <c r="L335" t="s">
        <v>22</v>
      </c>
      <c r="M335" s="12" t="s">
        <v>18</v>
      </c>
      <c r="N335">
        <v>6</v>
      </c>
      <c r="O335">
        <v>0</v>
      </c>
      <c r="P335" t="s">
        <v>19</v>
      </c>
      <c r="Q335" s="6">
        <v>135</v>
      </c>
      <c r="R335" t="str">
        <f t="shared" si="15"/>
        <v>Keji's 5 Star Short let Apartment in Lekki_x000C_</v>
      </c>
      <c r="S335" t="str">
        <f t="shared" si="16"/>
        <v>Keji's 5 Star Short let Apartment in Lekki</v>
      </c>
      <c r="T335">
        <f>Table1[[#This Row],[Adults]]+Table1[[#This Row],[Children]]</f>
        <v>6</v>
      </c>
      <c r="U335">
        <f>_xlfn.DAYS(Table1[[#This Row],[Depart]],Table1[[#This Row],[Arrive]])</f>
        <v>1</v>
      </c>
    </row>
    <row r="336" spans="1:21" x14ac:dyDescent="0.25">
      <c r="A336" t="s">
        <v>336</v>
      </c>
      <c r="B336" t="s">
        <v>337</v>
      </c>
      <c r="C336" t="s">
        <v>1178</v>
      </c>
      <c r="D336" s="1">
        <v>44037</v>
      </c>
      <c r="E336" s="1">
        <v>44038</v>
      </c>
      <c r="F336">
        <f t="shared" si="17"/>
        <v>1</v>
      </c>
      <c r="G336" s="1">
        <v>43996</v>
      </c>
      <c r="H336" s="2">
        <v>0.33333333333333331</v>
      </c>
      <c r="I336" s="3">
        <v>1</v>
      </c>
      <c r="J336" t="s">
        <v>1424</v>
      </c>
      <c r="K336" t="s">
        <v>1424</v>
      </c>
      <c r="L336" t="s">
        <v>22</v>
      </c>
      <c r="M336" s="12" t="s">
        <v>23</v>
      </c>
      <c r="N336">
        <v>5</v>
      </c>
      <c r="O336">
        <v>0</v>
      </c>
      <c r="P336" t="s">
        <v>19</v>
      </c>
      <c r="Q336" s="6">
        <v>110</v>
      </c>
      <c r="R336" t="str">
        <f t="shared" si="15"/>
        <v>Ope's 5 Star Short Let Apartment in Lekki_x000C_</v>
      </c>
      <c r="S336" t="str">
        <f t="shared" si="16"/>
        <v>Ope's 5 Star Short Let Apartment in Lekki</v>
      </c>
      <c r="T336">
        <f>Table1[[#This Row],[Adults]]+Table1[[#This Row],[Children]]</f>
        <v>5</v>
      </c>
      <c r="U336">
        <f>_xlfn.DAYS(Table1[[#This Row],[Depart]],Table1[[#This Row],[Arrive]])</f>
        <v>1</v>
      </c>
    </row>
    <row r="337" spans="1:21" x14ac:dyDescent="0.25">
      <c r="A337" t="s">
        <v>378</v>
      </c>
      <c r="B337" t="s">
        <v>379</v>
      </c>
      <c r="C337" t="s">
        <v>1175</v>
      </c>
      <c r="D337" s="1">
        <v>44037</v>
      </c>
      <c r="E337" s="1">
        <v>44039</v>
      </c>
      <c r="F337">
        <f t="shared" si="17"/>
        <v>2</v>
      </c>
      <c r="G337" s="1">
        <v>44004</v>
      </c>
      <c r="H337" s="2">
        <v>0.33333333333333331</v>
      </c>
      <c r="I337" s="3">
        <v>1</v>
      </c>
      <c r="J337" t="s">
        <v>1450</v>
      </c>
      <c r="K337" t="s">
        <v>1450</v>
      </c>
      <c r="L337" t="s">
        <v>22</v>
      </c>
      <c r="M337" s="12" t="s">
        <v>23</v>
      </c>
      <c r="N337">
        <v>4</v>
      </c>
      <c r="O337">
        <v>0</v>
      </c>
      <c r="P337" t="s">
        <v>19</v>
      </c>
      <c r="Q337" s="6">
        <v>220</v>
      </c>
      <c r="R337" t="str">
        <f t="shared" si="15"/>
        <v>Keji's 5 Star Short let Apartment in Lekki_x000C_</v>
      </c>
      <c r="S337" t="str">
        <f t="shared" si="16"/>
        <v>Keji's 5 Star Short let Apartment in Lekki</v>
      </c>
      <c r="T337">
        <f>Table1[[#This Row],[Adults]]+Table1[[#This Row],[Children]]</f>
        <v>4</v>
      </c>
      <c r="U337">
        <f>_xlfn.DAYS(Table1[[#This Row],[Depart]],Table1[[#This Row],[Arrive]])</f>
        <v>2</v>
      </c>
    </row>
    <row r="338" spans="1:21" x14ac:dyDescent="0.25">
      <c r="A338" t="s">
        <v>378</v>
      </c>
      <c r="B338" t="s">
        <v>379</v>
      </c>
      <c r="C338" t="s">
        <v>1173</v>
      </c>
      <c r="D338" s="1">
        <v>44037</v>
      </c>
      <c r="E338" s="1">
        <v>44039</v>
      </c>
      <c r="F338">
        <f t="shared" si="17"/>
        <v>2</v>
      </c>
      <c r="G338" s="1">
        <v>44000</v>
      </c>
      <c r="H338" s="2">
        <v>0.33333333333333331</v>
      </c>
      <c r="I338" s="3">
        <v>1</v>
      </c>
      <c r="J338" t="s">
        <v>1451</v>
      </c>
      <c r="K338" t="s">
        <v>1451</v>
      </c>
      <c r="L338" t="s">
        <v>22</v>
      </c>
      <c r="M338" s="12" t="s">
        <v>18</v>
      </c>
      <c r="N338">
        <v>9</v>
      </c>
      <c r="O338">
        <v>0</v>
      </c>
      <c r="P338" t="s">
        <v>19</v>
      </c>
      <c r="Q338" s="6">
        <v>220</v>
      </c>
      <c r="R338" t="str">
        <f t="shared" si="15"/>
        <v xml:space="preserve"> The Daniels 5 Star Short Let Apartment in Lekki_x000C_</v>
      </c>
      <c r="S338" t="str">
        <f t="shared" si="16"/>
        <v xml:space="preserve"> The Daniels 5 Star Short Let Apartment in Lekki</v>
      </c>
      <c r="T338">
        <f>Table1[[#This Row],[Adults]]+Table1[[#This Row],[Children]]</f>
        <v>9</v>
      </c>
      <c r="U338">
        <f>_xlfn.DAYS(Table1[[#This Row],[Depart]],Table1[[#This Row],[Arrive]])</f>
        <v>2</v>
      </c>
    </row>
    <row r="339" spans="1:21" x14ac:dyDescent="0.25">
      <c r="A339" t="s">
        <v>500</v>
      </c>
      <c r="B339" t="s">
        <v>501</v>
      </c>
      <c r="C339" t="s">
        <v>1180</v>
      </c>
      <c r="D339" s="1">
        <v>44037</v>
      </c>
      <c r="E339" s="1">
        <v>44038</v>
      </c>
      <c r="F339">
        <f t="shared" si="17"/>
        <v>1</v>
      </c>
      <c r="G339" s="1">
        <v>44034</v>
      </c>
      <c r="H339" s="2">
        <v>0.58333333333333337</v>
      </c>
      <c r="I339" s="2">
        <v>0.45833333333333331</v>
      </c>
      <c r="J339" t="s">
        <v>1535</v>
      </c>
      <c r="K339" t="s">
        <v>1535</v>
      </c>
      <c r="L339" t="s">
        <v>22</v>
      </c>
      <c r="M339" s="12" t="s">
        <v>23</v>
      </c>
      <c r="N339">
        <v>6</v>
      </c>
      <c r="O339">
        <v>0</v>
      </c>
      <c r="P339" t="s">
        <v>19</v>
      </c>
      <c r="Q339" s="6">
        <v>110</v>
      </c>
      <c r="R339" t="str">
        <f t="shared" si="15"/>
        <v>Zoe's 5 Star Short let Apartment in Lekki_x000C_</v>
      </c>
      <c r="S339" t="str">
        <f t="shared" si="16"/>
        <v>Zoe's 5 Star Short let Apartment in Lekki</v>
      </c>
      <c r="T339">
        <f>Table1[[#This Row],[Adults]]+Table1[[#This Row],[Children]]</f>
        <v>6</v>
      </c>
      <c r="U339">
        <f>_xlfn.DAYS(Table1[[#This Row],[Depart]],Table1[[#This Row],[Arrive]])</f>
        <v>1</v>
      </c>
    </row>
    <row r="340" spans="1:21" x14ac:dyDescent="0.25">
      <c r="A340" t="s">
        <v>434</v>
      </c>
      <c r="B340" t="s">
        <v>435</v>
      </c>
      <c r="C340" t="s">
        <v>1178</v>
      </c>
      <c r="D340" s="1">
        <v>44038</v>
      </c>
      <c r="E340" s="1">
        <v>44044</v>
      </c>
      <c r="F340">
        <f t="shared" si="17"/>
        <v>6</v>
      </c>
      <c r="G340" s="1">
        <v>44009</v>
      </c>
      <c r="H340" s="2">
        <v>0.33333333333333331</v>
      </c>
      <c r="I340" s="3">
        <v>1</v>
      </c>
      <c r="J340" t="s">
        <v>1494</v>
      </c>
      <c r="K340" t="s">
        <v>1494</v>
      </c>
      <c r="L340" t="s">
        <v>22</v>
      </c>
      <c r="M340" s="12" t="s">
        <v>18</v>
      </c>
      <c r="N340">
        <v>5</v>
      </c>
      <c r="O340">
        <v>0</v>
      </c>
      <c r="P340" t="s">
        <v>19</v>
      </c>
      <c r="Q340" s="6">
        <v>660</v>
      </c>
      <c r="R340" t="str">
        <f t="shared" si="15"/>
        <v>Ope's 5 Star Short Let Apartment in Lekki_x000C_</v>
      </c>
      <c r="S340" t="str">
        <f t="shared" si="16"/>
        <v>Ope's 5 Star Short Let Apartment in Lekki</v>
      </c>
      <c r="T340">
        <f>Table1[[#This Row],[Adults]]+Table1[[#This Row],[Children]]</f>
        <v>5</v>
      </c>
      <c r="U340">
        <f>_xlfn.DAYS(Table1[[#This Row],[Depart]],Table1[[#This Row],[Arrive]])</f>
        <v>6</v>
      </c>
    </row>
    <row r="341" spans="1:21" x14ac:dyDescent="0.25">
      <c r="A341" t="s">
        <v>474</v>
      </c>
      <c r="B341" t="s">
        <v>475</v>
      </c>
      <c r="C341" t="s">
        <v>1178</v>
      </c>
      <c r="D341" s="1">
        <v>44038</v>
      </c>
      <c r="E341" s="1">
        <v>44039</v>
      </c>
      <c r="F341">
        <f t="shared" si="17"/>
        <v>1</v>
      </c>
      <c r="G341" s="1">
        <v>44025</v>
      </c>
      <c r="H341" s="2">
        <v>0.58333333333333337</v>
      </c>
      <c r="I341" s="2">
        <v>0.45833333333333331</v>
      </c>
      <c r="J341" t="s">
        <v>1518</v>
      </c>
      <c r="K341" t="s">
        <v>1518</v>
      </c>
      <c r="L341" t="s">
        <v>22</v>
      </c>
      <c r="M341" s="12" t="s">
        <v>23</v>
      </c>
      <c r="N341">
        <v>5</v>
      </c>
      <c r="O341">
        <v>0</v>
      </c>
      <c r="P341" t="s">
        <v>19</v>
      </c>
      <c r="Q341" s="6">
        <v>135</v>
      </c>
      <c r="R341" t="str">
        <f t="shared" si="15"/>
        <v>Ope's 5 Star Short Let Apartment in Lekki_x000C_</v>
      </c>
      <c r="S341" t="str">
        <f t="shared" si="16"/>
        <v>Ope's 5 Star Short Let Apartment in Lekki</v>
      </c>
      <c r="T341">
        <f>Table1[[#This Row],[Adults]]+Table1[[#This Row],[Children]]</f>
        <v>5</v>
      </c>
      <c r="U341">
        <f>_xlfn.DAYS(Table1[[#This Row],[Depart]],Table1[[#This Row],[Arrive]])</f>
        <v>1</v>
      </c>
    </row>
    <row r="342" spans="1:21" x14ac:dyDescent="0.25">
      <c r="A342" t="s">
        <v>296</v>
      </c>
      <c r="B342" t="s">
        <v>297</v>
      </c>
      <c r="C342" t="s">
        <v>1180</v>
      </c>
      <c r="D342" s="1">
        <v>44038</v>
      </c>
      <c r="E342" s="1">
        <v>44041</v>
      </c>
      <c r="F342">
        <f t="shared" si="17"/>
        <v>3</v>
      </c>
      <c r="G342" s="1">
        <v>44036</v>
      </c>
      <c r="H342" s="2">
        <v>0.58333333333333337</v>
      </c>
      <c r="I342" s="2">
        <v>0.45833333333333331</v>
      </c>
      <c r="J342" t="s">
        <v>1537</v>
      </c>
      <c r="K342" t="s">
        <v>1537</v>
      </c>
      <c r="L342" t="s">
        <v>22</v>
      </c>
      <c r="M342" s="12" t="s">
        <v>23</v>
      </c>
      <c r="N342">
        <v>5</v>
      </c>
      <c r="O342">
        <v>0</v>
      </c>
      <c r="P342" t="s">
        <v>19</v>
      </c>
      <c r="Q342" s="6">
        <v>330</v>
      </c>
      <c r="R342" t="str">
        <f t="shared" si="15"/>
        <v>Zoe's 5 Star Short let Apartment in Lekki_x000C_</v>
      </c>
      <c r="S342" t="str">
        <f t="shared" si="16"/>
        <v>Zoe's 5 Star Short let Apartment in Lekki</v>
      </c>
      <c r="T342">
        <f>Table1[[#This Row],[Adults]]+Table1[[#This Row],[Children]]</f>
        <v>5</v>
      </c>
      <c r="U342">
        <f>_xlfn.DAYS(Table1[[#This Row],[Depart]],Table1[[#This Row],[Arrive]])</f>
        <v>3</v>
      </c>
    </row>
    <row r="343" spans="1:21" x14ac:dyDescent="0.25">
      <c r="A343" t="s">
        <v>512</v>
      </c>
      <c r="B343" t="s">
        <v>513</v>
      </c>
      <c r="C343" t="s">
        <v>1179</v>
      </c>
      <c r="D343" s="1">
        <v>44038</v>
      </c>
      <c r="E343" s="1">
        <v>44039</v>
      </c>
      <c r="F343">
        <f t="shared" si="17"/>
        <v>1</v>
      </c>
      <c r="G343" s="1">
        <v>44038</v>
      </c>
      <c r="H343" s="2">
        <v>0.33333333333333331</v>
      </c>
      <c r="I343" s="3">
        <v>1</v>
      </c>
      <c r="J343" t="s">
        <v>1543</v>
      </c>
      <c r="K343" t="s">
        <v>1543</v>
      </c>
      <c r="L343" t="s">
        <v>22</v>
      </c>
      <c r="M343" s="12" t="s">
        <v>18</v>
      </c>
      <c r="N343">
        <v>2</v>
      </c>
      <c r="O343">
        <v>0</v>
      </c>
      <c r="P343" t="s">
        <v>19</v>
      </c>
      <c r="Q343" s="6">
        <v>110</v>
      </c>
      <c r="R343" t="str">
        <f t="shared" si="15"/>
        <v>Phiola's 5 Star Short Let Apartment in Lekki_x000C_</v>
      </c>
      <c r="S343" t="str">
        <f t="shared" si="16"/>
        <v>Phiola's 5 Star Short Let Apartment in Lekki</v>
      </c>
      <c r="T343">
        <f>Table1[[#This Row],[Adults]]+Table1[[#This Row],[Children]]</f>
        <v>2</v>
      </c>
      <c r="U343">
        <f>_xlfn.DAYS(Table1[[#This Row],[Depart]],Table1[[#This Row],[Arrive]])</f>
        <v>1</v>
      </c>
    </row>
    <row r="344" spans="1:21" x14ac:dyDescent="0.25">
      <c r="A344" t="s">
        <v>418</v>
      </c>
      <c r="B344" t="s">
        <v>419</v>
      </c>
      <c r="C344" t="s">
        <v>1175</v>
      </c>
      <c r="D344" s="1">
        <v>44039</v>
      </c>
      <c r="E344" s="1">
        <v>44040</v>
      </c>
      <c r="F344">
        <f t="shared" si="17"/>
        <v>1</v>
      </c>
      <c r="G344" s="1">
        <v>44013</v>
      </c>
      <c r="H344" s="2">
        <v>0.33333333333333331</v>
      </c>
      <c r="I344" s="3">
        <v>1</v>
      </c>
      <c r="J344" t="s">
        <v>1476</v>
      </c>
      <c r="K344" t="s">
        <v>1476</v>
      </c>
      <c r="L344" t="s">
        <v>22</v>
      </c>
      <c r="M344" s="12" t="s">
        <v>23</v>
      </c>
      <c r="N344">
        <v>9</v>
      </c>
      <c r="O344">
        <v>0</v>
      </c>
      <c r="P344" t="s">
        <v>19</v>
      </c>
      <c r="Q344" s="6">
        <v>110</v>
      </c>
      <c r="R344" t="str">
        <f t="shared" si="15"/>
        <v>Keji's 5 Star Short let Apartment in Lekki_x000C_</v>
      </c>
      <c r="S344" t="str">
        <f t="shared" si="16"/>
        <v>Keji's 5 Star Short let Apartment in Lekki</v>
      </c>
      <c r="T344">
        <f>Table1[[#This Row],[Adults]]+Table1[[#This Row],[Children]]</f>
        <v>9</v>
      </c>
      <c r="U344">
        <f>_xlfn.DAYS(Table1[[#This Row],[Depart]],Table1[[#This Row],[Arrive]])</f>
        <v>1</v>
      </c>
    </row>
    <row r="345" spans="1:21" x14ac:dyDescent="0.25">
      <c r="A345" t="s">
        <v>446</v>
      </c>
      <c r="B345" t="s">
        <v>447</v>
      </c>
      <c r="C345" t="s">
        <v>1178</v>
      </c>
      <c r="D345" s="1">
        <v>44039</v>
      </c>
      <c r="E345" s="1">
        <v>44043</v>
      </c>
      <c r="F345">
        <f t="shared" si="17"/>
        <v>4</v>
      </c>
      <c r="G345" s="1">
        <v>44020</v>
      </c>
      <c r="H345" s="2">
        <v>0.33333333333333331</v>
      </c>
      <c r="I345" s="3">
        <v>1</v>
      </c>
      <c r="J345" t="s">
        <v>1500</v>
      </c>
      <c r="K345" t="s">
        <v>1500</v>
      </c>
      <c r="L345" t="s">
        <v>22</v>
      </c>
      <c r="M345" s="12" t="s">
        <v>23</v>
      </c>
      <c r="N345">
        <v>7</v>
      </c>
      <c r="O345">
        <v>0</v>
      </c>
      <c r="P345" t="s">
        <v>19</v>
      </c>
      <c r="Q345" s="6">
        <v>620</v>
      </c>
      <c r="R345" t="str">
        <f t="shared" si="15"/>
        <v>Ope's 5 Star Short Let Apartment in Lekki_x000C_</v>
      </c>
      <c r="S345" t="str">
        <f t="shared" si="16"/>
        <v>Ope's 5 Star Short Let Apartment in Lekki</v>
      </c>
      <c r="T345">
        <f>Table1[[#This Row],[Adults]]+Table1[[#This Row],[Children]]</f>
        <v>7</v>
      </c>
      <c r="U345">
        <f>_xlfn.DAYS(Table1[[#This Row],[Depart]],Table1[[#This Row],[Arrive]])</f>
        <v>4</v>
      </c>
    </row>
    <row r="346" spans="1:21" x14ac:dyDescent="0.25">
      <c r="A346" t="s">
        <v>514</v>
      </c>
      <c r="B346" t="s">
        <v>515</v>
      </c>
      <c r="C346" t="s">
        <v>1179</v>
      </c>
      <c r="D346" s="1">
        <v>44039</v>
      </c>
      <c r="E346" s="1">
        <v>44040</v>
      </c>
      <c r="F346">
        <f t="shared" si="17"/>
        <v>1</v>
      </c>
      <c r="G346" s="1">
        <v>44037</v>
      </c>
      <c r="H346" s="2">
        <v>0.33333333333333331</v>
      </c>
      <c r="I346" s="3">
        <v>1</v>
      </c>
      <c r="J346" t="s">
        <v>1545</v>
      </c>
      <c r="K346" t="s">
        <v>1545</v>
      </c>
      <c r="L346" t="s">
        <v>22</v>
      </c>
      <c r="M346" s="12" t="s">
        <v>18</v>
      </c>
      <c r="N346">
        <v>5</v>
      </c>
      <c r="O346">
        <v>0</v>
      </c>
      <c r="P346" t="s">
        <v>19</v>
      </c>
      <c r="Q346" s="6">
        <v>110</v>
      </c>
      <c r="R346" t="str">
        <f t="shared" si="15"/>
        <v>Phiola's 5 Star Short Let Apartment in Lekki_x000C_</v>
      </c>
      <c r="S346" t="str">
        <f t="shared" si="16"/>
        <v>Phiola's 5 Star Short Let Apartment in Lekki</v>
      </c>
      <c r="T346">
        <f>Table1[[#This Row],[Adults]]+Table1[[#This Row],[Children]]</f>
        <v>5</v>
      </c>
      <c r="U346">
        <f>_xlfn.DAYS(Table1[[#This Row],[Depart]],Table1[[#This Row],[Arrive]])</f>
        <v>1</v>
      </c>
    </row>
    <row r="347" spans="1:21" x14ac:dyDescent="0.25">
      <c r="A347" t="s">
        <v>376</v>
      </c>
      <c r="B347" t="s">
        <v>377</v>
      </c>
      <c r="C347" t="s">
        <v>1175</v>
      </c>
      <c r="D347" s="1">
        <v>44040</v>
      </c>
      <c r="E347" s="1">
        <v>44042</v>
      </c>
      <c r="F347">
        <f t="shared" si="17"/>
        <v>2</v>
      </c>
      <c r="G347" s="1">
        <v>43996</v>
      </c>
      <c r="H347" s="2">
        <v>0.33333333333333331</v>
      </c>
      <c r="I347" s="3">
        <v>1</v>
      </c>
      <c r="J347" s="4" t="s">
        <v>1448</v>
      </c>
      <c r="K347" s="4" t="s">
        <v>1448</v>
      </c>
      <c r="L347" t="s">
        <v>22</v>
      </c>
      <c r="M347" s="12" t="s">
        <v>23</v>
      </c>
      <c r="N347">
        <v>6</v>
      </c>
      <c r="O347">
        <v>0</v>
      </c>
      <c r="P347" t="s">
        <v>19</v>
      </c>
      <c r="Q347" s="6">
        <v>220</v>
      </c>
      <c r="R347" t="str">
        <f t="shared" si="15"/>
        <v>Keji's 5 Star Short let Apartment in Lekki_x000C_</v>
      </c>
      <c r="S347" t="str">
        <f t="shared" si="16"/>
        <v>Keji's 5 Star Short let Apartment in Lekki</v>
      </c>
      <c r="T347">
        <f>Table1[[#This Row],[Adults]]+Table1[[#This Row],[Children]]</f>
        <v>6</v>
      </c>
      <c r="U347">
        <f>_xlfn.DAYS(Table1[[#This Row],[Depart]],Table1[[#This Row],[Arrive]])</f>
        <v>2</v>
      </c>
    </row>
    <row r="348" spans="1:21" x14ac:dyDescent="0.25">
      <c r="A348" t="s">
        <v>296</v>
      </c>
      <c r="B348" t="s">
        <v>297</v>
      </c>
      <c r="C348" t="s">
        <v>1179</v>
      </c>
      <c r="D348" s="1">
        <v>44041</v>
      </c>
      <c r="E348" s="1">
        <v>44044</v>
      </c>
      <c r="F348">
        <f t="shared" si="17"/>
        <v>3</v>
      </c>
      <c r="G348" s="1">
        <v>44038</v>
      </c>
      <c r="H348" s="2">
        <v>0.33333333333333331</v>
      </c>
      <c r="I348" s="3">
        <v>1</v>
      </c>
      <c r="J348" t="s">
        <v>1546</v>
      </c>
      <c r="K348" t="s">
        <v>1546</v>
      </c>
      <c r="L348" t="s">
        <v>22</v>
      </c>
      <c r="M348" s="12" t="s">
        <v>23</v>
      </c>
      <c r="N348">
        <v>5</v>
      </c>
      <c r="O348">
        <v>0</v>
      </c>
      <c r="P348" t="s">
        <v>19</v>
      </c>
      <c r="Q348" s="6">
        <v>330</v>
      </c>
      <c r="R348" t="str">
        <f t="shared" si="15"/>
        <v>Phiola's 5 Star Short Let Apartment in Lekki_x000C_</v>
      </c>
      <c r="S348" t="str">
        <f t="shared" si="16"/>
        <v>Phiola's 5 Star Short Let Apartment in Lekki</v>
      </c>
      <c r="T348">
        <f>Table1[[#This Row],[Adults]]+Table1[[#This Row],[Children]]</f>
        <v>5</v>
      </c>
      <c r="U348">
        <f>_xlfn.DAYS(Table1[[#This Row],[Depart]],Table1[[#This Row],[Arrive]])</f>
        <v>3</v>
      </c>
    </row>
    <row r="349" spans="1:21" x14ac:dyDescent="0.25">
      <c r="A349" t="s">
        <v>404</v>
      </c>
      <c r="B349" t="s">
        <v>405</v>
      </c>
      <c r="C349" t="s">
        <v>1178</v>
      </c>
      <c r="D349" s="1">
        <v>44042</v>
      </c>
      <c r="E349" s="1">
        <v>44045</v>
      </c>
      <c r="F349">
        <f t="shared" si="17"/>
        <v>3</v>
      </c>
      <c r="G349" s="1">
        <v>43995</v>
      </c>
      <c r="H349" s="2">
        <v>0.33333333333333331</v>
      </c>
      <c r="I349" s="3">
        <v>1</v>
      </c>
      <c r="J349" t="s">
        <v>1465</v>
      </c>
      <c r="K349" t="s">
        <v>1465</v>
      </c>
      <c r="L349" t="s">
        <v>22</v>
      </c>
      <c r="M349" s="12" t="s">
        <v>18</v>
      </c>
      <c r="N349">
        <v>5</v>
      </c>
      <c r="O349">
        <v>0</v>
      </c>
      <c r="P349" t="s">
        <v>19</v>
      </c>
      <c r="Q349" s="6">
        <v>330</v>
      </c>
      <c r="R349" t="str">
        <f t="shared" si="15"/>
        <v>Ope's 5 Star Short Let Apartment in Lekki_x000C_</v>
      </c>
      <c r="S349" t="str">
        <f t="shared" si="16"/>
        <v>Ope's 5 Star Short Let Apartment in Lekki</v>
      </c>
      <c r="T349">
        <f>Table1[[#This Row],[Adults]]+Table1[[#This Row],[Children]]</f>
        <v>5</v>
      </c>
      <c r="U349">
        <f>_xlfn.DAYS(Table1[[#This Row],[Depart]],Table1[[#This Row],[Arrive]])</f>
        <v>3</v>
      </c>
    </row>
    <row r="350" spans="1:21" x14ac:dyDescent="0.25">
      <c r="A350" t="s">
        <v>416</v>
      </c>
      <c r="B350" t="s">
        <v>417</v>
      </c>
      <c r="C350" t="s">
        <v>1180</v>
      </c>
      <c r="D350" s="1">
        <v>44042</v>
      </c>
      <c r="E350" s="1">
        <v>44056</v>
      </c>
      <c r="F350">
        <f t="shared" si="17"/>
        <v>14</v>
      </c>
      <c r="G350" s="1">
        <v>44011</v>
      </c>
      <c r="H350" s="2">
        <v>0.58333333333333337</v>
      </c>
      <c r="I350" s="2">
        <v>0.45833333333333331</v>
      </c>
      <c r="J350" t="s">
        <v>1474</v>
      </c>
      <c r="K350" t="s">
        <v>1474</v>
      </c>
      <c r="L350" t="s">
        <v>22</v>
      </c>
      <c r="M350" s="12" t="s">
        <v>18</v>
      </c>
      <c r="N350">
        <v>2</v>
      </c>
      <c r="O350">
        <v>0</v>
      </c>
      <c r="P350" t="s">
        <v>19</v>
      </c>
      <c r="Q350" s="6">
        <v>1540</v>
      </c>
      <c r="R350" t="str">
        <f t="shared" si="15"/>
        <v>Zoe's 5 Star Short let Apartment in Lekki_x000C_</v>
      </c>
      <c r="S350" t="str">
        <f t="shared" si="16"/>
        <v>Zoe's 5 Star Short let Apartment in Lekki</v>
      </c>
      <c r="T350">
        <f>Table1[[#This Row],[Adults]]+Table1[[#This Row],[Children]]</f>
        <v>2</v>
      </c>
      <c r="U350">
        <f>_xlfn.DAYS(Table1[[#This Row],[Depart]],Table1[[#This Row],[Arrive]])</f>
        <v>14</v>
      </c>
    </row>
    <row r="351" spans="1:21" x14ac:dyDescent="0.25">
      <c r="A351" t="s">
        <v>430</v>
      </c>
      <c r="B351" t="s">
        <v>431</v>
      </c>
      <c r="C351" t="s">
        <v>1173</v>
      </c>
      <c r="D351" s="1">
        <v>44042</v>
      </c>
      <c r="E351" s="1">
        <v>44043</v>
      </c>
      <c r="F351">
        <f t="shared" si="17"/>
        <v>1</v>
      </c>
      <c r="G351" s="1">
        <v>44018</v>
      </c>
      <c r="H351" s="2">
        <v>0.33333333333333331</v>
      </c>
      <c r="I351" s="3">
        <v>1</v>
      </c>
      <c r="J351" t="s">
        <v>1485</v>
      </c>
      <c r="K351" t="s">
        <v>1485</v>
      </c>
      <c r="L351" t="s">
        <v>22</v>
      </c>
      <c r="M351" s="12" t="s">
        <v>23</v>
      </c>
      <c r="N351">
        <v>5</v>
      </c>
      <c r="O351">
        <v>0</v>
      </c>
      <c r="P351" t="s">
        <v>19</v>
      </c>
      <c r="Q351" s="6">
        <v>135</v>
      </c>
      <c r="R351" t="str">
        <f t="shared" si="15"/>
        <v xml:space="preserve"> The Daniels 5 Star Short Let Apartment in Lekki_x000C_</v>
      </c>
      <c r="S351" t="str">
        <f t="shared" si="16"/>
        <v xml:space="preserve"> The Daniels 5 Star Short Let Apartment in Lekki</v>
      </c>
      <c r="T351">
        <f>Table1[[#This Row],[Adults]]+Table1[[#This Row],[Children]]</f>
        <v>5</v>
      </c>
      <c r="U351">
        <f>_xlfn.DAYS(Table1[[#This Row],[Depart]],Table1[[#This Row],[Arrive]])</f>
        <v>1</v>
      </c>
    </row>
    <row r="352" spans="1:21" x14ac:dyDescent="0.25">
      <c r="A352" t="s">
        <v>547</v>
      </c>
      <c r="B352" t="s">
        <v>548</v>
      </c>
      <c r="C352" t="s">
        <v>1180</v>
      </c>
      <c r="D352" s="1">
        <v>44042</v>
      </c>
      <c r="E352" s="1">
        <v>44045</v>
      </c>
      <c r="F352">
        <f t="shared" si="17"/>
        <v>3</v>
      </c>
      <c r="G352" s="1">
        <v>44022</v>
      </c>
      <c r="H352" s="2">
        <v>0.58333333333333337</v>
      </c>
      <c r="I352" s="2">
        <v>0.45833333333333331</v>
      </c>
      <c r="J352" t="s">
        <v>1571</v>
      </c>
      <c r="K352" t="s">
        <v>1571</v>
      </c>
      <c r="L352" t="s">
        <v>22</v>
      </c>
      <c r="M352" s="12" t="s">
        <v>23</v>
      </c>
      <c r="N352">
        <v>7</v>
      </c>
      <c r="O352">
        <v>0</v>
      </c>
      <c r="P352" t="s">
        <v>19</v>
      </c>
      <c r="Q352" s="6">
        <v>390</v>
      </c>
      <c r="R352" t="str">
        <f t="shared" si="15"/>
        <v>Zoe's 5 Star Short let Apartment in Lekki_x000C_</v>
      </c>
      <c r="S352" t="str">
        <f t="shared" si="16"/>
        <v>Zoe's 5 Star Short let Apartment in Lekki</v>
      </c>
      <c r="T352">
        <f>Table1[[#This Row],[Adults]]+Table1[[#This Row],[Children]]</f>
        <v>7</v>
      </c>
      <c r="U352">
        <f>_xlfn.DAYS(Table1[[#This Row],[Depart]],Table1[[#This Row],[Arrive]])</f>
        <v>3</v>
      </c>
    </row>
    <row r="353" spans="1:21" x14ac:dyDescent="0.25">
      <c r="A353" t="s">
        <v>342</v>
      </c>
      <c r="B353" t="s">
        <v>343</v>
      </c>
      <c r="C353" t="s">
        <v>1173</v>
      </c>
      <c r="D353" s="1">
        <v>44043</v>
      </c>
      <c r="E353" s="1">
        <v>44044</v>
      </c>
      <c r="F353">
        <f t="shared" si="17"/>
        <v>1</v>
      </c>
      <c r="G353" s="1">
        <v>43996</v>
      </c>
      <c r="H353" s="2">
        <v>0.33333333333333331</v>
      </c>
      <c r="I353" s="3">
        <v>1</v>
      </c>
      <c r="J353" t="s">
        <v>1429</v>
      </c>
      <c r="K353" t="s">
        <v>1429</v>
      </c>
      <c r="L353" t="s">
        <v>26</v>
      </c>
      <c r="M353" s="12" t="s">
        <v>18</v>
      </c>
      <c r="N353">
        <v>1</v>
      </c>
      <c r="O353">
        <v>0</v>
      </c>
      <c r="P353" t="s">
        <v>19</v>
      </c>
      <c r="Q353" s="6">
        <v>107</v>
      </c>
      <c r="R353" t="str">
        <f t="shared" si="15"/>
        <v xml:space="preserve"> The Daniels 5 Star Short Let Apartment in Lekki_x000C_</v>
      </c>
      <c r="S353" t="str">
        <f t="shared" si="16"/>
        <v xml:space="preserve"> The Daniels 5 Star Short Let Apartment in Lekki</v>
      </c>
      <c r="T353">
        <f>Table1[[#This Row],[Adults]]+Table1[[#This Row],[Children]]</f>
        <v>1</v>
      </c>
      <c r="U353">
        <f>_xlfn.DAYS(Table1[[#This Row],[Depart]],Table1[[#This Row],[Arrive]])</f>
        <v>1</v>
      </c>
    </row>
    <row r="354" spans="1:21" x14ac:dyDescent="0.25">
      <c r="A354" t="s">
        <v>422</v>
      </c>
      <c r="B354" t="s">
        <v>423</v>
      </c>
      <c r="C354" t="s">
        <v>1173</v>
      </c>
      <c r="D354" s="1">
        <v>44043</v>
      </c>
      <c r="E354" s="1">
        <v>44044</v>
      </c>
      <c r="F354">
        <f t="shared" si="17"/>
        <v>1</v>
      </c>
      <c r="G354" s="1">
        <v>44015</v>
      </c>
      <c r="H354" s="2">
        <v>0.33333333333333331</v>
      </c>
      <c r="I354" s="3">
        <v>1</v>
      </c>
      <c r="J354" t="s">
        <v>1479</v>
      </c>
      <c r="K354" t="s">
        <v>1479</v>
      </c>
      <c r="L354" t="s">
        <v>26</v>
      </c>
      <c r="M354" s="12" t="s">
        <v>18</v>
      </c>
      <c r="N354">
        <v>1</v>
      </c>
      <c r="O354">
        <v>0</v>
      </c>
      <c r="P354" t="s">
        <v>19</v>
      </c>
      <c r="Q354" s="6">
        <v>107</v>
      </c>
      <c r="R354" t="str">
        <f t="shared" si="15"/>
        <v xml:space="preserve"> The Daniels 5 Star Short Let Apartment in Lekki_x000C_</v>
      </c>
      <c r="S354" t="str">
        <f t="shared" si="16"/>
        <v xml:space="preserve"> The Daniels 5 Star Short Let Apartment in Lekki</v>
      </c>
      <c r="T354">
        <f>Table1[[#This Row],[Adults]]+Table1[[#This Row],[Children]]</f>
        <v>1</v>
      </c>
      <c r="U354">
        <f>_xlfn.DAYS(Table1[[#This Row],[Depart]],Table1[[#This Row],[Arrive]])</f>
        <v>1</v>
      </c>
    </row>
    <row r="355" spans="1:21" x14ac:dyDescent="0.25">
      <c r="A355" t="s">
        <v>404</v>
      </c>
      <c r="B355" t="s">
        <v>405</v>
      </c>
      <c r="C355" t="s">
        <v>1175</v>
      </c>
      <c r="D355" s="1">
        <v>44043</v>
      </c>
      <c r="E355" s="1">
        <v>44046</v>
      </c>
      <c r="F355">
        <f t="shared" si="17"/>
        <v>3</v>
      </c>
      <c r="G355" s="1">
        <v>44009</v>
      </c>
      <c r="H355" s="2">
        <v>0.33333333333333331</v>
      </c>
      <c r="I355" s="3">
        <v>1</v>
      </c>
      <c r="J355" t="s">
        <v>1480</v>
      </c>
      <c r="K355" t="s">
        <v>1480</v>
      </c>
      <c r="L355" t="s">
        <v>22</v>
      </c>
      <c r="M355" s="12" t="s">
        <v>23</v>
      </c>
      <c r="N355">
        <v>6</v>
      </c>
      <c r="O355">
        <v>0</v>
      </c>
      <c r="P355" t="s">
        <v>19</v>
      </c>
      <c r="Q355" s="6">
        <v>270</v>
      </c>
      <c r="R355" t="str">
        <f t="shared" si="15"/>
        <v>Keji's 5 Star Short let Apartment in Lekki_x000C_</v>
      </c>
      <c r="S355" t="str">
        <f t="shared" si="16"/>
        <v>Keji's 5 Star Short let Apartment in Lekki</v>
      </c>
      <c r="T355">
        <f>Table1[[#This Row],[Adults]]+Table1[[#This Row],[Children]]</f>
        <v>6</v>
      </c>
      <c r="U355">
        <f>_xlfn.DAYS(Table1[[#This Row],[Depart]],Table1[[#This Row],[Arrive]])</f>
        <v>3</v>
      </c>
    </row>
    <row r="356" spans="1:21" x14ac:dyDescent="0.25">
      <c r="A356" t="s">
        <v>466</v>
      </c>
      <c r="B356" t="s">
        <v>467</v>
      </c>
      <c r="C356" t="s">
        <v>1173</v>
      </c>
      <c r="D356" s="1">
        <v>44043</v>
      </c>
      <c r="E356" s="1">
        <v>44044</v>
      </c>
      <c r="F356">
        <f t="shared" si="17"/>
        <v>1</v>
      </c>
      <c r="G356" s="1">
        <v>44023</v>
      </c>
      <c r="H356" s="2">
        <v>0.33333333333333331</v>
      </c>
      <c r="I356" s="3">
        <v>1</v>
      </c>
      <c r="J356" t="s">
        <v>1513</v>
      </c>
      <c r="K356" t="s">
        <v>1513</v>
      </c>
      <c r="L356" t="s">
        <v>22</v>
      </c>
      <c r="M356" s="12" t="s">
        <v>23</v>
      </c>
      <c r="N356">
        <v>8</v>
      </c>
      <c r="O356">
        <v>0</v>
      </c>
      <c r="P356" t="s">
        <v>19</v>
      </c>
      <c r="Q356" s="6">
        <v>175</v>
      </c>
      <c r="R356" t="str">
        <f t="shared" si="15"/>
        <v xml:space="preserve"> The Daniels 5 Star Short Let Apartment in Lekki_x000C_</v>
      </c>
      <c r="S356" t="str">
        <f t="shared" si="16"/>
        <v xml:space="preserve"> The Daniels 5 Star Short Let Apartment in Lekki</v>
      </c>
      <c r="T356">
        <f>Table1[[#This Row],[Adults]]+Table1[[#This Row],[Children]]</f>
        <v>8</v>
      </c>
      <c r="U356">
        <f>_xlfn.DAYS(Table1[[#This Row],[Depart]],Table1[[#This Row],[Arrive]])</f>
        <v>1</v>
      </c>
    </row>
    <row r="357" spans="1:21" x14ac:dyDescent="0.25">
      <c r="A357" t="s">
        <v>494</v>
      </c>
      <c r="B357" t="s">
        <v>495</v>
      </c>
      <c r="C357" t="s">
        <v>1178</v>
      </c>
      <c r="D357" s="1">
        <v>44043</v>
      </c>
      <c r="E357" s="1">
        <v>44044</v>
      </c>
      <c r="F357">
        <f t="shared" si="17"/>
        <v>1</v>
      </c>
      <c r="G357" s="1">
        <v>44032</v>
      </c>
      <c r="H357" s="2">
        <v>0.58333333333333337</v>
      </c>
      <c r="I357" s="2">
        <v>0.45833333333333331</v>
      </c>
      <c r="J357" t="s">
        <v>1532</v>
      </c>
      <c r="K357" t="s">
        <v>1532</v>
      </c>
      <c r="L357" t="s">
        <v>22</v>
      </c>
      <c r="M357" s="12" t="s">
        <v>23</v>
      </c>
      <c r="N357">
        <v>12</v>
      </c>
      <c r="O357">
        <v>0</v>
      </c>
      <c r="P357" t="s">
        <v>19</v>
      </c>
      <c r="Q357" s="6">
        <v>230</v>
      </c>
      <c r="R357" t="str">
        <f t="shared" si="15"/>
        <v>Ope's 5 Star Short Let Apartment in Lekki_x000C_</v>
      </c>
      <c r="S357" t="str">
        <f t="shared" si="16"/>
        <v>Ope's 5 Star Short Let Apartment in Lekki</v>
      </c>
      <c r="T357">
        <f>Table1[[#This Row],[Adults]]+Table1[[#This Row],[Children]]</f>
        <v>12</v>
      </c>
      <c r="U357">
        <f>_xlfn.DAYS(Table1[[#This Row],[Depart]],Table1[[#This Row],[Arrive]])</f>
        <v>1</v>
      </c>
    </row>
    <row r="358" spans="1:21" x14ac:dyDescent="0.25">
      <c r="A358" t="s">
        <v>74</v>
      </c>
      <c r="B358" t="s">
        <v>75</v>
      </c>
      <c r="C358" t="s">
        <v>1175</v>
      </c>
      <c r="D358" s="1">
        <v>44044</v>
      </c>
      <c r="E358" s="1">
        <v>44047</v>
      </c>
      <c r="F358">
        <f t="shared" si="17"/>
        <v>3</v>
      </c>
      <c r="G358" s="1">
        <v>43888</v>
      </c>
      <c r="H358" s="2">
        <v>0.33333333333333331</v>
      </c>
      <c r="I358" s="3">
        <v>1</v>
      </c>
      <c r="J358" t="s">
        <v>1214</v>
      </c>
      <c r="K358" t="s">
        <v>1214</v>
      </c>
      <c r="L358" t="s">
        <v>26</v>
      </c>
      <c r="M358" s="12" t="s">
        <v>18</v>
      </c>
      <c r="N358">
        <v>6</v>
      </c>
      <c r="O358">
        <v>0</v>
      </c>
      <c r="P358" t="s">
        <v>19</v>
      </c>
      <c r="Q358" s="6">
        <v>318</v>
      </c>
      <c r="R358" t="str">
        <f t="shared" si="15"/>
        <v>Keji's 5 Star Short let Apartment in Lekki_x000C_</v>
      </c>
      <c r="S358" t="str">
        <f t="shared" si="16"/>
        <v>Keji's 5 Star Short let Apartment in Lekki</v>
      </c>
      <c r="T358">
        <f>Table1[[#This Row],[Adults]]+Table1[[#This Row],[Children]]</f>
        <v>6</v>
      </c>
      <c r="U358">
        <f>_xlfn.DAYS(Table1[[#This Row],[Depart]],Table1[[#This Row],[Arrive]])</f>
        <v>3</v>
      </c>
    </row>
    <row r="359" spans="1:21" x14ac:dyDescent="0.25">
      <c r="A359" t="s">
        <v>412</v>
      </c>
      <c r="B359" t="s">
        <v>413</v>
      </c>
      <c r="C359" t="s">
        <v>1173</v>
      </c>
      <c r="D359" s="1">
        <v>44044</v>
      </c>
      <c r="E359" s="1">
        <v>44047</v>
      </c>
      <c r="F359">
        <f t="shared" si="17"/>
        <v>3</v>
      </c>
      <c r="G359" s="1">
        <v>44010</v>
      </c>
      <c r="H359" s="2">
        <v>0.33333333333333331</v>
      </c>
      <c r="I359" s="3">
        <v>1</v>
      </c>
      <c r="J359" t="s">
        <v>1469</v>
      </c>
      <c r="K359" t="s">
        <v>1469</v>
      </c>
      <c r="L359" t="s">
        <v>26</v>
      </c>
      <c r="M359" s="12" t="s">
        <v>18</v>
      </c>
      <c r="N359">
        <v>1</v>
      </c>
      <c r="O359">
        <v>0</v>
      </c>
      <c r="P359" t="s">
        <v>19</v>
      </c>
      <c r="Q359" s="6">
        <v>319</v>
      </c>
      <c r="R359" t="str">
        <f t="shared" si="15"/>
        <v xml:space="preserve"> The Daniels 5 Star Short Let Apartment in Lekki_x000C_</v>
      </c>
      <c r="S359" t="str">
        <f t="shared" si="16"/>
        <v xml:space="preserve"> The Daniels 5 Star Short Let Apartment in Lekki</v>
      </c>
      <c r="T359">
        <f>Table1[[#This Row],[Adults]]+Table1[[#This Row],[Children]]</f>
        <v>1</v>
      </c>
      <c r="U359">
        <f>_xlfn.DAYS(Table1[[#This Row],[Depart]],Table1[[#This Row],[Arrive]])</f>
        <v>3</v>
      </c>
    </row>
    <row r="360" spans="1:21" x14ac:dyDescent="0.25">
      <c r="A360" t="s">
        <v>426</v>
      </c>
      <c r="B360" t="s">
        <v>427</v>
      </c>
      <c r="C360" t="s">
        <v>1173</v>
      </c>
      <c r="D360" s="1">
        <v>44044</v>
      </c>
      <c r="E360" s="1">
        <v>44045</v>
      </c>
      <c r="F360">
        <f t="shared" si="17"/>
        <v>1</v>
      </c>
      <c r="G360" s="1">
        <v>44018</v>
      </c>
      <c r="H360" s="2">
        <v>0.33333333333333331</v>
      </c>
      <c r="I360" s="3">
        <v>1</v>
      </c>
      <c r="J360" t="s">
        <v>1483</v>
      </c>
      <c r="K360" t="s">
        <v>1483</v>
      </c>
      <c r="L360" t="s">
        <v>22</v>
      </c>
      <c r="M360" s="12" t="s">
        <v>23</v>
      </c>
      <c r="N360">
        <v>4</v>
      </c>
      <c r="O360">
        <v>0</v>
      </c>
      <c r="P360" t="s">
        <v>19</v>
      </c>
      <c r="Q360" s="6">
        <v>135</v>
      </c>
      <c r="R360" t="str">
        <f t="shared" si="15"/>
        <v xml:space="preserve"> The Daniels 5 Star Short Let Apartment in Lekki_x000C_</v>
      </c>
      <c r="S360" t="str">
        <f t="shared" si="16"/>
        <v xml:space="preserve"> The Daniels 5 Star Short Let Apartment in Lekki</v>
      </c>
      <c r="T360">
        <f>Table1[[#This Row],[Adults]]+Table1[[#This Row],[Children]]</f>
        <v>4</v>
      </c>
      <c r="U360">
        <f>_xlfn.DAYS(Table1[[#This Row],[Depart]],Table1[[#This Row],[Arrive]])</f>
        <v>1</v>
      </c>
    </row>
    <row r="361" spans="1:21" x14ac:dyDescent="0.25">
      <c r="A361" t="s">
        <v>504</v>
      </c>
      <c r="B361" t="s">
        <v>505</v>
      </c>
      <c r="C361" t="s">
        <v>1179</v>
      </c>
      <c r="D361" s="1">
        <v>44044</v>
      </c>
      <c r="E361" s="1">
        <v>44045</v>
      </c>
      <c r="F361">
        <f t="shared" si="17"/>
        <v>1</v>
      </c>
      <c r="G361" s="1">
        <v>44036</v>
      </c>
      <c r="H361" s="2">
        <v>0.33333333333333331</v>
      </c>
      <c r="I361" s="3">
        <v>1</v>
      </c>
      <c r="J361" t="s">
        <v>1538</v>
      </c>
      <c r="K361" t="s">
        <v>1538</v>
      </c>
      <c r="L361" t="s">
        <v>22</v>
      </c>
      <c r="M361" s="12" t="s">
        <v>23</v>
      </c>
      <c r="N361">
        <v>5</v>
      </c>
      <c r="O361">
        <v>0</v>
      </c>
      <c r="P361" t="s">
        <v>19</v>
      </c>
      <c r="Q361" s="6">
        <v>110</v>
      </c>
      <c r="R361" t="str">
        <f t="shared" si="15"/>
        <v>Phiola's 5 Star Short Let Apartment in Lekki_x000C_</v>
      </c>
      <c r="S361" t="str">
        <f t="shared" si="16"/>
        <v>Phiola's 5 Star Short Let Apartment in Lekki</v>
      </c>
      <c r="T361">
        <f>Table1[[#This Row],[Adults]]+Table1[[#This Row],[Children]]</f>
        <v>5</v>
      </c>
      <c r="U361">
        <f>_xlfn.DAYS(Table1[[#This Row],[Depart]],Table1[[#This Row],[Arrive]])</f>
        <v>1</v>
      </c>
    </row>
    <row r="362" spans="1:21" x14ac:dyDescent="0.25">
      <c r="A362" t="s">
        <v>296</v>
      </c>
      <c r="B362" t="s">
        <v>297</v>
      </c>
      <c r="C362" t="s">
        <v>1180</v>
      </c>
      <c r="D362" s="1">
        <v>44044</v>
      </c>
      <c r="E362" s="1">
        <v>44045</v>
      </c>
      <c r="F362">
        <f t="shared" si="17"/>
        <v>1</v>
      </c>
      <c r="G362" s="1">
        <v>44041</v>
      </c>
      <c r="H362" s="2">
        <v>0.58333333333333337</v>
      </c>
      <c r="I362" s="2">
        <v>0.45833333333333331</v>
      </c>
      <c r="J362" t="s">
        <v>1570</v>
      </c>
      <c r="K362" t="s">
        <v>1570</v>
      </c>
      <c r="L362" t="s">
        <v>22</v>
      </c>
      <c r="M362" s="12" t="s">
        <v>18</v>
      </c>
      <c r="N362">
        <v>4</v>
      </c>
      <c r="O362">
        <v>0</v>
      </c>
      <c r="P362" t="s">
        <v>19</v>
      </c>
      <c r="Q362" s="6">
        <v>110</v>
      </c>
      <c r="R362" t="str">
        <f t="shared" si="15"/>
        <v>Zoe's 5 Star Short let Apartment in Lekki_x000C_</v>
      </c>
      <c r="S362" t="str">
        <f t="shared" si="16"/>
        <v>Zoe's 5 Star Short let Apartment in Lekki</v>
      </c>
      <c r="T362">
        <f>Table1[[#This Row],[Adults]]+Table1[[#This Row],[Children]]</f>
        <v>4</v>
      </c>
      <c r="U362">
        <f>_xlfn.DAYS(Table1[[#This Row],[Depart]],Table1[[#This Row],[Arrive]])</f>
        <v>1</v>
      </c>
    </row>
    <row r="363" spans="1:21" x14ac:dyDescent="0.25">
      <c r="A363" t="s">
        <v>551</v>
      </c>
      <c r="B363" t="s">
        <v>552</v>
      </c>
      <c r="C363" t="s">
        <v>1178</v>
      </c>
      <c r="D363" s="1">
        <v>44044</v>
      </c>
      <c r="E363" s="1">
        <v>44045</v>
      </c>
      <c r="F363">
        <f t="shared" si="17"/>
        <v>1</v>
      </c>
      <c r="G363" s="1">
        <v>44035</v>
      </c>
      <c r="H363" s="2">
        <v>0.58333333333333337</v>
      </c>
      <c r="I363" s="2">
        <v>0.45833333333333331</v>
      </c>
      <c r="J363" t="s">
        <v>1575</v>
      </c>
      <c r="K363" t="s">
        <v>1575</v>
      </c>
      <c r="L363" t="s">
        <v>22</v>
      </c>
      <c r="M363" s="12" t="s">
        <v>23</v>
      </c>
      <c r="N363">
        <v>10</v>
      </c>
      <c r="O363">
        <v>0</v>
      </c>
      <c r="P363" t="s">
        <v>19</v>
      </c>
      <c r="Q363" s="6">
        <v>190</v>
      </c>
      <c r="R363" t="str">
        <f t="shared" si="15"/>
        <v>Ope's 5 Star Short Let Apartment in Lekki_x000C_</v>
      </c>
      <c r="S363" t="str">
        <f t="shared" si="16"/>
        <v>Ope's 5 Star Short Let Apartment in Lekki</v>
      </c>
      <c r="T363">
        <f>Table1[[#This Row],[Adults]]+Table1[[#This Row],[Children]]</f>
        <v>10</v>
      </c>
      <c r="U363">
        <f>_xlfn.DAYS(Table1[[#This Row],[Depart]],Table1[[#This Row],[Arrive]])</f>
        <v>1</v>
      </c>
    </row>
    <row r="364" spans="1:21" x14ac:dyDescent="0.25">
      <c r="A364" t="s">
        <v>412</v>
      </c>
      <c r="B364" t="s">
        <v>413</v>
      </c>
      <c r="C364" t="s">
        <v>1175</v>
      </c>
      <c r="D364" s="1">
        <v>44045</v>
      </c>
      <c r="E364" s="1">
        <v>44048</v>
      </c>
      <c r="F364">
        <f t="shared" si="17"/>
        <v>3</v>
      </c>
      <c r="G364" s="1">
        <v>44010</v>
      </c>
      <c r="H364" s="2">
        <v>0.33333333333333331</v>
      </c>
      <c r="I364" s="3">
        <v>1</v>
      </c>
      <c r="J364" t="s">
        <v>1470</v>
      </c>
      <c r="K364" t="s">
        <v>1470</v>
      </c>
      <c r="L364" t="s">
        <v>26</v>
      </c>
      <c r="M364" s="12" t="s">
        <v>18</v>
      </c>
      <c r="N364">
        <v>1</v>
      </c>
      <c r="O364">
        <v>0</v>
      </c>
      <c r="P364" t="s">
        <v>19</v>
      </c>
      <c r="Q364" s="6">
        <v>319</v>
      </c>
      <c r="R364" t="str">
        <f t="shared" si="15"/>
        <v>Keji's 5 Star Short let Apartment in Lekki_x000C_</v>
      </c>
      <c r="S364" t="str">
        <f t="shared" si="16"/>
        <v>Keji's 5 Star Short let Apartment in Lekki</v>
      </c>
      <c r="T364">
        <f>Table1[[#This Row],[Adults]]+Table1[[#This Row],[Children]]</f>
        <v>1</v>
      </c>
      <c r="U364">
        <f>_xlfn.DAYS(Table1[[#This Row],[Depart]],Table1[[#This Row],[Arrive]])</f>
        <v>3</v>
      </c>
    </row>
    <row r="365" spans="1:21" x14ac:dyDescent="0.25">
      <c r="A365" t="s">
        <v>490</v>
      </c>
      <c r="B365" t="s">
        <v>491</v>
      </c>
      <c r="C365" t="s">
        <v>1173</v>
      </c>
      <c r="D365" s="1">
        <v>44045</v>
      </c>
      <c r="E365" s="1">
        <v>44050</v>
      </c>
      <c r="F365">
        <f t="shared" si="17"/>
        <v>5</v>
      </c>
      <c r="G365" s="1">
        <v>44031</v>
      </c>
      <c r="H365" s="2">
        <v>0.33333333333333331</v>
      </c>
      <c r="I365" s="3">
        <v>1</v>
      </c>
      <c r="J365" t="s">
        <v>1529</v>
      </c>
      <c r="K365" t="s">
        <v>1529</v>
      </c>
      <c r="L365" t="s">
        <v>26</v>
      </c>
      <c r="M365" s="12" t="s">
        <v>18</v>
      </c>
      <c r="N365">
        <v>5</v>
      </c>
      <c r="O365">
        <v>0</v>
      </c>
      <c r="P365" t="s">
        <v>19</v>
      </c>
      <c r="Q365" s="6">
        <v>651</v>
      </c>
      <c r="R365" t="str">
        <f t="shared" si="15"/>
        <v xml:space="preserve"> The Daniels 5 Star Short Let Apartment in Lekki_x000C_</v>
      </c>
      <c r="S365" t="str">
        <f t="shared" si="16"/>
        <v xml:space="preserve"> The Daniels 5 Star Short Let Apartment in Lekki</v>
      </c>
      <c r="T365">
        <f>Table1[[#This Row],[Adults]]+Table1[[#This Row],[Children]]</f>
        <v>5</v>
      </c>
      <c r="U365">
        <f>_xlfn.DAYS(Table1[[#This Row],[Depart]],Table1[[#This Row],[Arrive]])</f>
        <v>5</v>
      </c>
    </row>
    <row r="366" spans="1:21" x14ac:dyDescent="0.25">
      <c r="A366" t="s">
        <v>516</v>
      </c>
      <c r="B366" t="s">
        <v>517</v>
      </c>
      <c r="C366" t="s">
        <v>1179</v>
      </c>
      <c r="D366" s="1">
        <v>44045</v>
      </c>
      <c r="E366" s="1">
        <v>44046</v>
      </c>
      <c r="F366">
        <f t="shared" si="17"/>
        <v>1</v>
      </c>
      <c r="G366" s="1">
        <v>44039</v>
      </c>
      <c r="H366" s="2">
        <v>0.33333333333333331</v>
      </c>
      <c r="I366" s="3">
        <v>1</v>
      </c>
      <c r="J366" t="s">
        <v>1547</v>
      </c>
      <c r="K366" t="s">
        <v>1547</v>
      </c>
      <c r="L366" t="s">
        <v>22</v>
      </c>
      <c r="M366" s="12" t="s">
        <v>23</v>
      </c>
      <c r="N366">
        <v>6</v>
      </c>
      <c r="O366">
        <v>0</v>
      </c>
      <c r="P366" t="s">
        <v>19</v>
      </c>
      <c r="Q366" s="6">
        <v>110</v>
      </c>
      <c r="R366" t="str">
        <f t="shared" si="15"/>
        <v>Phiola's 5 Star Short Let Apartment in Lekki_x000C_</v>
      </c>
      <c r="S366" t="str">
        <f t="shared" si="16"/>
        <v>Phiola's 5 Star Short Let Apartment in Lekki</v>
      </c>
      <c r="T366">
        <f>Table1[[#This Row],[Adults]]+Table1[[#This Row],[Children]]</f>
        <v>6</v>
      </c>
      <c r="U366">
        <f>_xlfn.DAYS(Table1[[#This Row],[Depart]],Table1[[#This Row],[Arrive]])</f>
        <v>1</v>
      </c>
    </row>
    <row r="367" spans="1:21" x14ac:dyDescent="0.25">
      <c r="A367" t="s">
        <v>521</v>
      </c>
      <c r="B367" t="s">
        <v>522</v>
      </c>
      <c r="C367" t="s">
        <v>1173</v>
      </c>
      <c r="D367" s="1">
        <v>44045</v>
      </c>
      <c r="E367" s="1">
        <v>44046</v>
      </c>
      <c r="F367">
        <f t="shared" si="17"/>
        <v>1</v>
      </c>
      <c r="G367" s="1">
        <v>44040</v>
      </c>
      <c r="H367" s="2">
        <v>0.33333333333333331</v>
      </c>
      <c r="I367" s="3">
        <v>1</v>
      </c>
      <c r="J367" t="s">
        <v>1550</v>
      </c>
      <c r="K367" t="s">
        <v>1550</v>
      </c>
      <c r="L367" t="s">
        <v>22</v>
      </c>
      <c r="M367" s="12" t="s">
        <v>23</v>
      </c>
      <c r="N367">
        <v>5</v>
      </c>
      <c r="O367">
        <v>0</v>
      </c>
      <c r="P367" t="s">
        <v>19</v>
      </c>
      <c r="Q367" s="6">
        <v>110</v>
      </c>
      <c r="R367" t="str">
        <f t="shared" si="15"/>
        <v xml:space="preserve"> The Daniels 5 Star Short Let Apartment in Lekki_x000C_</v>
      </c>
      <c r="S367" t="str">
        <f t="shared" si="16"/>
        <v xml:space="preserve"> The Daniels 5 Star Short Let Apartment in Lekki</v>
      </c>
      <c r="T367">
        <f>Table1[[#This Row],[Adults]]+Table1[[#This Row],[Children]]</f>
        <v>5</v>
      </c>
      <c r="U367">
        <f>_xlfn.DAYS(Table1[[#This Row],[Depart]],Table1[[#This Row],[Arrive]])</f>
        <v>1</v>
      </c>
    </row>
    <row r="368" spans="1:21" x14ac:dyDescent="0.25">
      <c r="A368" t="s">
        <v>527</v>
      </c>
      <c r="B368" t="s">
        <v>528</v>
      </c>
      <c r="C368" t="s">
        <v>1180</v>
      </c>
      <c r="D368" s="1">
        <v>44045</v>
      </c>
      <c r="E368" s="1">
        <v>44048</v>
      </c>
      <c r="F368">
        <f t="shared" si="17"/>
        <v>3</v>
      </c>
      <c r="G368" s="1">
        <v>44037</v>
      </c>
      <c r="H368" s="2">
        <v>0.58333333333333337</v>
      </c>
      <c r="I368" s="2">
        <v>0.45833333333333331</v>
      </c>
      <c r="J368" t="s">
        <v>1555</v>
      </c>
      <c r="K368" t="s">
        <v>1555</v>
      </c>
      <c r="L368" t="s">
        <v>22</v>
      </c>
      <c r="M368" s="12" t="s">
        <v>23</v>
      </c>
      <c r="N368">
        <v>8</v>
      </c>
      <c r="O368">
        <v>0</v>
      </c>
      <c r="P368" t="s">
        <v>19</v>
      </c>
      <c r="Q368" s="6">
        <v>450</v>
      </c>
      <c r="R368" t="str">
        <f t="shared" si="15"/>
        <v>Zoe's 5 Star Short let Apartment in Lekki_x000C_</v>
      </c>
      <c r="S368" t="str">
        <f t="shared" si="16"/>
        <v>Zoe's 5 Star Short let Apartment in Lekki</v>
      </c>
      <c r="T368">
        <f>Table1[[#This Row],[Adults]]+Table1[[#This Row],[Children]]</f>
        <v>8</v>
      </c>
      <c r="U368">
        <f>_xlfn.DAYS(Table1[[#This Row],[Depart]],Table1[[#This Row],[Arrive]])</f>
        <v>3</v>
      </c>
    </row>
    <row r="369" spans="1:21" x14ac:dyDescent="0.25">
      <c r="A369" t="s">
        <v>484</v>
      </c>
      <c r="B369" t="s">
        <v>485</v>
      </c>
      <c r="C369" t="s">
        <v>1178</v>
      </c>
      <c r="D369" s="1">
        <v>44045</v>
      </c>
      <c r="E369" s="1">
        <v>44046</v>
      </c>
      <c r="F369">
        <f t="shared" si="17"/>
        <v>1</v>
      </c>
      <c r="G369" s="1">
        <v>44045</v>
      </c>
      <c r="H369" s="2">
        <v>0.58333333333333337</v>
      </c>
      <c r="I369" s="2">
        <v>0.45833333333333331</v>
      </c>
      <c r="J369" s="4" t="s">
        <v>1577</v>
      </c>
      <c r="K369" s="4" t="s">
        <v>1577</v>
      </c>
      <c r="L369" t="s">
        <v>22</v>
      </c>
      <c r="M369" s="12" t="s">
        <v>23</v>
      </c>
      <c r="N369">
        <v>6</v>
      </c>
      <c r="O369">
        <v>0</v>
      </c>
      <c r="P369" t="s">
        <v>19</v>
      </c>
      <c r="Q369" s="6">
        <v>110</v>
      </c>
      <c r="R369" t="str">
        <f t="shared" si="15"/>
        <v>Ope's 5 Star Short Let Apartment in Lekki_x000C_</v>
      </c>
      <c r="S369" t="str">
        <f t="shared" si="16"/>
        <v>Ope's 5 Star Short Let Apartment in Lekki</v>
      </c>
      <c r="T369">
        <f>Table1[[#This Row],[Adults]]+Table1[[#This Row],[Children]]</f>
        <v>6</v>
      </c>
      <c r="U369">
        <f>_xlfn.DAYS(Table1[[#This Row],[Depart]],Table1[[#This Row],[Arrive]])</f>
        <v>1</v>
      </c>
    </row>
    <row r="370" spans="1:21" x14ac:dyDescent="0.25">
      <c r="A370" t="s">
        <v>212</v>
      </c>
      <c r="B370" t="s">
        <v>213</v>
      </c>
      <c r="C370" t="s">
        <v>1178</v>
      </c>
      <c r="D370" s="1">
        <v>44046</v>
      </c>
      <c r="E370" s="1">
        <v>44053</v>
      </c>
      <c r="F370">
        <f t="shared" si="17"/>
        <v>7</v>
      </c>
      <c r="G370" s="1">
        <v>43959</v>
      </c>
      <c r="H370" s="2">
        <v>0.33333333333333331</v>
      </c>
      <c r="I370" s="3">
        <v>1</v>
      </c>
      <c r="J370" t="s">
        <v>1329</v>
      </c>
      <c r="K370" t="s">
        <v>1329</v>
      </c>
      <c r="L370" t="s">
        <v>26</v>
      </c>
      <c r="M370" s="12" t="s">
        <v>18</v>
      </c>
      <c r="N370">
        <v>1</v>
      </c>
      <c r="O370">
        <v>0</v>
      </c>
      <c r="P370" t="s">
        <v>19</v>
      </c>
      <c r="Q370" s="6">
        <v>720</v>
      </c>
      <c r="R370" t="str">
        <f t="shared" si="15"/>
        <v>Ope's 5 Star Short Let Apartment in Lekki_x000C_</v>
      </c>
      <c r="S370" t="str">
        <f t="shared" si="16"/>
        <v>Ope's 5 Star Short Let Apartment in Lekki</v>
      </c>
      <c r="T370">
        <f>Table1[[#This Row],[Adults]]+Table1[[#This Row],[Children]]</f>
        <v>1</v>
      </c>
      <c r="U370">
        <f>_xlfn.DAYS(Table1[[#This Row],[Depart]],Table1[[#This Row],[Arrive]])</f>
        <v>7</v>
      </c>
    </row>
    <row r="371" spans="1:21" x14ac:dyDescent="0.25">
      <c r="A371" t="s">
        <v>516</v>
      </c>
      <c r="B371" t="s">
        <v>517</v>
      </c>
      <c r="C371" t="s">
        <v>1175</v>
      </c>
      <c r="D371" s="1">
        <v>44046</v>
      </c>
      <c r="E371" s="1">
        <v>44047</v>
      </c>
      <c r="F371">
        <f t="shared" si="17"/>
        <v>1</v>
      </c>
      <c r="G371" s="1">
        <v>44039</v>
      </c>
      <c r="H371" s="2">
        <v>0.33333333333333331</v>
      </c>
      <c r="I371" s="3">
        <v>1</v>
      </c>
      <c r="J371" t="s">
        <v>1548</v>
      </c>
      <c r="K371" t="s">
        <v>1548</v>
      </c>
      <c r="L371" t="s">
        <v>22</v>
      </c>
      <c r="M371" s="12" t="s">
        <v>23</v>
      </c>
      <c r="N371">
        <v>6</v>
      </c>
      <c r="O371">
        <v>0</v>
      </c>
      <c r="P371" t="s">
        <v>19</v>
      </c>
      <c r="Q371" s="6">
        <v>110</v>
      </c>
      <c r="R371" t="str">
        <f t="shared" si="15"/>
        <v>Keji's 5 Star Short let Apartment in Lekki_x000C_</v>
      </c>
      <c r="S371" t="str">
        <f t="shared" si="16"/>
        <v>Keji's 5 Star Short let Apartment in Lekki</v>
      </c>
      <c r="T371">
        <f>Table1[[#This Row],[Adults]]+Table1[[#This Row],[Children]]</f>
        <v>6</v>
      </c>
      <c r="U371">
        <f>_xlfn.DAYS(Table1[[#This Row],[Depart]],Table1[[#This Row],[Arrive]])</f>
        <v>1</v>
      </c>
    </row>
    <row r="372" spans="1:21" x14ac:dyDescent="0.25">
      <c r="A372" t="s">
        <v>308</v>
      </c>
      <c r="B372" t="s">
        <v>309</v>
      </c>
      <c r="C372" t="s">
        <v>1179</v>
      </c>
      <c r="D372" s="1">
        <v>44046</v>
      </c>
      <c r="E372" s="1">
        <v>44047</v>
      </c>
      <c r="F372">
        <f t="shared" si="17"/>
        <v>1</v>
      </c>
      <c r="G372" s="1">
        <v>44038</v>
      </c>
      <c r="H372" s="2">
        <v>0.33333333333333331</v>
      </c>
      <c r="I372" s="3">
        <v>1</v>
      </c>
      <c r="J372" t="s">
        <v>1556</v>
      </c>
      <c r="K372" t="s">
        <v>1556</v>
      </c>
      <c r="L372" t="s">
        <v>22</v>
      </c>
      <c r="M372" s="12" t="s">
        <v>18</v>
      </c>
      <c r="N372">
        <v>4</v>
      </c>
      <c r="O372">
        <v>0</v>
      </c>
      <c r="P372" t="s">
        <v>19</v>
      </c>
      <c r="Q372" s="6">
        <v>110</v>
      </c>
      <c r="R372" t="str">
        <f t="shared" si="15"/>
        <v>Phiola's 5 Star Short Let Apartment in Lekki_x000C_</v>
      </c>
      <c r="S372" t="str">
        <f t="shared" si="16"/>
        <v>Phiola's 5 Star Short Let Apartment in Lekki</v>
      </c>
      <c r="T372">
        <f>Table1[[#This Row],[Adults]]+Table1[[#This Row],[Children]]</f>
        <v>4</v>
      </c>
      <c r="U372">
        <f>_xlfn.DAYS(Table1[[#This Row],[Depart]],Table1[[#This Row],[Arrive]])</f>
        <v>1</v>
      </c>
    </row>
    <row r="373" spans="1:21" x14ac:dyDescent="0.25">
      <c r="A373" t="s">
        <v>537</v>
      </c>
      <c r="B373" t="s">
        <v>538</v>
      </c>
      <c r="C373" t="s">
        <v>1179</v>
      </c>
      <c r="D373" s="1">
        <v>44046</v>
      </c>
      <c r="E373" s="1">
        <v>44049</v>
      </c>
      <c r="F373">
        <f t="shared" si="17"/>
        <v>3</v>
      </c>
      <c r="G373" s="1">
        <v>44041</v>
      </c>
      <c r="H373" s="2">
        <v>0.33333333333333331</v>
      </c>
      <c r="I373" s="3">
        <v>1</v>
      </c>
      <c r="J373" t="s">
        <v>1562</v>
      </c>
      <c r="K373" t="s">
        <v>1562</v>
      </c>
      <c r="L373" t="s">
        <v>22</v>
      </c>
      <c r="M373" s="12" t="s">
        <v>23</v>
      </c>
      <c r="N373">
        <v>6</v>
      </c>
      <c r="O373">
        <v>0</v>
      </c>
      <c r="P373" t="s">
        <v>19</v>
      </c>
      <c r="Q373" s="6">
        <v>330</v>
      </c>
      <c r="R373" t="str">
        <f t="shared" si="15"/>
        <v>Phiola's 5 Star Short Let Apartment in Lekki_x000C_</v>
      </c>
      <c r="S373" t="str">
        <f t="shared" si="16"/>
        <v>Phiola's 5 Star Short Let Apartment in Lekki</v>
      </c>
      <c r="T373">
        <f>Table1[[#This Row],[Adults]]+Table1[[#This Row],[Children]]</f>
        <v>6</v>
      </c>
      <c r="U373">
        <f>_xlfn.DAYS(Table1[[#This Row],[Depart]],Table1[[#This Row],[Arrive]])</f>
        <v>3</v>
      </c>
    </row>
    <row r="374" spans="1:21" x14ac:dyDescent="0.25">
      <c r="A374" t="s">
        <v>553</v>
      </c>
      <c r="B374" t="s">
        <v>554</v>
      </c>
      <c r="C374" t="s">
        <v>1173</v>
      </c>
      <c r="D374" s="1">
        <v>44046</v>
      </c>
      <c r="E374" s="1">
        <v>44048</v>
      </c>
      <c r="F374">
        <f t="shared" si="17"/>
        <v>2</v>
      </c>
      <c r="G374" s="1">
        <v>44045</v>
      </c>
      <c r="H374" s="2">
        <v>0.33333333333333331</v>
      </c>
      <c r="I374" s="3">
        <v>1</v>
      </c>
      <c r="J374" t="s">
        <v>1576</v>
      </c>
      <c r="K374" t="s">
        <v>1576</v>
      </c>
      <c r="L374" t="s">
        <v>22</v>
      </c>
      <c r="M374" s="12" t="s">
        <v>23</v>
      </c>
      <c r="N374">
        <v>6</v>
      </c>
      <c r="O374">
        <v>0</v>
      </c>
      <c r="P374" t="s">
        <v>19</v>
      </c>
      <c r="Q374" s="6">
        <v>220</v>
      </c>
      <c r="R374" t="str">
        <f t="shared" si="15"/>
        <v xml:space="preserve"> The Daniels 5 Star Short Let Apartment in Lekki_x000C_</v>
      </c>
      <c r="S374" t="str">
        <f t="shared" si="16"/>
        <v xml:space="preserve"> The Daniels 5 Star Short Let Apartment in Lekki</v>
      </c>
      <c r="T374">
        <f>Table1[[#This Row],[Adults]]+Table1[[#This Row],[Children]]</f>
        <v>6</v>
      </c>
      <c r="U374">
        <f>_xlfn.DAYS(Table1[[#This Row],[Depart]],Table1[[#This Row],[Arrive]])</f>
        <v>2</v>
      </c>
    </row>
    <row r="375" spans="1:21" x14ac:dyDescent="0.25">
      <c r="A375" t="s">
        <v>428</v>
      </c>
      <c r="B375" t="s">
        <v>429</v>
      </c>
      <c r="C375" t="s">
        <v>1175</v>
      </c>
      <c r="D375" s="1">
        <v>44047</v>
      </c>
      <c r="E375" s="1">
        <v>44050</v>
      </c>
      <c r="F375">
        <f t="shared" si="17"/>
        <v>3</v>
      </c>
      <c r="G375" s="1">
        <v>44018</v>
      </c>
      <c r="H375" s="2">
        <v>0.33333333333333331</v>
      </c>
      <c r="I375" s="3">
        <v>1</v>
      </c>
      <c r="J375" t="s">
        <v>1484</v>
      </c>
      <c r="K375" t="s">
        <v>1484</v>
      </c>
      <c r="L375" t="s">
        <v>22</v>
      </c>
      <c r="M375" s="12" t="s">
        <v>23</v>
      </c>
      <c r="N375">
        <v>7</v>
      </c>
      <c r="O375">
        <v>0</v>
      </c>
      <c r="P375" t="s">
        <v>19</v>
      </c>
      <c r="Q375" s="6">
        <v>465</v>
      </c>
      <c r="R375" t="str">
        <f t="shared" si="15"/>
        <v>Keji's 5 Star Short let Apartment in Lekki_x000C_</v>
      </c>
      <c r="S375" t="str">
        <f t="shared" si="16"/>
        <v>Keji's 5 Star Short let Apartment in Lekki</v>
      </c>
      <c r="T375">
        <f>Table1[[#This Row],[Adults]]+Table1[[#This Row],[Children]]</f>
        <v>7</v>
      </c>
      <c r="U375">
        <f>_xlfn.DAYS(Table1[[#This Row],[Depart]],Table1[[#This Row],[Arrive]])</f>
        <v>3</v>
      </c>
    </row>
    <row r="376" spans="1:21" x14ac:dyDescent="0.25">
      <c r="A376" t="s">
        <v>543</v>
      </c>
      <c r="B376" t="s">
        <v>544</v>
      </c>
      <c r="C376" t="s">
        <v>1180</v>
      </c>
      <c r="D376" s="1">
        <v>44048</v>
      </c>
      <c r="E376" s="1">
        <v>44050</v>
      </c>
      <c r="F376">
        <f t="shared" si="17"/>
        <v>2</v>
      </c>
      <c r="G376" s="1">
        <v>44044</v>
      </c>
      <c r="H376" s="2">
        <v>0.58333333333333337</v>
      </c>
      <c r="I376" s="2">
        <v>0.45833333333333331</v>
      </c>
      <c r="J376" t="s">
        <v>1567</v>
      </c>
      <c r="K376" t="s">
        <v>1567</v>
      </c>
      <c r="L376" t="s">
        <v>22</v>
      </c>
      <c r="M376" s="12" t="s">
        <v>23</v>
      </c>
      <c r="N376">
        <v>4</v>
      </c>
      <c r="O376">
        <v>0</v>
      </c>
      <c r="P376" t="s">
        <v>19</v>
      </c>
      <c r="Q376" s="6">
        <v>220</v>
      </c>
      <c r="R376" t="str">
        <f t="shared" si="15"/>
        <v>Zoe's 5 Star Short let Apartment in Lekki_x000C_</v>
      </c>
      <c r="S376" t="str">
        <f t="shared" si="16"/>
        <v>Zoe's 5 Star Short let Apartment in Lekki</v>
      </c>
      <c r="T376">
        <f>Table1[[#This Row],[Adults]]+Table1[[#This Row],[Children]]</f>
        <v>4</v>
      </c>
      <c r="U376">
        <f>_xlfn.DAYS(Table1[[#This Row],[Depart]],Table1[[#This Row],[Arrive]])</f>
        <v>2</v>
      </c>
    </row>
    <row r="377" spans="1:21" x14ac:dyDescent="0.25">
      <c r="A377" t="s">
        <v>543</v>
      </c>
      <c r="B377" t="s">
        <v>544</v>
      </c>
      <c r="C377" t="s">
        <v>1173</v>
      </c>
      <c r="D377" s="1">
        <v>44048</v>
      </c>
      <c r="E377" s="1">
        <v>44050</v>
      </c>
      <c r="F377">
        <f t="shared" si="17"/>
        <v>2</v>
      </c>
      <c r="G377" s="1">
        <v>44043</v>
      </c>
      <c r="H377" s="2">
        <v>0.33333333333333331</v>
      </c>
      <c r="I377" s="3">
        <v>1</v>
      </c>
      <c r="J377" t="s">
        <v>1568</v>
      </c>
      <c r="K377" t="s">
        <v>1568</v>
      </c>
      <c r="L377" t="s">
        <v>22</v>
      </c>
      <c r="M377" s="12" t="s">
        <v>18</v>
      </c>
      <c r="N377">
        <v>4</v>
      </c>
      <c r="O377">
        <v>0</v>
      </c>
      <c r="P377" t="s">
        <v>19</v>
      </c>
      <c r="Q377" s="6">
        <v>220</v>
      </c>
      <c r="R377" t="str">
        <f t="shared" si="15"/>
        <v xml:space="preserve"> The Daniels 5 Star Short Let Apartment in Lekki_x000C_</v>
      </c>
      <c r="S377" t="str">
        <f t="shared" si="16"/>
        <v xml:space="preserve"> The Daniels 5 Star Short Let Apartment in Lekki</v>
      </c>
      <c r="T377">
        <f>Table1[[#This Row],[Adults]]+Table1[[#This Row],[Children]]</f>
        <v>4</v>
      </c>
      <c r="U377">
        <f>_xlfn.DAYS(Table1[[#This Row],[Depart]],Table1[[#This Row],[Arrive]])</f>
        <v>2</v>
      </c>
    </row>
    <row r="378" spans="1:21" x14ac:dyDescent="0.25">
      <c r="A378" t="s">
        <v>545</v>
      </c>
      <c r="B378" t="s">
        <v>546</v>
      </c>
      <c r="C378" t="s">
        <v>1173</v>
      </c>
      <c r="D378" s="1">
        <v>44048</v>
      </c>
      <c r="E378" s="1">
        <v>44049</v>
      </c>
      <c r="F378">
        <f t="shared" si="17"/>
        <v>1</v>
      </c>
      <c r="G378" s="1">
        <v>44044</v>
      </c>
      <c r="H378" s="2">
        <v>0.33333333333333331</v>
      </c>
      <c r="I378" s="3">
        <v>1</v>
      </c>
      <c r="J378" t="s">
        <v>1569</v>
      </c>
      <c r="K378" t="s">
        <v>1569</v>
      </c>
      <c r="L378" t="s">
        <v>22</v>
      </c>
      <c r="M378" s="12" t="s">
        <v>23</v>
      </c>
      <c r="N378">
        <v>6</v>
      </c>
      <c r="O378">
        <v>0</v>
      </c>
      <c r="P378" t="s">
        <v>19</v>
      </c>
      <c r="Q378" s="6">
        <v>110</v>
      </c>
      <c r="R378" t="str">
        <f t="shared" si="15"/>
        <v xml:space="preserve"> The Daniels 5 Star Short Let Apartment in Lekki_x000C_</v>
      </c>
      <c r="S378" t="str">
        <f t="shared" si="16"/>
        <v xml:space="preserve"> The Daniels 5 Star Short Let Apartment in Lekki</v>
      </c>
      <c r="T378">
        <f>Table1[[#This Row],[Adults]]+Table1[[#This Row],[Children]]</f>
        <v>6</v>
      </c>
      <c r="U378">
        <f>_xlfn.DAYS(Table1[[#This Row],[Depart]],Table1[[#This Row],[Arrive]])</f>
        <v>1</v>
      </c>
    </row>
    <row r="379" spans="1:21" x14ac:dyDescent="0.25">
      <c r="A379" t="s">
        <v>424</v>
      </c>
      <c r="B379" t="s">
        <v>425</v>
      </c>
      <c r="C379" t="s">
        <v>1173</v>
      </c>
      <c r="D379" s="1">
        <v>44049</v>
      </c>
      <c r="E379" s="1">
        <v>44058</v>
      </c>
      <c r="F379">
        <f t="shared" si="17"/>
        <v>9</v>
      </c>
      <c r="G379" s="1">
        <v>44017</v>
      </c>
      <c r="H379" s="2">
        <v>0.33333333333333331</v>
      </c>
      <c r="I379" s="3">
        <v>1</v>
      </c>
      <c r="J379" t="s">
        <v>1482</v>
      </c>
      <c r="K379" t="s">
        <v>1482</v>
      </c>
      <c r="L379" t="s">
        <v>26</v>
      </c>
      <c r="M379" s="12" t="s">
        <v>18</v>
      </c>
      <c r="N379">
        <v>1</v>
      </c>
      <c r="O379">
        <v>0</v>
      </c>
      <c r="P379" t="s">
        <v>19</v>
      </c>
      <c r="Q379" s="6">
        <v>1101</v>
      </c>
      <c r="R379" t="str">
        <f t="shared" si="15"/>
        <v xml:space="preserve"> The Daniels 5 Star Short Let Apartment in Lekki_x000C_</v>
      </c>
      <c r="S379" t="str">
        <f t="shared" si="16"/>
        <v xml:space="preserve"> The Daniels 5 Star Short Let Apartment in Lekki</v>
      </c>
      <c r="T379">
        <f>Table1[[#This Row],[Adults]]+Table1[[#This Row],[Children]]</f>
        <v>1</v>
      </c>
      <c r="U379">
        <f>_xlfn.DAYS(Table1[[#This Row],[Depart]],Table1[[#This Row],[Arrive]])</f>
        <v>9</v>
      </c>
    </row>
    <row r="380" spans="1:21" x14ac:dyDescent="0.25">
      <c r="A380" t="s">
        <v>242</v>
      </c>
      <c r="B380" t="s">
        <v>243</v>
      </c>
      <c r="C380" t="s">
        <v>1179</v>
      </c>
      <c r="D380" s="1">
        <v>44049</v>
      </c>
      <c r="E380" s="1">
        <v>44051</v>
      </c>
      <c r="F380">
        <f t="shared" si="17"/>
        <v>2</v>
      </c>
      <c r="G380" s="1">
        <v>44041</v>
      </c>
      <c r="H380" s="2">
        <v>0.33333333333333331</v>
      </c>
      <c r="I380" s="3">
        <v>1</v>
      </c>
      <c r="J380" t="s">
        <v>1573</v>
      </c>
      <c r="K380" t="s">
        <v>1573</v>
      </c>
      <c r="L380" t="s">
        <v>22</v>
      </c>
      <c r="M380" s="12" t="s">
        <v>18</v>
      </c>
      <c r="N380">
        <v>5</v>
      </c>
      <c r="O380">
        <v>0</v>
      </c>
      <c r="P380" t="s">
        <v>19</v>
      </c>
      <c r="Q380" s="6">
        <v>220</v>
      </c>
      <c r="R380" t="str">
        <f t="shared" si="15"/>
        <v>Phiola's 5 Star Short Let Apartment in Lekki_x000C_</v>
      </c>
      <c r="S380" t="str">
        <f t="shared" si="16"/>
        <v>Phiola's 5 Star Short Let Apartment in Lekki</v>
      </c>
      <c r="T380">
        <f>Table1[[#This Row],[Adults]]+Table1[[#This Row],[Children]]</f>
        <v>5</v>
      </c>
      <c r="U380">
        <f>_xlfn.DAYS(Table1[[#This Row],[Depart]],Table1[[#This Row],[Arrive]])</f>
        <v>2</v>
      </c>
    </row>
    <row r="381" spans="1:21" x14ac:dyDescent="0.25">
      <c r="A381" t="s">
        <v>296</v>
      </c>
      <c r="B381" t="s">
        <v>297</v>
      </c>
      <c r="C381" t="s">
        <v>1178</v>
      </c>
      <c r="D381" s="1">
        <v>44049</v>
      </c>
      <c r="E381" s="1">
        <v>44050</v>
      </c>
      <c r="F381">
        <f t="shared" si="17"/>
        <v>1</v>
      </c>
      <c r="G381" s="1">
        <v>44048</v>
      </c>
      <c r="H381" s="2">
        <v>0.58333333333333337</v>
      </c>
      <c r="I381" s="2">
        <v>0.45833333333333331</v>
      </c>
      <c r="J381" t="s">
        <v>1585</v>
      </c>
      <c r="K381" t="s">
        <v>1585</v>
      </c>
      <c r="L381" t="s">
        <v>22</v>
      </c>
      <c r="M381" s="12" t="s">
        <v>18</v>
      </c>
      <c r="N381">
        <v>4</v>
      </c>
      <c r="O381">
        <v>0</v>
      </c>
      <c r="P381" t="s">
        <v>19</v>
      </c>
      <c r="Q381" s="6">
        <v>110</v>
      </c>
      <c r="R381" t="str">
        <f t="shared" si="15"/>
        <v>Ope's 5 Star Short Let Apartment in Lekki_x000C_</v>
      </c>
      <c r="S381" t="str">
        <f t="shared" si="16"/>
        <v>Ope's 5 Star Short Let Apartment in Lekki</v>
      </c>
      <c r="T381">
        <f>Table1[[#This Row],[Adults]]+Table1[[#This Row],[Children]]</f>
        <v>4</v>
      </c>
      <c r="U381">
        <f>_xlfn.DAYS(Table1[[#This Row],[Depart]],Table1[[#This Row],[Arrive]])</f>
        <v>1</v>
      </c>
    </row>
    <row r="382" spans="1:21" x14ac:dyDescent="0.25">
      <c r="A382" t="s">
        <v>296</v>
      </c>
      <c r="B382" t="s">
        <v>297</v>
      </c>
      <c r="C382" t="s">
        <v>1173</v>
      </c>
      <c r="D382" s="1">
        <v>44049</v>
      </c>
      <c r="E382" s="1">
        <v>44050</v>
      </c>
      <c r="F382">
        <f t="shared" si="17"/>
        <v>1</v>
      </c>
      <c r="G382" s="1">
        <v>44048</v>
      </c>
      <c r="H382" s="2">
        <v>0.33333333333333331</v>
      </c>
      <c r="I382" s="3">
        <v>1</v>
      </c>
      <c r="J382" t="s">
        <v>1586</v>
      </c>
      <c r="K382" t="s">
        <v>1586</v>
      </c>
      <c r="L382" t="s">
        <v>22</v>
      </c>
      <c r="M382" s="12" t="s">
        <v>18</v>
      </c>
      <c r="N382">
        <v>4</v>
      </c>
      <c r="O382">
        <v>0</v>
      </c>
      <c r="P382" t="s">
        <v>19</v>
      </c>
      <c r="Q382" s="6">
        <v>110</v>
      </c>
      <c r="R382" t="str">
        <f t="shared" si="15"/>
        <v xml:space="preserve"> The Daniels 5 Star Short Let Apartment in Lekki_x000C_</v>
      </c>
      <c r="S382" t="str">
        <f t="shared" si="16"/>
        <v xml:space="preserve"> The Daniels 5 Star Short Let Apartment in Lekki</v>
      </c>
      <c r="T382">
        <f>Table1[[#This Row],[Adults]]+Table1[[#This Row],[Children]]</f>
        <v>4</v>
      </c>
      <c r="U382">
        <f>_xlfn.DAYS(Table1[[#This Row],[Depart]],Table1[[#This Row],[Arrive]])</f>
        <v>1</v>
      </c>
    </row>
    <row r="383" spans="1:21" x14ac:dyDescent="0.25">
      <c r="A383" t="s">
        <v>557</v>
      </c>
      <c r="B383" t="s">
        <v>558</v>
      </c>
      <c r="C383" t="s">
        <v>1179</v>
      </c>
      <c r="D383" s="1">
        <v>44049</v>
      </c>
      <c r="E383" s="1">
        <v>44050</v>
      </c>
      <c r="F383">
        <f t="shared" si="17"/>
        <v>1</v>
      </c>
      <c r="G383" s="1">
        <v>44045</v>
      </c>
      <c r="H383" s="2">
        <v>0.33333333333333331</v>
      </c>
      <c r="I383" s="3">
        <v>1</v>
      </c>
      <c r="J383" t="s">
        <v>1587</v>
      </c>
      <c r="K383" t="s">
        <v>1587</v>
      </c>
      <c r="L383" t="s">
        <v>22</v>
      </c>
      <c r="M383" s="12" t="s">
        <v>18</v>
      </c>
      <c r="N383">
        <v>5</v>
      </c>
      <c r="O383">
        <v>0</v>
      </c>
      <c r="P383" t="s">
        <v>19</v>
      </c>
      <c r="Q383" s="6">
        <v>220</v>
      </c>
      <c r="R383" t="str">
        <f t="shared" si="15"/>
        <v>Phiola's 5 Star Short Let Apartment in Lekki_x000C_</v>
      </c>
      <c r="S383" t="str">
        <f t="shared" si="16"/>
        <v>Phiola's 5 Star Short Let Apartment in Lekki</v>
      </c>
      <c r="T383">
        <f>Table1[[#This Row],[Adults]]+Table1[[#This Row],[Children]]</f>
        <v>5</v>
      </c>
      <c r="U383">
        <f>_xlfn.DAYS(Table1[[#This Row],[Depart]],Table1[[#This Row],[Arrive]])</f>
        <v>1</v>
      </c>
    </row>
    <row r="384" spans="1:21" x14ac:dyDescent="0.25">
      <c r="A384" t="s">
        <v>296</v>
      </c>
      <c r="B384" t="s">
        <v>297</v>
      </c>
      <c r="C384" t="s">
        <v>1179</v>
      </c>
      <c r="D384" s="1">
        <v>44049</v>
      </c>
      <c r="E384" s="1">
        <v>44050</v>
      </c>
      <c r="F384">
        <f t="shared" si="17"/>
        <v>1</v>
      </c>
      <c r="G384" s="1">
        <v>44049</v>
      </c>
      <c r="H384" s="2">
        <v>0.33333333333333331</v>
      </c>
      <c r="I384" s="3">
        <v>1</v>
      </c>
      <c r="J384" t="s">
        <v>1588</v>
      </c>
      <c r="K384" t="s">
        <v>1588</v>
      </c>
      <c r="L384" t="s">
        <v>22</v>
      </c>
      <c r="M384" s="12" t="s">
        <v>23</v>
      </c>
      <c r="N384">
        <v>4</v>
      </c>
      <c r="O384">
        <v>0</v>
      </c>
      <c r="P384" t="s">
        <v>19</v>
      </c>
      <c r="Q384" s="6">
        <v>110</v>
      </c>
      <c r="R384" t="str">
        <f t="shared" si="15"/>
        <v>Phiola's 5 Star Short Let Apartment in Lekki_x000C_</v>
      </c>
      <c r="S384" t="str">
        <f t="shared" si="16"/>
        <v>Phiola's 5 Star Short Let Apartment in Lekki</v>
      </c>
      <c r="T384">
        <f>Table1[[#This Row],[Adults]]+Table1[[#This Row],[Children]]</f>
        <v>4</v>
      </c>
      <c r="U384">
        <f>_xlfn.DAYS(Table1[[#This Row],[Depart]],Table1[[#This Row],[Arrive]])</f>
        <v>1</v>
      </c>
    </row>
    <row r="385" spans="1:21" x14ac:dyDescent="0.25">
      <c r="A385" t="s">
        <v>561</v>
      </c>
      <c r="B385" t="s">
        <v>562</v>
      </c>
      <c r="C385" t="s">
        <v>1173</v>
      </c>
      <c r="D385" s="1">
        <v>44049</v>
      </c>
      <c r="E385" s="1">
        <v>44050</v>
      </c>
      <c r="F385">
        <f t="shared" si="17"/>
        <v>1</v>
      </c>
      <c r="G385" s="1">
        <v>44049</v>
      </c>
      <c r="H385" s="2">
        <v>0.33333333333333331</v>
      </c>
      <c r="I385" s="3">
        <v>1</v>
      </c>
      <c r="J385" t="s">
        <v>1590</v>
      </c>
      <c r="K385" t="s">
        <v>1590</v>
      </c>
      <c r="L385" t="s">
        <v>22</v>
      </c>
      <c r="M385" s="12" t="s">
        <v>23</v>
      </c>
      <c r="N385">
        <v>5</v>
      </c>
      <c r="O385">
        <v>0</v>
      </c>
      <c r="P385" t="s">
        <v>19</v>
      </c>
      <c r="Q385" s="6">
        <v>110</v>
      </c>
      <c r="R385" t="str">
        <f t="shared" si="15"/>
        <v xml:space="preserve"> The Daniels 5 Star Short Let Apartment in Lekki_x000C_</v>
      </c>
      <c r="S385" t="str">
        <f t="shared" si="16"/>
        <v xml:space="preserve"> The Daniels 5 Star Short Let Apartment in Lekki</v>
      </c>
      <c r="T385">
        <f>Table1[[#This Row],[Adults]]+Table1[[#This Row],[Children]]</f>
        <v>5</v>
      </c>
      <c r="U385">
        <f>_xlfn.DAYS(Table1[[#This Row],[Depart]],Table1[[#This Row],[Arrive]])</f>
        <v>1</v>
      </c>
    </row>
    <row r="386" spans="1:21" x14ac:dyDescent="0.25">
      <c r="A386" t="s">
        <v>478</v>
      </c>
      <c r="B386" t="s">
        <v>479</v>
      </c>
      <c r="C386" t="s">
        <v>1173</v>
      </c>
      <c r="D386" s="1">
        <v>44050</v>
      </c>
      <c r="E386" s="1">
        <v>44052</v>
      </c>
      <c r="F386">
        <f t="shared" si="17"/>
        <v>2</v>
      </c>
      <c r="G386" s="1">
        <v>44026</v>
      </c>
      <c r="H386" s="2">
        <v>0.33333333333333331</v>
      </c>
      <c r="I386" s="3">
        <v>1</v>
      </c>
      <c r="J386" t="s">
        <v>1520</v>
      </c>
      <c r="K386" t="s">
        <v>1520</v>
      </c>
      <c r="L386" t="s">
        <v>22</v>
      </c>
      <c r="M386" s="12" t="s">
        <v>23</v>
      </c>
      <c r="N386">
        <v>1</v>
      </c>
      <c r="O386">
        <v>0</v>
      </c>
      <c r="P386" t="s">
        <v>19</v>
      </c>
      <c r="Q386" s="6">
        <v>103</v>
      </c>
      <c r="R386" t="str">
        <f t="shared" ref="R386:R449" si="18">SUBSTITUTE(C:C,"?","'")</f>
        <v xml:space="preserve"> The Daniels 5 Star Short Let Apartment in Lekki_x000C_</v>
      </c>
      <c r="S386" t="str">
        <f t="shared" ref="S386:S449" si="19">CLEAN(R:R)</f>
        <v xml:space="preserve"> The Daniels 5 Star Short Let Apartment in Lekki</v>
      </c>
      <c r="T386">
        <f>Table1[[#This Row],[Adults]]+Table1[[#This Row],[Children]]</f>
        <v>1</v>
      </c>
      <c r="U386">
        <f>_xlfn.DAYS(Table1[[#This Row],[Depart]],Table1[[#This Row],[Arrive]])</f>
        <v>2</v>
      </c>
    </row>
    <row r="387" spans="1:21" x14ac:dyDescent="0.25">
      <c r="A387" t="s">
        <v>482</v>
      </c>
      <c r="B387" t="s">
        <v>483</v>
      </c>
      <c r="C387" t="s">
        <v>1175</v>
      </c>
      <c r="D387" s="1">
        <v>44050</v>
      </c>
      <c r="E387" s="1">
        <v>44051</v>
      </c>
      <c r="F387">
        <f t="shared" ref="F387:F450" si="20">_xlfn.DAYS(E387,D387)</f>
        <v>1</v>
      </c>
      <c r="G387" s="1">
        <v>44026</v>
      </c>
      <c r="H387" s="2">
        <v>0.33333333333333331</v>
      </c>
      <c r="I387" s="3">
        <v>1</v>
      </c>
      <c r="J387" t="s">
        <v>1522</v>
      </c>
      <c r="K387" t="s">
        <v>1522</v>
      </c>
      <c r="L387" t="s">
        <v>22</v>
      </c>
      <c r="M387" s="12" t="s">
        <v>18</v>
      </c>
      <c r="N387">
        <v>6</v>
      </c>
      <c r="O387">
        <v>0</v>
      </c>
      <c r="P387" t="s">
        <v>19</v>
      </c>
      <c r="Q387" s="6">
        <v>135</v>
      </c>
      <c r="R387" t="str">
        <f t="shared" si="18"/>
        <v>Keji's 5 Star Short let Apartment in Lekki_x000C_</v>
      </c>
      <c r="S387" t="str">
        <f t="shared" si="19"/>
        <v>Keji's 5 Star Short let Apartment in Lekki</v>
      </c>
      <c r="T387">
        <f>Table1[[#This Row],[Adults]]+Table1[[#This Row],[Children]]</f>
        <v>6</v>
      </c>
      <c r="U387">
        <f>_xlfn.DAYS(Table1[[#This Row],[Depart]],Table1[[#This Row],[Arrive]])</f>
        <v>1</v>
      </c>
    </row>
    <row r="388" spans="1:21" x14ac:dyDescent="0.25">
      <c r="A388" t="s">
        <v>272</v>
      </c>
      <c r="B388" t="s">
        <v>273</v>
      </c>
      <c r="C388" t="s">
        <v>1180</v>
      </c>
      <c r="D388" s="1">
        <v>44050</v>
      </c>
      <c r="E388" s="1">
        <v>44052</v>
      </c>
      <c r="F388">
        <f t="shared" si="20"/>
        <v>2</v>
      </c>
      <c r="G388" s="1">
        <v>44039</v>
      </c>
      <c r="H388" s="2">
        <v>0.58333333333333337</v>
      </c>
      <c r="I388" s="2">
        <v>0.45833333333333331</v>
      </c>
      <c r="J388" t="s">
        <v>1551</v>
      </c>
      <c r="K388" t="s">
        <v>1551</v>
      </c>
      <c r="L388" t="s">
        <v>22</v>
      </c>
      <c r="M388" s="12" t="s">
        <v>18</v>
      </c>
      <c r="N388">
        <v>4</v>
      </c>
      <c r="O388">
        <v>0</v>
      </c>
      <c r="P388" t="s">
        <v>19</v>
      </c>
      <c r="Q388" s="6">
        <v>220</v>
      </c>
      <c r="R388" t="str">
        <f t="shared" si="18"/>
        <v>Zoe's 5 Star Short let Apartment in Lekki_x000C_</v>
      </c>
      <c r="S388" t="str">
        <f t="shared" si="19"/>
        <v>Zoe's 5 Star Short let Apartment in Lekki</v>
      </c>
      <c r="T388">
        <f>Table1[[#This Row],[Adults]]+Table1[[#This Row],[Children]]</f>
        <v>4</v>
      </c>
      <c r="U388">
        <f>_xlfn.DAYS(Table1[[#This Row],[Depart]],Table1[[#This Row],[Arrive]])</f>
        <v>2</v>
      </c>
    </row>
    <row r="389" spans="1:21" x14ac:dyDescent="0.25">
      <c r="A389" t="s">
        <v>482</v>
      </c>
      <c r="B389" t="s">
        <v>483</v>
      </c>
      <c r="C389" t="s">
        <v>1180</v>
      </c>
      <c r="D389" s="1">
        <v>44050</v>
      </c>
      <c r="E389" s="1">
        <v>44051</v>
      </c>
      <c r="F389">
        <f t="shared" si="20"/>
        <v>1</v>
      </c>
      <c r="G389" s="1">
        <v>44045</v>
      </c>
      <c r="H389" s="2">
        <v>0.58333333333333337</v>
      </c>
      <c r="I389" s="2">
        <v>0.45833333333333331</v>
      </c>
      <c r="J389" t="s">
        <v>1574</v>
      </c>
      <c r="K389" t="s">
        <v>1574</v>
      </c>
      <c r="L389" t="s">
        <v>22</v>
      </c>
      <c r="M389" s="12" t="s">
        <v>23</v>
      </c>
      <c r="N389">
        <v>4</v>
      </c>
      <c r="O389">
        <v>0</v>
      </c>
      <c r="P389" t="s">
        <v>19</v>
      </c>
      <c r="Q389" s="6">
        <v>110</v>
      </c>
      <c r="R389" t="str">
        <f t="shared" si="18"/>
        <v>Zoe's 5 Star Short let Apartment in Lekki_x000C_</v>
      </c>
      <c r="S389" t="str">
        <f t="shared" si="19"/>
        <v>Zoe's 5 Star Short let Apartment in Lekki</v>
      </c>
      <c r="T389">
        <f>Table1[[#This Row],[Adults]]+Table1[[#This Row],[Children]]</f>
        <v>4</v>
      </c>
      <c r="U389">
        <f>_xlfn.DAYS(Table1[[#This Row],[Depart]],Table1[[#This Row],[Arrive]])</f>
        <v>1</v>
      </c>
    </row>
    <row r="390" spans="1:21" x14ac:dyDescent="0.25">
      <c r="A390" t="s">
        <v>557</v>
      </c>
      <c r="B390" t="s">
        <v>558</v>
      </c>
      <c r="C390" t="s">
        <v>1179</v>
      </c>
      <c r="D390" s="1">
        <v>44050</v>
      </c>
      <c r="E390" s="1">
        <v>44051</v>
      </c>
      <c r="F390">
        <f t="shared" si="20"/>
        <v>1</v>
      </c>
      <c r="G390" s="1">
        <v>44049</v>
      </c>
      <c r="H390" s="2">
        <v>0.33333333333333331</v>
      </c>
      <c r="I390" s="3">
        <v>1</v>
      </c>
      <c r="J390" t="s">
        <v>1601</v>
      </c>
      <c r="K390" t="s">
        <v>1601</v>
      </c>
      <c r="L390" t="s">
        <v>22</v>
      </c>
      <c r="M390" s="12" t="s">
        <v>18</v>
      </c>
      <c r="N390">
        <v>5</v>
      </c>
      <c r="O390">
        <v>0</v>
      </c>
      <c r="P390" t="s">
        <v>19</v>
      </c>
      <c r="Q390" s="6">
        <v>110</v>
      </c>
      <c r="R390" t="str">
        <f t="shared" si="18"/>
        <v>Phiola's 5 Star Short Let Apartment in Lekki_x000C_</v>
      </c>
      <c r="S390" t="str">
        <f t="shared" si="19"/>
        <v>Phiola's 5 Star Short Let Apartment in Lekki</v>
      </c>
      <c r="T390">
        <f>Table1[[#This Row],[Adults]]+Table1[[#This Row],[Children]]</f>
        <v>5</v>
      </c>
      <c r="U390">
        <f>_xlfn.DAYS(Table1[[#This Row],[Depart]],Table1[[#This Row],[Arrive]])</f>
        <v>1</v>
      </c>
    </row>
    <row r="391" spans="1:21" x14ac:dyDescent="0.25">
      <c r="A391" t="s">
        <v>579</v>
      </c>
      <c r="B391" t="s">
        <v>580</v>
      </c>
      <c r="C391" t="s">
        <v>1179</v>
      </c>
      <c r="D391" s="1">
        <v>44050</v>
      </c>
      <c r="E391" s="1">
        <v>44051</v>
      </c>
      <c r="F391">
        <f t="shared" si="20"/>
        <v>1</v>
      </c>
      <c r="G391" s="1">
        <v>44051</v>
      </c>
      <c r="H391" s="2">
        <v>0.33333333333333331</v>
      </c>
      <c r="I391" s="3">
        <v>1</v>
      </c>
      <c r="J391" t="s">
        <v>1606</v>
      </c>
      <c r="K391" t="s">
        <v>1606</v>
      </c>
      <c r="L391" t="s">
        <v>22</v>
      </c>
      <c r="M391" s="12" t="s">
        <v>23</v>
      </c>
      <c r="N391">
        <v>5</v>
      </c>
      <c r="O391">
        <v>0</v>
      </c>
      <c r="P391" t="s">
        <v>19</v>
      </c>
      <c r="Q391" s="6">
        <v>110</v>
      </c>
      <c r="R391" t="str">
        <f t="shared" si="18"/>
        <v>Phiola's 5 Star Short Let Apartment in Lekki_x000C_</v>
      </c>
      <c r="S391" t="str">
        <f t="shared" si="19"/>
        <v>Phiola's 5 Star Short Let Apartment in Lekki</v>
      </c>
      <c r="T391">
        <f>Table1[[#This Row],[Adults]]+Table1[[#This Row],[Children]]</f>
        <v>5</v>
      </c>
      <c r="U391">
        <f>_xlfn.DAYS(Table1[[#This Row],[Depart]],Table1[[#This Row],[Arrive]])</f>
        <v>1</v>
      </c>
    </row>
    <row r="392" spans="1:21" x14ac:dyDescent="0.25">
      <c r="A392" t="s">
        <v>480</v>
      </c>
      <c r="B392" t="s">
        <v>481</v>
      </c>
      <c r="C392" t="s">
        <v>1179</v>
      </c>
      <c r="D392" s="1">
        <v>44051</v>
      </c>
      <c r="E392" s="1">
        <v>44052</v>
      </c>
      <c r="F392">
        <f t="shared" si="20"/>
        <v>1</v>
      </c>
      <c r="G392" s="1">
        <v>44027</v>
      </c>
      <c r="H392" s="2">
        <v>0.33333333333333331</v>
      </c>
      <c r="I392" s="3">
        <v>1</v>
      </c>
      <c r="J392" t="s">
        <v>1521</v>
      </c>
      <c r="K392" t="s">
        <v>1521</v>
      </c>
      <c r="L392" t="s">
        <v>22</v>
      </c>
      <c r="M392" s="12" t="s">
        <v>23</v>
      </c>
      <c r="N392">
        <v>6</v>
      </c>
      <c r="O392">
        <v>0</v>
      </c>
      <c r="P392" t="s">
        <v>19</v>
      </c>
      <c r="Q392" s="6">
        <v>110</v>
      </c>
      <c r="R392" t="str">
        <f t="shared" si="18"/>
        <v>Phiola's 5 Star Short Let Apartment in Lekki_x000C_</v>
      </c>
      <c r="S392" t="str">
        <f t="shared" si="19"/>
        <v>Phiola's 5 Star Short Let Apartment in Lekki</v>
      </c>
      <c r="T392">
        <f>Table1[[#This Row],[Adults]]+Table1[[#This Row],[Children]]</f>
        <v>6</v>
      </c>
      <c r="U392">
        <f>_xlfn.DAYS(Table1[[#This Row],[Depart]],Table1[[#This Row],[Arrive]])</f>
        <v>1</v>
      </c>
    </row>
    <row r="393" spans="1:21" x14ac:dyDescent="0.25">
      <c r="A393" t="s">
        <v>480</v>
      </c>
      <c r="B393" t="s">
        <v>481</v>
      </c>
      <c r="C393" t="s">
        <v>1180</v>
      </c>
      <c r="D393" s="1">
        <v>44051</v>
      </c>
      <c r="E393" s="1">
        <v>44052</v>
      </c>
      <c r="F393">
        <f t="shared" si="20"/>
        <v>1</v>
      </c>
      <c r="G393" s="1">
        <v>44027</v>
      </c>
      <c r="H393" s="2">
        <v>0.58333333333333337</v>
      </c>
      <c r="I393" s="2">
        <v>0.45833333333333331</v>
      </c>
      <c r="J393" t="s">
        <v>1523</v>
      </c>
      <c r="K393" t="s">
        <v>1523</v>
      </c>
      <c r="L393" t="s">
        <v>22</v>
      </c>
      <c r="M393" s="12" t="s">
        <v>18</v>
      </c>
      <c r="N393">
        <v>6</v>
      </c>
      <c r="O393">
        <v>0</v>
      </c>
      <c r="P393" t="s">
        <v>19</v>
      </c>
      <c r="Q393" s="6">
        <v>135</v>
      </c>
      <c r="R393" t="str">
        <f t="shared" si="18"/>
        <v>Zoe's 5 Star Short let Apartment in Lekki_x000C_</v>
      </c>
      <c r="S393" t="str">
        <f t="shared" si="19"/>
        <v>Zoe's 5 Star Short let Apartment in Lekki</v>
      </c>
      <c r="T393">
        <f>Table1[[#This Row],[Adults]]+Table1[[#This Row],[Children]]</f>
        <v>6</v>
      </c>
      <c r="U393">
        <f>_xlfn.DAYS(Table1[[#This Row],[Depart]],Table1[[#This Row],[Arrive]])</f>
        <v>1</v>
      </c>
    </row>
    <row r="394" spans="1:21" x14ac:dyDescent="0.25">
      <c r="A394" t="s">
        <v>480</v>
      </c>
      <c r="B394" t="s">
        <v>481</v>
      </c>
      <c r="C394" t="s">
        <v>1178</v>
      </c>
      <c r="D394" s="1">
        <v>44051</v>
      </c>
      <c r="E394" s="1">
        <v>44052</v>
      </c>
      <c r="F394">
        <f t="shared" si="20"/>
        <v>1</v>
      </c>
      <c r="G394" s="1">
        <v>44027</v>
      </c>
      <c r="H394" s="2">
        <v>0.58333333333333337</v>
      </c>
      <c r="I394" s="2">
        <v>0.45833333333333331</v>
      </c>
      <c r="J394" t="s">
        <v>1524</v>
      </c>
      <c r="K394" t="s">
        <v>1524</v>
      </c>
      <c r="L394" t="s">
        <v>22</v>
      </c>
      <c r="M394" s="12" t="s">
        <v>18</v>
      </c>
      <c r="N394">
        <v>6</v>
      </c>
      <c r="O394">
        <v>0</v>
      </c>
      <c r="P394" t="s">
        <v>19</v>
      </c>
      <c r="Q394" s="6">
        <v>135</v>
      </c>
      <c r="R394" t="str">
        <f t="shared" si="18"/>
        <v>Ope's 5 Star Short Let Apartment in Lekki_x000C_</v>
      </c>
      <c r="S394" t="str">
        <f t="shared" si="19"/>
        <v>Ope's 5 Star Short Let Apartment in Lekki</v>
      </c>
      <c r="T394">
        <f>Table1[[#This Row],[Adults]]+Table1[[#This Row],[Children]]</f>
        <v>6</v>
      </c>
      <c r="U394">
        <f>_xlfn.DAYS(Table1[[#This Row],[Depart]],Table1[[#This Row],[Arrive]])</f>
        <v>1</v>
      </c>
    </row>
    <row r="395" spans="1:21" x14ac:dyDescent="0.25">
      <c r="A395" t="s">
        <v>549</v>
      </c>
      <c r="B395" t="s">
        <v>550</v>
      </c>
      <c r="C395" t="s">
        <v>1178</v>
      </c>
      <c r="D395" s="1">
        <v>44051</v>
      </c>
      <c r="E395" s="1">
        <v>44052</v>
      </c>
      <c r="F395">
        <f t="shared" si="20"/>
        <v>1</v>
      </c>
      <c r="G395" s="1">
        <v>44027</v>
      </c>
      <c r="H395" s="2">
        <v>0.58333333333333337</v>
      </c>
      <c r="I395" s="2">
        <v>0.45833333333333331</v>
      </c>
      <c r="J395" t="s">
        <v>1572</v>
      </c>
      <c r="K395" t="s">
        <v>1572</v>
      </c>
      <c r="L395" t="s">
        <v>22</v>
      </c>
      <c r="M395" s="12" t="s">
        <v>18</v>
      </c>
      <c r="N395">
        <v>2</v>
      </c>
      <c r="O395">
        <v>0</v>
      </c>
      <c r="P395" t="s">
        <v>19</v>
      </c>
      <c r="Q395" s="6">
        <v>135</v>
      </c>
      <c r="R395" t="str">
        <f t="shared" si="18"/>
        <v>Ope's 5 Star Short Let Apartment in Lekki_x000C_</v>
      </c>
      <c r="S395" t="str">
        <f t="shared" si="19"/>
        <v>Ope's 5 Star Short Let Apartment in Lekki</v>
      </c>
      <c r="T395">
        <f>Table1[[#This Row],[Adults]]+Table1[[#This Row],[Children]]</f>
        <v>2</v>
      </c>
      <c r="U395">
        <f>_xlfn.DAYS(Table1[[#This Row],[Depart]],Table1[[#This Row],[Arrive]])</f>
        <v>1</v>
      </c>
    </row>
    <row r="396" spans="1:21" x14ac:dyDescent="0.25">
      <c r="A396" t="s">
        <v>559</v>
      </c>
      <c r="B396" t="s">
        <v>560</v>
      </c>
      <c r="C396" t="s">
        <v>1180</v>
      </c>
      <c r="D396" s="1">
        <v>44051</v>
      </c>
      <c r="E396" s="1">
        <v>44052</v>
      </c>
      <c r="F396">
        <f t="shared" si="20"/>
        <v>1</v>
      </c>
      <c r="G396" s="1">
        <v>44040</v>
      </c>
      <c r="H396" s="2">
        <v>0.58333333333333337</v>
      </c>
      <c r="I396" s="2">
        <v>0.45833333333333331</v>
      </c>
      <c r="J396" t="s">
        <v>1589</v>
      </c>
      <c r="K396" t="s">
        <v>1589</v>
      </c>
      <c r="L396" t="s">
        <v>22</v>
      </c>
      <c r="M396" s="12" t="s">
        <v>23</v>
      </c>
      <c r="N396">
        <v>4</v>
      </c>
      <c r="O396">
        <v>0</v>
      </c>
      <c r="P396" t="s">
        <v>19</v>
      </c>
      <c r="Q396" s="6">
        <v>110</v>
      </c>
      <c r="R396" t="str">
        <f t="shared" si="18"/>
        <v>Zoe's 5 Star Short let Apartment in Lekki_x000C_</v>
      </c>
      <c r="S396" t="str">
        <f t="shared" si="19"/>
        <v>Zoe's 5 Star Short let Apartment in Lekki</v>
      </c>
      <c r="T396">
        <f>Table1[[#This Row],[Adults]]+Table1[[#This Row],[Children]]</f>
        <v>4</v>
      </c>
      <c r="U396">
        <f>_xlfn.DAYS(Table1[[#This Row],[Depart]],Table1[[#This Row],[Arrive]])</f>
        <v>1</v>
      </c>
    </row>
    <row r="397" spans="1:21" x14ac:dyDescent="0.25">
      <c r="A397" t="s">
        <v>242</v>
      </c>
      <c r="B397" t="s">
        <v>243</v>
      </c>
      <c r="C397" t="s">
        <v>1178</v>
      </c>
      <c r="D397" s="1">
        <v>44051</v>
      </c>
      <c r="E397" s="1">
        <v>44053</v>
      </c>
      <c r="F397">
        <f t="shared" si="20"/>
        <v>2</v>
      </c>
      <c r="G397" s="1">
        <v>44045</v>
      </c>
      <c r="H397" s="2">
        <v>0.58333333333333337</v>
      </c>
      <c r="I397" s="2">
        <v>0.45833333333333331</v>
      </c>
      <c r="J397" t="s">
        <v>1600</v>
      </c>
      <c r="K397" t="s">
        <v>1600</v>
      </c>
      <c r="L397" t="s">
        <v>22</v>
      </c>
      <c r="M397" s="12" t="s">
        <v>23</v>
      </c>
      <c r="N397">
        <v>6</v>
      </c>
      <c r="O397">
        <v>0</v>
      </c>
      <c r="P397" t="s">
        <v>19</v>
      </c>
      <c r="Q397" s="6">
        <v>220</v>
      </c>
      <c r="R397" t="str">
        <f t="shared" si="18"/>
        <v>Ope's 5 Star Short Let Apartment in Lekki_x000C_</v>
      </c>
      <c r="S397" t="str">
        <f t="shared" si="19"/>
        <v>Ope's 5 Star Short Let Apartment in Lekki</v>
      </c>
      <c r="T397">
        <f>Table1[[#This Row],[Adults]]+Table1[[#This Row],[Children]]</f>
        <v>6</v>
      </c>
      <c r="U397">
        <f>_xlfn.DAYS(Table1[[#This Row],[Depart]],Table1[[#This Row],[Arrive]])</f>
        <v>2</v>
      </c>
    </row>
    <row r="398" spans="1:21" x14ac:dyDescent="0.25">
      <c r="A398" t="s">
        <v>529</v>
      </c>
      <c r="B398" t="s">
        <v>530</v>
      </c>
      <c r="C398" t="s">
        <v>1173</v>
      </c>
      <c r="D398" s="1">
        <v>44052</v>
      </c>
      <c r="E398" s="1">
        <v>44053</v>
      </c>
      <c r="F398">
        <f t="shared" si="20"/>
        <v>1</v>
      </c>
      <c r="G398" s="1">
        <v>44032</v>
      </c>
      <c r="H398" s="2">
        <v>0.33333333333333331</v>
      </c>
      <c r="I398" s="3">
        <v>1</v>
      </c>
      <c r="J398" t="s">
        <v>1557</v>
      </c>
      <c r="K398" t="s">
        <v>1557</v>
      </c>
      <c r="L398" t="s">
        <v>22</v>
      </c>
      <c r="M398" s="12" t="s">
        <v>23</v>
      </c>
      <c r="N398">
        <v>6</v>
      </c>
      <c r="O398">
        <v>0</v>
      </c>
      <c r="P398" t="s">
        <v>19</v>
      </c>
      <c r="Q398" s="6">
        <v>110</v>
      </c>
      <c r="R398" t="str">
        <f t="shared" si="18"/>
        <v xml:space="preserve"> The Daniels 5 Star Short Let Apartment in Lekki_x000C_</v>
      </c>
      <c r="S398" t="str">
        <f t="shared" si="19"/>
        <v xml:space="preserve"> The Daniels 5 Star Short Let Apartment in Lekki</v>
      </c>
      <c r="T398">
        <f>Table1[[#This Row],[Adults]]+Table1[[#This Row],[Children]]</f>
        <v>6</v>
      </c>
      <c r="U398">
        <f>_xlfn.DAYS(Table1[[#This Row],[Depart]],Table1[[#This Row],[Arrive]])</f>
        <v>1</v>
      </c>
    </row>
    <row r="399" spans="1:21" x14ac:dyDescent="0.25">
      <c r="A399" t="s">
        <v>533</v>
      </c>
      <c r="B399" t="s">
        <v>534</v>
      </c>
      <c r="C399" t="s">
        <v>1180</v>
      </c>
      <c r="D399" s="1">
        <v>44052</v>
      </c>
      <c r="E399" s="1">
        <v>44053</v>
      </c>
      <c r="F399">
        <f t="shared" si="20"/>
        <v>1</v>
      </c>
      <c r="G399" s="1">
        <v>44041</v>
      </c>
      <c r="H399" s="2">
        <v>0.58333333333333337</v>
      </c>
      <c r="I399" s="2">
        <v>0.45833333333333331</v>
      </c>
      <c r="J399" t="s">
        <v>1560</v>
      </c>
      <c r="K399" t="s">
        <v>1560</v>
      </c>
      <c r="L399" t="s">
        <v>22</v>
      </c>
      <c r="M399" s="12" t="s">
        <v>23</v>
      </c>
      <c r="N399">
        <v>4</v>
      </c>
      <c r="O399">
        <v>0</v>
      </c>
      <c r="P399" t="s">
        <v>19</v>
      </c>
      <c r="Q399" s="6">
        <v>110</v>
      </c>
      <c r="R399" t="str">
        <f t="shared" si="18"/>
        <v>Zoe's 5 Star Short let Apartment in Lekki_x000C_</v>
      </c>
      <c r="S399" t="str">
        <f t="shared" si="19"/>
        <v>Zoe's 5 Star Short let Apartment in Lekki</v>
      </c>
      <c r="T399">
        <f>Table1[[#This Row],[Adults]]+Table1[[#This Row],[Children]]</f>
        <v>4</v>
      </c>
      <c r="U399">
        <f>_xlfn.DAYS(Table1[[#This Row],[Depart]],Table1[[#This Row],[Arrive]])</f>
        <v>1</v>
      </c>
    </row>
    <row r="400" spans="1:21" x14ac:dyDescent="0.25">
      <c r="A400" t="s">
        <v>288</v>
      </c>
      <c r="B400" t="s">
        <v>289</v>
      </c>
      <c r="C400" t="s">
        <v>1178</v>
      </c>
      <c r="D400" s="1">
        <v>44052</v>
      </c>
      <c r="E400" s="1">
        <v>44058</v>
      </c>
      <c r="F400">
        <f t="shared" si="20"/>
        <v>6</v>
      </c>
      <c r="G400" s="1">
        <v>44043</v>
      </c>
      <c r="H400" s="2">
        <v>0.58333333333333337</v>
      </c>
      <c r="I400" s="2">
        <v>0.45833333333333331</v>
      </c>
      <c r="J400" t="s">
        <v>1565</v>
      </c>
      <c r="K400" t="s">
        <v>1565</v>
      </c>
      <c r="L400" t="s">
        <v>26</v>
      </c>
      <c r="M400" s="12" t="s">
        <v>18</v>
      </c>
      <c r="N400">
        <v>1</v>
      </c>
      <c r="O400">
        <v>0</v>
      </c>
      <c r="P400" t="s">
        <v>19</v>
      </c>
      <c r="Q400" s="6">
        <v>637</v>
      </c>
      <c r="R400" t="str">
        <f t="shared" si="18"/>
        <v>Ope's 5 Star Short Let Apartment in Lekki_x000C_</v>
      </c>
      <c r="S400" t="str">
        <f t="shared" si="19"/>
        <v>Ope's 5 Star Short Let Apartment in Lekki</v>
      </c>
      <c r="T400">
        <f>Table1[[#This Row],[Adults]]+Table1[[#This Row],[Children]]</f>
        <v>1</v>
      </c>
      <c r="U400">
        <f>_xlfn.DAYS(Table1[[#This Row],[Depart]],Table1[[#This Row],[Arrive]])</f>
        <v>6</v>
      </c>
    </row>
    <row r="401" spans="1:21" x14ac:dyDescent="0.25">
      <c r="A401" t="s">
        <v>571</v>
      </c>
      <c r="B401" t="s">
        <v>572</v>
      </c>
      <c r="C401" t="s">
        <v>1179</v>
      </c>
      <c r="D401" s="1">
        <v>44052</v>
      </c>
      <c r="E401" s="1">
        <v>44053</v>
      </c>
      <c r="F401">
        <f t="shared" si="20"/>
        <v>1</v>
      </c>
      <c r="G401" s="1">
        <v>44046</v>
      </c>
      <c r="H401" s="2">
        <v>0.33333333333333331</v>
      </c>
      <c r="I401" s="3">
        <v>1</v>
      </c>
      <c r="J401" t="s">
        <v>1598</v>
      </c>
      <c r="K401" t="s">
        <v>1598</v>
      </c>
      <c r="L401" t="s">
        <v>22</v>
      </c>
      <c r="M401" s="12" t="s">
        <v>23</v>
      </c>
      <c r="N401">
        <v>5</v>
      </c>
      <c r="O401">
        <v>0</v>
      </c>
      <c r="P401" t="s">
        <v>19</v>
      </c>
      <c r="Q401" s="6">
        <v>110</v>
      </c>
      <c r="R401" t="str">
        <f t="shared" si="18"/>
        <v>Phiola's 5 Star Short Let Apartment in Lekki_x000C_</v>
      </c>
      <c r="S401" t="str">
        <f t="shared" si="19"/>
        <v>Phiola's 5 Star Short Let Apartment in Lekki</v>
      </c>
      <c r="T401">
        <f>Table1[[#This Row],[Adults]]+Table1[[#This Row],[Children]]</f>
        <v>5</v>
      </c>
      <c r="U401">
        <f>_xlfn.DAYS(Table1[[#This Row],[Depart]],Table1[[#This Row],[Arrive]])</f>
        <v>1</v>
      </c>
    </row>
    <row r="402" spans="1:21" x14ac:dyDescent="0.25">
      <c r="A402" t="s">
        <v>573</v>
      </c>
      <c r="B402" t="s">
        <v>574</v>
      </c>
      <c r="C402" t="s">
        <v>1180</v>
      </c>
      <c r="D402" s="1">
        <v>44053</v>
      </c>
      <c r="E402" s="1">
        <v>44054</v>
      </c>
      <c r="F402">
        <f t="shared" si="20"/>
        <v>1</v>
      </c>
      <c r="G402" s="1">
        <v>44049</v>
      </c>
      <c r="H402" s="2">
        <v>0.58333333333333337</v>
      </c>
      <c r="I402" s="2">
        <v>0.45833333333333331</v>
      </c>
      <c r="J402" t="s">
        <v>1599</v>
      </c>
      <c r="K402" t="s">
        <v>1599</v>
      </c>
      <c r="L402" t="s">
        <v>22</v>
      </c>
      <c r="M402" s="12" t="s">
        <v>23</v>
      </c>
      <c r="N402">
        <v>6</v>
      </c>
      <c r="O402">
        <v>0</v>
      </c>
      <c r="P402" t="s">
        <v>19</v>
      </c>
      <c r="Q402" s="6">
        <v>110</v>
      </c>
      <c r="R402" t="str">
        <f t="shared" si="18"/>
        <v>Zoe's 5 Star Short let Apartment in Lekki_x000C_</v>
      </c>
      <c r="S402" t="str">
        <f t="shared" si="19"/>
        <v>Zoe's 5 Star Short let Apartment in Lekki</v>
      </c>
      <c r="T402">
        <f>Table1[[#This Row],[Adults]]+Table1[[#This Row],[Children]]</f>
        <v>6</v>
      </c>
      <c r="U402">
        <f>_xlfn.DAYS(Table1[[#This Row],[Depart]],Table1[[#This Row],[Arrive]])</f>
        <v>1</v>
      </c>
    </row>
    <row r="403" spans="1:21" x14ac:dyDescent="0.25">
      <c r="A403" t="s">
        <v>577</v>
      </c>
      <c r="B403" t="s">
        <v>578</v>
      </c>
      <c r="C403" t="s">
        <v>1178</v>
      </c>
      <c r="D403" s="1">
        <v>44053</v>
      </c>
      <c r="E403" s="1">
        <v>44054</v>
      </c>
      <c r="F403">
        <f t="shared" si="20"/>
        <v>1</v>
      </c>
      <c r="G403" s="1">
        <v>44049</v>
      </c>
      <c r="H403" s="2">
        <v>0.58333333333333337</v>
      </c>
      <c r="I403" s="2">
        <v>0.45833333333333331</v>
      </c>
      <c r="J403" t="s">
        <v>1604</v>
      </c>
      <c r="K403" t="s">
        <v>1604</v>
      </c>
      <c r="L403" t="s">
        <v>22</v>
      </c>
      <c r="M403" s="12" t="s">
        <v>23</v>
      </c>
      <c r="N403">
        <v>6</v>
      </c>
      <c r="O403">
        <v>0</v>
      </c>
      <c r="P403" t="s">
        <v>19</v>
      </c>
      <c r="Q403" s="6">
        <v>131.62</v>
      </c>
      <c r="R403" t="str">
        <f t="shared" si="18"/>
        <v>Ope's 5 Star Short Let Apartment in Lekki_x000C_</v>
      </c>
      <c r="S403" t="str">
        <f t="shared" si="19"/>
        <v>Ope's 5 Star Short Let Apartment in Lekki</v>
      </c>
      <c r="T403">
        <f>Table1[[#This Row],[Adults]]+Table1[[#This Row],[Children]]</f>
        <v>6</v>
      </c>
      <c r="U403">
        <f>_xlfn.DAYS(Table1[[#This Row],[Depart]],Table1[[#This Row],[Arrive]])</f>
        <v>1</v>
      </c>
    </row>
    <row r="404" spans="1:21" x14ac:dyDescent="0.25">
      <c r="A404" t="s">
        <v>583</v>
      </c>
      <c r="B404" t="s">
        <v>584</v>
      </c>
      <c r="C404" t="s">
        <v>1179</v>
      </c>
      <c r="D404" s="1">
        <v>44053</v>
      </c>
      <c r="E404" s="1">
        <v>44054</v>
      </c>
      <c r="F404">
        <f t="shared" si="20"/>
        <v>1</v>
      </c>
      <c r="G404" s="1">
        <v>44047</v>
      </c>
      <c r="H404" s="2">
        <v>0.33333333333333331</v>
      </c>
      <c r="I404" s="3">
        <v>1</v>
      </c>
      <c r="J404" t="s">
        <v>1609</v>
      </c>
      <c r="K404" t="s">
        <v>1609</v>
      </c>
      <c r="L404" t="s">
        <v>22</v>
      </c>
      <c r="M404" s="12" t="s">
        <v>23</v>
      </c>
      <c r="N404">
        <v>6</v>
      </c>
      <c r="O404">
        <v>0</v>
      </c>
      <c r="P404" t="s">
        <v>19</v>
      </c>
      <c r="Q404" s="6">
        <v>110</v>
      </c>
      <c r="R404" t="str">
        <f t="shared" si="18"/>
        <v>Phiola's 5 Star Short Let Apartment in Lekki_x000C_</v>
      </c>
      <c r="S404" t="str">
        <f t="shared" si="19"/>
        <v>Phiola's 5 Star Short Let Apartment in Lekki</v>
      </c>
      <c r="T404">
        <f>Table1[[#This Row],[Adults]]+Table1[[#This Row],[Children]]</f>
        <v>6</v>
      </c>
      <c r="U404">
        <f>_xlfn.DAYS(Table1[[#This Row],[Depart]],Table1[[#This Row],[Arrive]])</f>
        <v>1</v>
      </c>
    </row>
    <row r="405" spans="1:21" x14ac:dyDescent="0.25">
      <c r="A405" t="s">
        <v>589</v>
      </c>
      <c r="B405" t="s">
        <v>590</v>
      </c>
      <c r="C405" t="s">
        <v>1173</v>
      </c>
      <c r="D405" s="1">
        <v>44053</v>
      </c>
      <c r="E405" s="1">
        <v>44054</v>
      </c>
      <c r="F405">
        <f t="shared" si="20"/>
        <v>1</v>
      </c>
      <c r="G405" s="1">
        <v>44050</v>
      </c>
      <c r="H405" s="2">
        <v>0.33333333333333331</v>
      </c>
      <c r="I405" s="3">
        <v>1</v>
      </c>
      <c r="J405" t="s">
        <v>1612</v>
      </c>
      <c r="K405" t="s">
        <v>1612</v>
      </c>
      <c r="L405" t="s">
        <v>22</v>
      </c>
      <c r="M405" s="12" t="s">
        <v>23</v>
      </c>
      <c r="N405">
        <v>4</v>
      </c>
      <c r="O405">
        <v>0</v>
      </c>
      <c r="P405" t="s">
        <v>19</v>
      </c>
      <c r="Q405" s="6">
        <v>110</v>
      </c>
      <c r="R405" t="str">
        <f t="shared" si="18"/>
        <v xml:space="preserve"> The Daniels 5 Star Short Let Apartment in Lekki_x000C_</v>
      </c>
      <c r="S405" t="str">
        <f t="shared" si="19"/>
        <v xml:space="preserve"> The Daniels 5 Star Short Let Apartment in Lekki</v>
      </c>
      <c r="T405">
        <f>Table1[[#This Row],[Adults]]+Table1[[#This Row],[Children]]</f>
        <v>4</v>
      </c>
      <c r="U405">
        <f>_xlfn.DAYS(Table1[[#This Row],[Depart]],Table1[[#This Row],[Arrive]])</f>
        <v>1</v>
      </c>
    </row>
    <row r="406" spans="1:21" x14ac:dyDescent="0.25">
      <c r="A406" t="s">
        <v>450</v>
      </c>
      <c r="B406" t="s">
        <v>451</v>
      </c>
      <c r="C406" t="s">
        <v>1173</v>
      </c>
      <c r="D406" s="1">
        <v>44054</v>
      </c>
      <c r="E406" s="1">
        <v>44057</v>
      </c>
      <c r="F406">
        <f t="shared" si="20"/>
        <v>3</v>
      </c>
      <c r="G406" s="1">
        <v>44036</v>
      </c>
      <c r="H406" s="2">
        <v>0.33333333333333331</v>
      </c>
      <c r="I406" s="3">
        <v>1</v>
      </c>
      <c r="J406" t="s">
        <v>1583</v>
      </c>
      <c r="K406" t="s">
        <v>1583</v>
      </c>
      <c r="L406" t="s">
        <v>22</v>
      </c>
      <c r="M406" s="12" t="s">
        <v>23</v>
      </c>
      <c r="N406">
        <v>3</v>
      </c>
      <c r="O406">
        <v>0</v>
      </c>
      <c r="P406" t="s">
        <v>19</v>
      </c>
      <c r="Q406" s="6">
        <v>330</v>
      </c>
      <c r="R406" t="str">
        <f t="shared" si="18"/>
        <v xml:space="preserve"> The Daniels 5 Star Short Let Apartment in Lekki_x000C_</v>
      </c>
      <c r="S406" t="str">
        <f t="shared" si="19"/>
        <v xml:space="preserve"> The Daniels 5 Star Short Let Apartment in Lekki</v>
      </c>
      <c r="T406">
        <f>Table1[[#This Row],[Adults]]+Table1[[#This Row],[Children]]</f>
        <v>3</v>
      </c>
      <c r="U406">
        <f>_xlfn.DAYS(Table1[[#This Row],[Depart]],Table1[[#This Row],[Arrive]])</f>
        <v>3</v>
      </c>
    </row>
    <row r="407" spans="1:21" x14ac:dyDescent="0.25">
      <c r="A407" t="s">
        <v>296</v>
      </c>
      <c r="B407" t="s">
        <v>297</v>
      </c>
      <c r="C407" t="s">
        <v>1175</v>
      </c>
      <c r="D407" s="1">
        <v>44054</v>
      </c>
      <c r="E407" s="1">
        <v>44055</v>
      </c>
      <c r="F407">
        <f t="shared" si="20"/>
        <v>1</v>
      </c>
      <c r="G407" s="1">
        <v>44048</v>
      </c>
      <c r="H407" s="2">
        <v>0.33333333333333331</v>
      </c>
      <c r="I407" s="3">
        <v>1</v>
      </c>
      <c r="J407" t="s">
        <v>1584</v>
      </c>
      <c r="K407" t="s">
        <v>1584</v>
      </c>
      <c r="L407" t="s">
        <v>22</v>
      </c>
      <c r="M407" s="12" t="s">
        <v>23</v>
      </c>
      <c r="N407">
        <v>4</v>
      </c>
      <c r="O407">
        <v>0</v>
      </c>
      <c r="P407" t="s">
        <v>19</v>
      </c>
      <c r="Q407" s="6">
        <v>110</v>
      </c>
      <c r="R407" t="str">
        <f t="shared" si="18"/>
        <v>Keji's 5 Star Short let Apartment in Lekki_x000C_</v>
      </c>
      <c r="S407" t="str">
        <f t="shared" si="19"/>
        <v>Keji's 5 Star Short let Apartment in Lekki</v>
      </c>
      <c r="T407">
        <f>Table1[[#This Row],[Adults]]+Table1[[#This Row],[Children]]</f>
        <v>4</v>
      </c>
      <c r="U407">
        <f>_xlfn.DAYS(Table1[[#This Row],[Depart]],Table1[[#This Row],[Arrive]])</f>
        <v>1</v>
      </c>
    </row>
    <row r="408" spans="1:21" x14ac:dyDescent="0.25">
      <c r="A408" t="s">
        <v>575</v>
      </c>
      <c r="B408" t="s">
        <v>576</v>
      </c>
      <c r="C408" t="s">
        <v>1178</v>
      </c>
      <c r="D408" s="1">
        <v>44054</v>
      </c>
      <c r="E408" s="1">
        <v>44056</v>
      </c>
      <c r="F408">
        <f t="shared" si="20"/>
        <v>2</v>
      </c>
      <c r="G408" s="1">
        <v>44050</v>
      </c>
      <c r="H408" s="2">
        <v>0.58333333333333337</v>
      </c>
      <c r="I408" s="2">
        <v>0.45833333333333331</v>
      </c>
      <c r="J408" t="s">
        <v>1602</v>
      </c>
      <c r="K408" t="s">
        <v>1602</v>
      </c>
      <c r="L408" t="s">
        <v>22</v>
      </c>
      <c r="M408" s="12" t="s">
        <v>18</v>
      </c>
      <c r="N408">
        <v>3</v>
      </c>
      <c r="O408">
        <v>0</v>
      </c>
      <c r="P408" t="s">
        <v>19</v>
      </c>
      <c r="Q408" s="6">
        <v>220</v>
      </c>
      <c r="R408" t="str">
        <f t="shared" si="18"/>
        <v>Ope's 5 Star Short Let Apartment in Lekki_x000C_</v>
      </c>
      <c r="S408" t="str">
        <f t="shared" si="19"/>
        <v>Ope's 5 Star Short Let Apartment in Lekki</v>
      </c>
      <c r="T408">
        <f>Table1[[#This Row],[Adults]]+Table1[[#This Row],[Children]]</f>
        <v>3</v>
      </c>
      <c r="U408">
        <f>_xlfn.DAYS(Table1[[#This Row],[Depart]],Table1[[#This Row],[Arrive]])</f>
        <v>2</v>
      </c>
    </row>
    <row r="409" spans="1:21" x14ac:dyDescent="0.25">
      <c r="A409" t="s">
        <v>252</v>
      </c>
      <c r="B409" t="s">
        <v>253</v>
      </c>
      <c r="C409" t="s">
        <v>1178</v>
      </c>
      <c r="D409" s="1">
        <v>44054</v>
      </c>
      <c r="E409" s="1">
        <v>44055</v>
      </c>
      <c r="F409">
        <f t="shared" si="20"/>
        <v>1</v>
      </c>
      <c r="G409" s="1">
        <v>44050</v>
      </c>
      <c r="H409" s="2">
        <v>0.58333333333333337</v>
      </c>
      <c r="I409" s="2">
        <v>0.45833333333333331</v>
      </c>
      <c r="J409" t="s">
        <v>1603</v>
      </c>
      <c r="K409" t="s">
        <v>1603</v>
      </c>
      <c r="L409" t="s">
        <v>22</v>
      </c>
      <c r="M409" s="12" t="s">
        <v>23</v>
      </c>
      <c r="N409">
        <v>2</v>
      </c>
      <c r="O409">
        <v>0</v>
      </c>
      <c r="P409" t="s">
        <v>19</v>
      </c>
      <c r="Q409" s="6">
        <v>110</v>
      </c>
      <c r="R409" t="str">
        <f t="shared" si="18"/>
        <v>Ope's 5 Star Short Let Apartment in Lekki_x000C_</v>
      </c>
      <c r="S409" t="str">
        <f t="shared" si="19"/>
        <v>Ope's 5 Star Short Let Apartment in Lekki</v>
      </c>
      <c r="T409">
        <f>Table1[[#This Row],[Adults]]+Table1[[#This Row],[Children]]</f>
        <v>2</v>
      </c>
      <c r="U409">
        <f>_xlfn.DAYS(Table1[[#This Row],[Depart]],Table1[[#This Row],[Arrive]])</f>
        <v>1</v>
      </c>
    </row>
    <row r="410" spans="1:21" x14ac:dyDescent="0.25">
      <c r="A410" t="s">
        <v>589</v>
      </c>
      <c r="B410" t="s">
        <v>590</v>
      </c>
      <c r="C410" t="s">
        <v>1180</v>
      </c>
      <c r="D410" s="1">
        <v>44054</v>
      </c>
      <c r="E410" s="1">
        <v>44055</v>
      </c>
      <c r="F410">
        <f t="shared" si="20"/>
        <v>1</v>
      </c>
      <c r="G410" s="1">
        <v>44054</v>
      </c>
      <c r="H410" s="2">
        <v>0.58333333333333337</v>
      </c>
      <c r="I410" s="2">
        <v>0.45833333333333331</v>
      </c>
      <c r="J410" t="s">
        <v>1619</v>
      </c>
      <c r="K410" t="s">
        <v>1619</v>
      </c>
      <c r="L410" t="s">
        <v>22</v>
      </c>
      <c r="M410" s="12" t="s">
        <v>23</v>
      </c>
      <c r="N410">
        <v>4</v>
      </c>
      <c r="O410">
        <v>0</v>
      </c>
      <c r="P410" t="s">
        <v>19</v>
      </c>
      <c r="Q410" s="6">
        <v>110</v>
      </c>
      <c r="R410" t="str">
        <f t="shared" si="18"/>
        <v>Zoe's 5 Star Short let Apartment in Lekki_x000C_</v>
      </c>
      <c r="S410" t="str">
        <f t="shared" si="19"/>
        <v>Zoe's 5 Star Short let Apartment in Lekki</v>
      </c>
      <c r="T410">
        <f>Table1[[#This Row],[Adults]]+Table1[[#This Row],[Children]]</f>
        <v>4</v>
      </c>
      <c r="U410">
        <f>_xlfn.DAYS(Table1[[#This Row],[Depart]],Table1[[#This Row],[Arrive]])</f>
        <v>1</v>
      </c>
    </row>
    <row r="411" spans="1:21" x14ac:dyDescent="0.25">
      <c r="A411" t="s">
        <v>601</v>
      </c>
      <c r="B411" t="s">
        <v>602</v>
      </c>
      <c r="C411" t="s">
        <v>1179</v>
      </c>
      <c r="D411" s="1">
        <v>44054</v>
      </c>
      <c r="E411" s="1">
        <v>44055</v>
      </c>
      <c r="F411">
        <f t="shared" si="20"/>
        <v>1</v>
      </c>
      <c r="G411" s="1">
        <v>44054</v>
      </c>
      <c r="H411" s="2">
        <v>0.33333333333333331</v>
      </c>
      <c r="I411" s="3">
        <v>1</v>
      </c>
      <c r="J411" t="s">
        <v>1620</v>
      </c>
      <c r="K411" t="s">
        <v>1620</v>
      </c>
      <c r="L411" t="s">
        <v>22</v>
      </c>
      <c r="M411" s="12" t="s">
        <v>23</v>
      </c>
      <c r="N411">
        <v>4</v>
      </c>
      <c r="O411">
        <v>0</v>
      </c>
      <c r="P411" t="s">
        <v>19</v>
      </c>
      <c r="Q411" s="6">
        <v>110</v>
      </c>
      <c r="R411" t="str">
        <f t="shared" si="18"/>
        <v>Phiola's 5 Star Short Let Apartment in Lekki_x000C_</v>
      </c>
      <c r="S411" t="str">
        <f t="shared" si="19"/>
        <v>Phiola's 5 Star Short Let Apartment in Lekki</v>
      </c>
      <c r="T411">
        <f>Table1[[#This Row],[Adults]]+Table1[[#This Row],[Children]]</f>
        <v>4</v>
      </c>
      <c r="U411">
        <f>_xlfn.DAYS(Table1[[#This Row],[Depart]],Table1[[#This Row],[Arrive]])</f>
        <v>1</v>
      </c>
    </row>
    <row r="412" spans="1:21" x14ac:dyDescent="0.25">
      <c r="A412" t="s">
        <v>344</v>
      </c>
      <c r="B412" t="s">
        <v>345</v>
      </c>
      <c r="C412" t="s">
        <v>1179</v>
      </c>
      <c r="D412" s="1">
        <v>44055</v>
      </c>
      <c r="E412" s="1">
        <v>44058</v>
      </c>
      <c r="F412">
        <f t="shared" si="20"/>
        <v>3</v>
      </c>
      <c r="G412" s="1">
        <v>44048</v>
      </c>
      <c r="H412" s="2">
        <v>0.33333333333333331</v>
      </c>
      <c r="I412" s="3">
        <v>1</v>
      </c>
      <c r="J412" t="s">
        <v>1582</v>
      </c>
      <c r="K412" t="s">
        <v>1582</v>
      </c>
      <c r="L412" t="s">
        <v>22</v>
      </c>
      <c r="M412" s="12" t="s">
        <v>23</v>
      </c>
      <c r="N412">
        <v>6</v>
      </c>
      <c r="O412">
        <v>0</v>
      </c>
      <c r="P412" t="s">
        <v>19</v>
      </c>
      <c r="Q412" s="6">
        <v>330</v>
      </c>
      <c r="R412" t="str">
        <f t="shared" si="18"/>
        <v>Phiola's 5 Star Short Let Apartment in Lekki_x000C_</v>
      </c>
      <c r="S412" t="str">
        <f t="shared" si="19"/>
        <v>Phiola's 5 Star Short Let Apartment in Lekki</v>
      </c>
      <c r="T412">
        <f>Table1[[#This Row],[Adults]]+Table1[[#This Row],[Children]]</f>
        <v>6</v>
      </c>
      <c r="U412">
        <f>_xlfn.DAYS(Table1[[#This Row],[Depart]],Table1[[#This Row],[Arrive]])</f>
        <v>3</v>
      </c>
    </row>
    <row r="413" spans="1:21" x14ac:dyDescent="0.25">
      <c r="A413" t="s">
        <v>591</v>
      </c>
      <c r="B413" t="s">
        <v>592</v>
      </c>
      <c r="C413" t="s">
        <v>1175</v>
      </c>
      <c r="D413" s="1">
        <v>44055</v>
      </c>
      <c r="E413" s="1">
        <v>44058</v>
      </c>
      <c r="F413">
        <f t="shared" si="20"/>
        <v>3</v>
      </c>
      <c r="G413" s="1">
        <v>44048</v>
      </c>
      <c r="H413" s="2">
        <v>0.33333333333333331</v>
      </c>
      <c r="I413" s="3">
        <v>1</v>
      </c>
      <c r="J413" t="s">
        <v>1613</v>
      </c>
      <c r="K413" t="s">
        <v>1613</v>
      </c>
      <c r="L413" t="s">
        <v>22</v>
      </c>
      <c r="M413" s="12" t="s">
        <v>18</v>
      </c>
      <c r="N413">
        <v>8</v>
      </c>
      <c r="O413">
        <v>0</v>
      </c>
      <c r="P413" t="s">
        <v>19</v>
      </c>
      <c r="Q413" s="6">
        <v>450</v>
      </c>
      <c r="R413" t="str">
        <f t="shared" si="18"/>
        <v>Keji's 5 Star Short let Apartment in Lekki_x000C_</v>
      </c>
      <c r="S413" t="str">
        <f t="shared" si="19"/>
        <v>Keji's 5 Star Short let Apartment in Lekki</v>
      </c>
      <c r="T413">
        <f>Table1[[#This Row],[Adults]]+Table1[[#This Row],[Children]]</f>
        <v>8</v>
      </c>
      <c r="U413">
        <f>_xlfn.DAYS(Table1[[#This Row],[Depart]],Table1[[#This Row],[Arrive]])</f>
        <v>3</v>
      </c>
    </row>
    <row r="414" spans="1:21" x14ac:dyDescent="0.25">
      <c r="A414" t="s">
        <v>593</v>
      </c>
      <c r="B414" t="s">
        <v>594</v>
      </c>
      <c r="C414" t="s">
        <v>1180</v>
      </c>
      <c r="D414" s="1">
        <v>44055</v>
      </c>
      <c r="E414" s="1">
        <v>44056</v>
      </c>
      <c r="F414">
        <f t="shared" si="20"/>
        <v>1</v>
      </c>
      <c r="G414" s="1">
        <v>44049</v>
      </c>
      <c r="H414" s="2">
        <v>0.58333333333333337</v>
      </c>
      <c r="I414" s="2">
        <v>0.45833333333333331</v>
      </c>
      <c r="J414" t="s">
        <v>1614</v>
      </c>
      <c r="K414" t="s">
        <v>1614</v>
      </c>
      <c r="L414" t="s">
        <v>22</v>
      </c>
      <c r="M414" s="12" t="s">
        <v>18</v>
      </c>
      <c r="N414">
        <v>6</v>
      </c>
      <c r="O414">
        <v>0</v>
      </c>
      <c r="P414" t="s">
        <v>19</v>
      </c>
      <c r="Q414" s="6">
        <v>131</v>
      </c>
      <c r="R414" t="str">
        <f t="shared" si="18"/>
        <v>Zoe's 5 Star Short let Apartment in Lekki_x000C_</v>
      </c>
      <c r="S414" t="str">
        <f t="shared" si="19"/>
        <v>Zoe's 5 Star Short let Apartment in Lekki</v>
      </c>
      <c r="T414">
        <f>Table1[[#This Row],[Adults]]+Table1[[#This Row],[Children]]</f>
        <v>6</v>
      </c>
      <c r="U414">
        <f>_xlfn.DAYS(Table1[[#This Row],[Depart]],Table1[[#This Row],[Arrive]])</f>
        <v>1</v>
      </c>
    </row>
    <row r="415" spans="1:21" x14ac:dyDescent="0.25">
      <c r="A415" t="s">
        <v>595</v>
      </c>
      <c r="B415" t="s">
        <v>596</v>
      </c>
      <c r="C415" t="s">
        <v>1180</v>
      </c>
      <c r="D415" s="1">
        <v>44055</v>
      </c>
      <c r="E415" s="1">
        <v>44057</v>
      </c>
      <c r="F415">
        <f t="shared" si="20"/>
        <v>2</v>
      </c>
      <c r="G415" s="1">
        <v>44053</v>
      </c>
      <c r="H415" s="2">
        <v>0.58333333333333337</v>
      </c>
      <c r="I415" s="2">
        <v>0.45833333333333331</v>
      </c>
      <c r="J415" t="s">
        <v>1615</v>
      </c>
      <c r="K415" t="s">
        <v>1615</v>
      </c>
      <c r="L415" t="s">
        <v>22</v>
      </c>
      <c r="M415" s="12" t="s">
        <v>23</v>
      </c>
      <c r="N415">
        <v>5</v>
      </c>
      <c r="O415">
        <v>0</v>
      </c>
      <c r="P415" t="s">
        <v>19</v>
      </c>
      <c r="Q415" s="6">
        <v>220</v>
      </c>
      <c r="R415" t="str">
        <f t="shared" si="18"/>
        <v>Zoe's 5 Star Short let Apartment in Lekki_x000C_</v>
      </c>
      <c r="S415" t="str">
        <f t="shared" si="19"/>
        <v>Zoe's 5 Star Short let Apartment in Lekki</v>
      </c>
      <c r="T415">
        <f>Table1[[#This Row],[Adults]]+Table1[[#This Row],[Children]]</f>
        <v>5</v>
      </c>
      <c r="U415">
        <f>_xlfn.DAYS(Table1[[#This Row],[Depart]],Table1[[#This Row],[Arrive]])</f>
        <v>2</v>
      </c>
    </row>
    <row r="416" spans="1:21" x14ac:dyDescent="0.25">
      <c r="A416" t="s">
        <v>601</v>
      </c>
      <c r="B416" t="s">
        <v>602</v>
      </c>
      <c r="C416" t="s">
        <v>1175</v>
      </c>
      <c r="D416" s="1">
        <v>44055</v>
      </c>
      <c r="E416" s="1">
        <v>44056</v>
      </c>
      <c r="F416">
        <f t="shared" si="20"/>
        <v>1</v>
      </c>
      <c r="G416" s="1">
        <v>44053</v>
      </c>
      <c r="H416" s="2">
        <v>0.33333333333333331</v>
      </c>
      <c r="I416" s="3">
        <v>1</v>
      </c>
      <c r="J416" t="s">
        <v>1618</v>
      </c>
      <c r="K416" t="s">
        <v>1618</v>
      </c>
      <c r="L416" t="s">
        <v>22</v>
      </c>
      <c r="M416" s="12" t="s">
        <v>23</v>
      </c>
      <c r="N416">
        <v>4</v>
      </c>
      <c r="O416">
        <v>0</v>
      </c>
      <c r="P416" t="s">
        <v>19</v>
      </c>
      <c r="Q416" s="6">
        <v>110</v>
      </c>
      <c r="R416" t="str">
        <f t="shared" si="18"/>
        <v>Keji's 5 Star Short let Apartment in Lekki_x000C_</v>
      </c>
      <c r="S416" t="str">
        <f t="shared" si="19"/>
        <v>Keji's 5 Star Short let Apartment in Lekki</v>
      </c>
      <c r="T416">
        <f>Table1[[#This Row],[Adults]]+Table1[[#This Row],[Children]]</f>
        <v>4</v>
      </c>
      <c r="U416">
        <f>_xlfn.DAYS(Table1[[#This Row],[Depart]],Table1[[#This Row],[Arrive]])</f>
        <v>1</v>
      </c>
    </row>
    <row r="417" spans="1:21" x14ac:dyDescent="0.25">
      <c r="A417" t="s">
        <v>597</v>
      </c>
      <c r="B417" t="s">
        <v>598</v>
      </c>
      <c r="C417" t="s">
        <v>1178</v>
      </c>
      <c r="D417" s="1">
        <v>44055</v>
      </c>
      <c r="E417" s="1">
        <v>44056</v>
      </c>
      <c r="F417">
        <f t="shared" si="20"/>
        <v>1</v>
      </c>
      <c r="G417" s="1">
        <v>44052</v>
      </c>
      <c r="H417" s="2">
        <v>0.58333333333333337</v>
      </c>
      <c r="I417" s="2">
        <v>0.45833333333333331</v>
      </c>
      <c r="J417" t="s">
        <v>1628</v>
      </c>
      <c r="K417" t="s">
        <v>1628</v>
      </c>
      <c r="L417" t="s">
        <v>22</v>
      </c>
      <c r="M417" s="12" t="s">
        <v>23</v>
      </c>
      <c r="N417">
        <v>5</v>
      </c>
      <c r="O417">
        <v>0</v>
      </c>
      <c r="P417" t="s">
        <v>19</v>
      </c>
      <c r="Q417" s="6">
        <v>110</v>
      </c>
      <c r="R417" t="str">
        <f t="shared" si="18"/>
        <v>Ope's 5 Star Short Let Apartment in Lekki_x000C_</v>
      </c>
      <c r="S417" t="str">
        <f t="shared" si="19"/>
        <v>Ope's 5 Star Short Let Apartment in Lekki</v>
      </c>
      <c r="T417">
        <f>Table1[[#This Row],[Adults]]+Table1[[#This Row],[Children]]</f>
        <v>5</v>
      </c>
      <c r="U417">
        <f>_xlfn.DAYS(Table1[[#This Row],[Depart]],Table1[[#This Row],[Arrive]])</f>
        <v>1</v>
      </c>
    </row>
    <row r="418" spans="1:21" x14ac:dyDescent="0.25">
      <c r="A418" t="s">
        <v>895</v>
      </c>
      <c r="B418" t="s">
        <v>896</v>
      </c>
      <c r="C418" t="s">
        <v>1175</v>
      </c>
      <c r="D418" s="1">
        <v>44055</v>
      </c>
      <c r="E418" s="1">
        <v>44086</v>
      </c>
      <c r="F418">
        <f t="shared" si="20"/>
        <v>31</v>
      </c>
      <c r="G418" s="1">
        <v>44126</v>
      </c>
      <c r="H418" s="2">
        <v>0.5</v>
      </c>
      <c r="I418" s="2">
        <v>0.58333333333333337</v>
      </c>
      <c r="J418" t="s">
        <v>1912</v>
      </c>
      <c r="K418" t="s">
        <v>1912</v>
      </c>
      <c r="L418" t="s">
        <v>22</v>
      </c>
      <c r="M418" s="12" t="s">
        <v>18</v>
      </c>
      <c r="N418">
        <v>1</v>
      </c>
      <c r="O418">
        <v>0</v>
      </c>
      <c r="P418" t="s">
        <v>19</v>
      </c>
      <c r="Q418" s="6">
        <v>75000</v>
      </c>
      <c r="R418" t="str">
        <f t="shared" si="18"/>
        <v>Keji's 5 Star Short let Apartment in Lekki_x000C_</v>
      </c>
      <c r="S418" t="str">
        <f t="shared" si="19"/>
        <v>Keji's 5 Star Short let Apartment in Lekki</v>
      </c>
      <c r="T418">
        <f>Table1[[#This Row],[Adults]]+Table1[[#This Row],[Children]]</f>
        <v>1</v>
      </c>
      <c r="U418">
        <f>_xlfn.DAYS(Table1[[#This Row],[Depart]],Table1[[#This Row],[Arrive]])</f>
        <v>31</v>
      </c>
    </row>
    <row r="419" spans="1:21" x14ac:dyDescent="0.25">
      <c r="A419" t="s">
        <v>895</v>
      </c>
      <c r="B419" t="s">
        <v>896</v>
      </c>
      <c r="C419" t="s">
        <v>1175</v>
      </c>
      <c r="D419" s="1">
        <v>44055</v>
      </c>
      <c r="E419" s="1">
        <v>44086</v>
      </c>
      <c r="F419">
        <f t="shared" si="20"/>
        <v>31</v>
      </c>
      <c r="G419" s="1">
        <v>44126</v>
      </c>
      <c r="H419" s="2">
        <v>0.5</v>
      </c>
      <c r="I419" s="2">
        <v>0.58333333333333337</v>
      </c>
      <c r="J419" t="s">
        <v>1913</v>
      </c>
      <c r="K419" t="s">
        <v>1913</v>
      </c>
      <c r="L419" t="s">
        <v>22</v>
      </c>
      <c r="M419" s="12" t="s">
        <v>18</v>
      </c>
      <c r="N419">
        <v>1</v>
      </c>
      <c r="O419">
        <v>0</v>
      </c>
      <c r="P419" t="s">
        <v>19</v>
      </c>
      <c r="Q419" s="6">
        <v>75000</v>
      </c>
      <c r="R419" t="str">
        <f t="shared" si="18"/>
        <v>Keji's 5 Star Short let Apartment in Lekki_x000C_</v>
      </c>
      <c r="S419" t="str">
        <f t="shared" si="19"/>
        <v>Keji's 5 Star Short let Apartment in Lekki</v>
      </c>
      <c r="T419">
        <f>Table1[[#This Row],[Adults]]+Table1[[#This Row],[Children]]</f>
        <v>1</v>
      </c>
      <c r="U419">
        <f>_xlfn.DAYS(Table1[[#This Row],[Depart]],Table1[[#This Row],[Arrive]])</f>
        <v>31</v>
      </c>
    </row>
    <row r="420" spans="1:21" x14ac:dyDescent="0.25">
      <c r="A420" t="s">
        <v>895</v>
      </c>
      <c r="B420" t="s">
        <v>896</v>
      </c>
      <c r="C420" t="s">
        <v>1175</v>
      </c>
      <c r="D420" s="1">
        <v>44055</v>
      </c>
      <c r="E420" s="1">
        <v>44086</v>
      </c>
      <c r="F420">
        <f t="shared" si="20"/>
        <v>31</v>
      </c>
      <c r="G420" s="1">
        <v>44126</v>
      </c>
      <c r="H420" s="2">
        <v>0.5</v>
      </c>
      <c r="I420" s="2">
        <v>0.58333333333333337</v>
      </c>
      <c r="J420" t="s">
        <v>1914</v>
      </c>
      <c r="K420" t="s">
        <v>1914</v>
      </c>
      <c r="L420" t="s">
        <v>22</v>
      </c>
      <c r="M420" s="12" t="s">
        <v>18</v>
      </c>
      <c r="N420">
        <v>1</v>
      </c>
      <c r="O420">
        <v>0</v>
      </c>
      <c r="P420" t="s">
        <v>19</v>
      </c>
      <c r="Q420" s="6">
        <v>75000</v>
      </c>
      <c r="R420" t="str">
        <f t="shared" si="18"/>
        <v>Keji's 5 Star Short let Apartment in Lekki_x000C_</v>
      </c>
      <c r="S420" t="str">
        <f t="shared" si="19"/>
        <v>Keji's 5 Star Short let Apartment in Lekki</v>
      </c>
      <c r="T420">
        <f>Table1[[#This Row],[Adults]]+Table1[[#This Row],[Children]]</f>
        <v>1</v>
      </c>
      <c r="U420">
        <f>_xlfn.DAYS(Table1[[#This Row],[Depart]],Table1[[#This Row],[Arrive]])</f>
        <v>31</v>
      </c>
    </row>
    <row r="421" spans="1:21" x14ac:dyDescent="0.25">
      <c r="A421" t="s">
        <v>895</v>
      </c>
      <c r="B421" t="s">
        <v>896</v>
      </c>
      <c r="C421" t="s">
        <v>1175</v>
      </c>
      <c r="D421" s="1">
        <v>44055</v>
      </c>
      <c r="E421" s="1">
        <v>44086</v>
      </c>
      <c r="F421">
        <f t="shared" si="20"/>
        <v>31</v>
      </c>
      <c r="G421" s="1">
        <v>44126</v>
      </c>
      <c r="H421" s="2">
        <v>0.5</v>
      </c>
      <c r="I421" s="2">
        <v>0.58333333333333337</v>
      </c>
      <c r="J421" t="s">
        <v>1915</v>
      </c>
      <c r="K421" t="s">
        <v>1915</v>
      </c>
      <c r="L421" t="s">
        <v>22</v>
      </c>
      <c r="M421" s="12" t="s">
        <v>18</v>
      </c>
      <c r="N421">
        <v>1</v>
      </c>
      <c r="O421">
        <v>0</v>
      </c>
      <c r="P421" t="s">
        <v>19</v>
      </c>
      <c r="Q421" s="6">
        <v>75000</v>
      </c>
      <c r="R421" t="str">
        <f t="shared" si="18"/>
        <v>Keji's 5 Star Short let Apartment in Lekki_x000C_</v>
      </c>
      <c r="S421" t="str">
        <f t="shared" si="19"/>
        <v>Keji's 5 Star Short let Apartment in Lekki</v>
      </c>
      <c r="T421">
        <f>Table1[[#This Row],[Adults]]+Table1[[#This Row],[Children]]</f>
        <v>1</v>
      </c>
      <c r="U421">
        <f>_xlfn.DAYS(Table1[[#This Row],[Depart]],Table1[[#This Row],[Arrive]])</f>
        <v>31</v>
      </c>
    </row>
    <row r="422" spans="1:21" x14ac:dyDescent="0.25">
      <c r="A422" t="s">
        <v>895</v>
      </c>
      <c r="B422" t="s">
        <v>896</v>
      </c>
      <c r="C422" t="s">
        <v>1175</v>
      </c>
      <c r="D422" s="1">
        <v>44055</v>
      </c>
      <c r="E422" s="1">
        <v>44086</v>
      </c>
      <c r="F422">
        <f t="shared" si="20"/>
        <v>31</v>
      </c>
      <c r="G422" s="1">
        <v>44126</v>
      </c>
      <c r="H422" s="2">
        <v>0.5</v>
      </c>
      <c r="I422" s="2">
        <v>0.58333333333333337</v>
      </c>
      <c r="J422" t="s">
        <v>1916</v>
      </c>
      <c r="K422" t="s">
        <v>1916</v>
      </c>
      <c r="L422" t="s">
        <v>22</v>
      </c>
      <c r="M422" s="12" t="s">
        <v>18</v>
      </c>
      <c r="N422">
        <v>1</v>
      </c>
      <c r="O422">
        <v>0</v>
      </c>
      <c r="P422" t="s">
        <v>19</v>
      </c>
      <c r="Q422" s="6">
        <v>75000</v>
      </c>
      <c r="R422" t="str">
        <f t="shared" si="18"/>
        <v>Keji's 5 Star Short let Apartment in Lekki_x000C_</v>
      </c>
      <c r="S422" t="str">
        <f t="shared" si="19"/>
        <v>Keji's 5 Star Short let Apartment in Lekki</v>
      </c>
      <c r="T422">
        <f>Table1[[#This Row],[Adults]]+Table1[[#This Row],[Children]]</f>
        <v>1</v>
      </c>
      <c r="U422">
        <f>_xlfn.DAYS(Table1[[#This Row],[Depart]],Table1[[#This Row],[Arrive]])</f>
        <v>31</v>
      </c>
    </row>
    <row r="423" spans="1:21" x14ac:dyDescent="0.25">
      <c r="A423" t="s">
        <v>895</v>
      </c>
      <c r="B423" t="s">
        <v>896</v>
      </c>
      <c r="C423" t="s">
        <v>1175</v>
      </c>
      <c r="D423" s="1">
        <v>44055</v>
      </c>
      <c r="E423" s="1">
        <v>44086</v>
      </c>
      <c r="F423">
        <f t="shared" si="20"/>
        <v>31</v>
      </c>
      <c r="G423" s="1">
        <v>44126</v>
      </c>
      <c r="H423" s="2">
        <v>0.5</v>
      </c>
      <c r="I423" s="2">
        <v>0.58333333333333337</v>
      </c>
      <c r="J423" t="s">
        <v>1917</v>
      </c>
      <c r="K423" t="s">
        <v>1917</v>
      </c>
      <c r="L423" t="s">
        <v>22</v>
      </c>
      <c r="M423" s="12" t="s">
        <v>18</v>
      </c>
      <c r="N423">
        <v>1</v>
      </c>
      <c r="O423">
        <v>0</v>
      </c>
      <c r="P423" t="s">
        <v>19</v>
      </c>
      <c r="Q423" s="6">
        <v>75000</v>
      </c>
      <c r="R423" t="str">
        <f t="shared" si="18"/>
        <v>Keji's 5 Star Short let Apartment in Lekki_x000C_</v>
      </c>
      <c r="S423" t="str">
        <f t="shared" si="19"/>
        <v>Keji's 5 Star Short let Apartment in Lekki</v>
      </c>
      <c r="T423">
        <f>Table1[[#This Row],[Adults]]+Table1[[#This Row],[Children]]</f>
        <v>1</v>
      </c>
      <c r="U423">
        <f>_xlfn.DAYS(Table1[[#This Row],[Depart]],Table1[[#This Row],[Arrive]])</f>
        <v>31</v>
      </c>
    </row>
    <row r="424" spans="1:21" x14ac:dyDescent="0.25">
      <c r="A424" t="s">
        <v>895</v>
      </c>
      <c r="B424" t="s">
        <v>896</v>
      </c>
      <c r="C424" t="s">
        <v>1175</v>
      </c>
      <c r="D424" s="1">
        <v>44055</v>
      </c>
      <c r="E424" s="1">
        <v>44086</v>
      </c>
      <c r="F424">
        <f t="shared" si="20"/>
        <v>31</v>
      </c>
      <c r="G424" s="1">
        <v>44126</v>
      </c>
      <c r="H424" s="2">
        <v>0.5</v>
      </c>
      <c r="I424" s="2">
        <v>0.58333333333333337</v>
      </c>
      <c r="J424" t="s">
        <v>1918</v>
      </c>
      <c r="K424" t="s">
        <v>1918</v>
      </c>
      <c r="L424" t="s">
        <v>22</v>
      </c>
      <c r="M424" s="12" t="s">
        <v>18</v>
      </c>
      <c r="N424">
        <v>1</v>
      </c>
      <c r="O424">
        <v>0</v>
      </c>
      <c r="P424" t="s">
        <v>19</v>
      </c>
      <c r="Q424" s="6">
        <v>75000</v>
      </c>
      <c r="R424" t="str">
        <f t="shared" si="18"/>
        <v>Keji's 5 Star Short let Apartment in Lekki_x000C_</v>
      </c>
      <c r="S424" t="str">
        <f t="shared" si="19"/>
        <v>Keji's 5 Star Short let Apartment in Lekki</v>
      </c>
      <c r="T424">
        <f>Table1[[#This Row],[Adults]]+Table1[[#This Row],[Children]]</f>
        <v>1</v>
      </c>
      <c r="U424">
        <f>_xlfn.DAYS(Table1[[#This Row],[Depart]],Table1[[#This Row],[Arrive]])</f>
        <v>31</v>
      </c>
    </row>
    <row r="425" spans="1:21" x14ac:dyDescent="0.25">
      <c r="A425" t="s">
        <v>895</v>
      </c>
      <c r="B425" t="s">
        <v>896</v>
      </c>
      <c r="C425" t="s">
        <v>1175</v>
      </c>
      <c r="D425" s="1">
        <v>44055</v>
      </c>
      <c r="E425" s="1">
        <v>44086</v>
      </c>
      <c r="F425">
        <f t="shared" si="20"/>
        <v>31</v>
      </c>
      <c r="G425" s="1">
        <v>44126</v>
      </c>
      <c r="H425" s="2">
        <v>0.5</v>
      </c>
      <c r="I425" s="2">
        <v>0.58333333333333337</v>
      </c>
      <c r="J425" t="s">
        <v>1919</v>
      </c>
      <c r="K425" t="s">
        <v>1919</v>
      </c>
      <c r="L425" t="s">
        <v>22</v>
      </c>
      <c r="M425" s="12" t="s">
        <v>18</v>
      </c>
      <c r="N425">
        <v>1</v>
      </c>
      <c r="O425">
        <v>0</v>
      </c>
      <c r="P425" t="s">
        <v>19</v>
      </c>
      <c r="Q425" s="6">
        <v>75000</v>
      </c>
      <c r="R425" t="str">
        <f t="shared" si="18"/>
        <v>Keji's 5 Star Short let Apartment in Lekki_x000C_</v>
      </c>
      <c r="S425" t="str">
        <f t="shared" si="19"/>
        <v>Keji's 5 Star Short let Apartment in Lekki</v>
      </c>
      <c r="T425">
        <f>Table1[[#This Row],[Adults]]+Table1[[#This Row],[Children]]</f>
        <v>1</v>
      </c>
      <c r="U425">
        <f>_xlfn.DAYS(Table1[[#This Row],[Depart]],Table1[[#This Row],[Arrive]])</f>
        <v>31</v>
      </c>
    </row>
    <row r="426" spans="1:21" x14ac:dyDescent="0.25">
      <c r="A426" t="s">
        <v>895</v>
      </c>
      <c r="B426" t="s">
        <v>896</v>
      </c>
      <c r="C426" t="s">
        <v>1175</v>
      </c>
      <c r="D426" s="1">
        <v>44055</v>
      </c>
      <c r="E426" s="1">
        <v>44086</v>
      </c>
      <c r="F426">
        <f t="shared" si="20"/>
        <v>31</v>
      </c>
      <c r="G426" s="1">
        <v>44126</v>
      </c>
      <c r="H426" s="2">
        <v>0.5</v>
      </c>
      <c r="I426" s="2">
        <v>0.58333333333333337</v>
      </c>
      <c r="J426" t="s">
        <v>1920</v>
      </c>
      <c r="K426" t="s">
        <v>1920</v>
      </c>
      <c r="L426" t="s">
        <v>22</v>
      </c>
      <c r="M426" s="12" t="s">
        <v>18</v>
      </c>
      <c r="N426">
        <v>1</v>
      </c>
      <c r="O426">
        <v>0</v>
      </c>
      <c r="P426" t="s">
        <v>19</v>
      </c>
      <c r="Q426" s="6">
        <v>75000</v>
      </c>
      <c r="R426" t="str">
        <f t="shared" si="18"/>
        <v>Keji's 5 Star Short let Apartment in Lekki_x000C_</v>
      </c>
      <c r="S426" t="str">
        <f t="shared" si="19"/>
        <v>Keji's 5 Star Short let Apartment in Lekki</v>
      </c>
      <c r="T426">
        <f>Table1[[#This Row],[Adults]]+Table1[[#This Row],[Children]]</f>
        <v>1</v>
      </c>
      <c r="U426">
        <f>_xlfn.DAYS(Table1[[#This Row],[Depart]],Table1[[#This Row],[Arrive]])</f>
        <v>31</v>
      </c>
    </row>
    <row r="427" spans="1:21" x14ac:dyDescent="0.25">
      <c r="A427" t="s">
        <v>895</v>
      </c>
      <c r="B427" t="s">
        <v>896</v>
      </c>
      <c r="C427" t="s">
        <v>1175</v>
      </c>
      <c r="D427" s="1">
        <v>44055</v>
      </c>
      <c r="E427" s="1">
        <v>44086</v>
      </c>
      <c r="F427">
        <f t="shared" si="20"/>
        <v>31</v>
      </c>
      <c r="G427" s="1">
        <v>44126</v>
      </c>
      <c r="H427" s="2">
        <v>0.5</v>
      </c>
      <c r="I427" s="2">
        <v>0.58333333333333337</v>
      </c>
      <c r="J427" t="s">
        <v>1921</v>
      </c>
      <c r="K427" t="s">
        <v>1921</v>
      </c>
      <c r="L427" t="s">
        <v>22</v>
      </c>
      <c r="M427" s="12" t="s">
        <v>18</v>
      </c>
      <c r="N427">
        <v>1</v>
      </c>
      <c r="O427">
        <v>0</v>
      </c>
      <c r="P427" t="s">
        <v>19</v>
      </c>
      <c r="Q427" s="6">
        <v>75000</v>
      </c>
      <c r="R427" t="str">
        <f t="shared" si="18"/>
        <v>Keji's 5 Star Short let Apartment in Lekki_x000C_</v>
      </c>
      <c r="S427" t="str">
        <f t="shared" si="19"/>
        <v>Keji's 5 Star Short let Apartment in Lekki</v>
      </c>
      <c r="T427">
        <f>Table1[[#This Row],[Adults]]+Table1[[#This Row],[Children]]</f>
        <v>1</v>
      </c>
      <c r="U427">
        <f>_xlfn.DAYS(Table1[[#This Row],[Depart]],Table1[[#This Row],[Arrive]])</f>
        <v>31</v>
      </c>
    </row>
    <row r="428" spans="1:21" x14ac:dyDescent="0.25">
      <c r="A428" t="s">
        <v>895</v>
      </c>
      <c r="B428" t="s">
        <v>896</v>
      </c>
      <c r="C428" t="s">
        <v>1175</v>
      </c>
      <c r="D428" s="1">
        <v>44055</v>
      </c>
      <c r="E428" s="1">
        <v>44086</v>
      </c>
      <c r="F428">
        <f t="shared" si="20"/>
        <v>31</v>
      </c>
      <c r="G428" s="1">
        <v>44126</v>
      </c>
      <c r="H428" s="2">
        <v>0.5</v>
      </c>
      <c r="I428" s="2">
        <v>0.58333333333333337</v>
      </c>
      <c r="J428" t="s">
        <v>1922</v>
      </c>
      <c r="K428" t="s">
        <v>1922</v>
      </c>
      <c r="L428" t="s">
        <v>22</v>
      </c>
      <c r="M428" s="12" t="s">
        <v>18</v>
      </c>
      <c r="N428">
        <v>1</v>
      </c>
      <c r="O428">
        <v>0</v>
      </c>
      <c r="P428" t="s">
        <v>19</v>
      </c>
      <c r="Q428" s="6">
        <v>75000</v>
      </c>
      <c r="R428" t="str">
        <f t="shared" si="18"/>
        <v>Keji's 5 Star Short let Apartment in Lekki_x000C_</v>
      </c>
      <c r="S428" t="str">
        <f t="shared" si="19"/>
        <v>Keji's 5 Star Short let Apartment in Lekki</v>
      </c>
      <c r="T428">
        <f>Table1[[#This Row],[Adults]]+Table1[[#This Row],[Children]]</f>
        <v>1</v>
      </c>
      <c r="U428">
        <f>_xlfn.DAYS(Table1[[#This Row],[Depart]],Table1[[#This Row],[Arrive]])</f>
        <v>31</v>
      </c>
    </row>
    <row r="429" spans="1:21" x14ac:dyDescent="0.25">
      <c r="A429" t="s">
        <v>895</v>
      </c>
      <c r="B429" t="s">
        <v>896</v>
      </c>
      <c r="C429" t="s">
        <v>1175</v>
      </c>
      <c r="D429" s="1">
        <v>44055</v>
      </c>
      <c r="E429" s="1">
        <v>44086</v>
      </c>
      <c r="F429">
        <f t="shared" si="20"/>
        <v>31</v>
      </c>
      <c r="G429" s="1">
        <v>44126</v>
      </c>
      <c r="H429" s="2">
        <v>0.5</v>
      </c>
      <c r="I429" s="2">
        <v>0.58333333333333337</v>
      </c>
      <c r="J429" t="s">
        <v>1923</v>
      </c>
      <c r="K429" t="s">
        <v>1923</v>
      </c>
      <c r="L429" t="s">
        <v>22</v>
      </c>
      <c r="M429" s="12" t="s">
        <v>18</v>
      </c>
      <c r="N429">
        <v>1</v>
      </c>
      <c r="O429">
        <v>0</v>
      </c>
      <c r="P429" t="s">
        <v>19</v>
      </c>
      <c r="Q429" s="6">
        <v>75000</v>
      </c>
      <c r="R429" t="str">
        <f t="shared" si="18"/>
        <v>Keji's 5 Star Short let Apartment in Lekki_x000C_</v>
      </c>
      <c r="S429" t="str">
        <f t="shared" si="19"/>
        <v>Keji's 5 Star Short let Apartment in Lekki</v>
      </c>
      <c r="T429">
        <f>Table1[[#This Row],[Adults]]+Table1[[#This Row],[Children]]</f>
        <v>1</v>
      </c>
      <c r="U429">
        <f>_xlfn.DAYS(Table1[[#This Row],[Depart]],Table1[[#This Row],[Arrive]])</f>
        <v>31</v>
      </c>
    </row>
    <row r="430" spans="1:21" x14ac:dyDescent="0.25">
      <c r="A430" t="s">
        <v>871</v>
      </c>
      <c r="B430" t="s">
        <v>872</v>
      </c>
      <c r="C430" t="s">
        <v>1175</v>
      </c>
      <c r="D430" s="1">
        <v>44055</v>
      </c>
      <c r="E430" s="1">
        <v>44086</v>
      </c>
      <c r="F430">
        <f t="shared" si="20"/>
        <v>31</v>
      </c>
      <c r="G430" s="1">
        <v>44132</v>
      </c>
      <c r="H430" s="2">
        <v>0.5</v>
      </c>
      <c r="I430" s="2">
        <v>0.58333333333333337</v>
      </c>
      <c r="J430" t="s">
        <v>1945</v>
      </c>
      <c r="K430" t="s">
        <v>1945</v>
      </c>
      <c r="L430" t="s">
        <v>22</v>
      </c>
      <c r="M430" s="12" t="s">
        <v>18</v>
      </c>
      <c r="N430">
        <v>1</v>
      </c>
      <c r="O430">
        <v>0</v>
      </c>
      <c r="P430" t="s">
        <v>19</v>
      </c>
      <c r="Q430" s="6">
        <v>75000</v>
      </c>
      <c r="R430" t="str">
        <f t="shared" si="18"/>
        <v>Keji's 5 Star Short let Apartment in Lekki_x000C_</v>
      </c>
      <c r="S430" t="str">
        <f t="shared" si="19"/>
        <v>Keji's 5 Star Short let Apartment in Lekki</v>
      </c>
      <c r="T430">
        <f>Table1[[#This Row],[Adults]]+Table1[[#This Row],[Children]]</f>
        <v>1</v>
      </c>
      <c r="U430">
        <f>_xlfn.DAYS(Table1[[#This Row],[Depart]],Table1[[#This Row],[Arrive]])</f>
        <v>31</v>
      </c>
    </row>
    <row r="431" spans="1:21" x14ac:dyDescent="0.25">
      <c r="A431" t="s">
        <v>541</v>
      </c>
      <c r="B431" t="s">
        <v>542</v>
      </c>
      <c r="C431" t="s">
        <v>1178</v>
      </c>
      <c r="D431" s="1">
        <v>44056</v>
      </c>
      <c r="E431" s="1">
        <v>44058</v>
      </c>
      <c r="F431">
        <f t="shared" si="20"/>
        <v>2</v>
      </c>
      <c r="G431" s="1">
        <v>44043</v>
      </c>
      <c r="H431" s="2">
        <v>0.58333333333333337</v>
      </c>
      <c r="I431" s="2">
        <v>0.45833333333333331</v>
      </c>
      <c r="J431" t="s">
        <v>1566</v>
      </c>
      <c r="K431" t="s">
        <v>1566</v>
      </c>
      <c r="L431" t="s">
        <v>22</v>
      </c>
      <c r="M431" s="12" t="s">
        <v>23</v>
      </c>
      <c r="N431">
        <v>6</v>
      </c>
      <c r="O431">
        <v>2</v>
      </c>
      <c r="P431" t="s">
        <v>19</v>
      </c>
      <c r="Q431" s="6">
        <v>300</v>
      </c>
      <c r="R431" t="str">
        <f t="shared" si="18"/>
        <v>Ope's 5 Star Short Let Apartment in Lekki_x000C_</v>
      </c>
      <c r="S431" t="str">
        <f t="shared" si="19"/>
        <v>Ope's 5 Star Short Let Apartment in Lekki</v>
      </c>
      <c r="T431">
        <f>Table1[[#This Row],[Adults]]+Table1[[#This Row],[Children]]</f>
        <v>8</v>
      </c>
      <c r="U431">
        <f>_xlfn.DAYS(Table1[[#This Row],[Depart]],Table1[[#This Row],[Arrive]])</f>
        <v>2</v>
      </c>
    </row>
    <row r="432" spans="1:21" x14ac:dyDescent="0.25">
      <c r="A432" t="s">
        <v>597</v>
      </c>
      <c r="B432" t="s">
        <v>598</v>
      </c>
      <c r="C432" t="s">
        <v>1175</v>
      </c>
      <c r="D432" s="1">
        <v>44056</v>
      </c>
      <c r="E432" s="1">
        <v>44058</v>
      </c>
      <c r="F432">
        <f t="shared" si="20"/>
        <v>2</v>
      </c>
      <c r="G432" s="1">
        <v>44053</v>
      </c>
      <c r="H432" s="2">
        <v>0.33333333333333331</v>
      </c>
      <c r="I432" s="3">
        <v>1</v>
      </c>
      <c r="J432" t="s">
        <v>1616</v>
      </c>
      <c r="K432" t="s">
        <v>1616</v>
      </c>
      <c r="L432" t="s">
        <v>22</v>
      </c>
      <c r="M432" s="12" t="s">
        <v>18</v>
      </c>
      <c r="N432">
        <v>4</v>
      </c>
      <c r="O432">
        <v>0</v>
      </c>
      <c r="P432" t="s">
        <v>19</v>
      </c>
      <c r="Q432" s="6">
        <v>220</v>
      </c>
      <c r="R432" t="str">
        <f t="shared" si="18"/>
        <v>Keji's 5 Star Short let Apartment in Lekki_x000C_</v>
      </c>
      <c r="S432" t="str">
        <f t="shared" si="19"/>
        <v>Keji's 5 Star Short let Apartment in Lekki</v>
      </c>
      <c r="T432">
        <f>Table1[[#This Row],[Adults]]+Table1[[#This Row],[Children]]</f>
        <v>4</v>
      </c>
      <c r="U432">
        <f>_xlfn.DAYS(Table1[[#This Row],[Depart]],Table1[[#This Row],[Arrive]])</f>
        <v>2</v>
      </c>
    </row>
    <row r="433" spans="1:21" x14ac:dyDescent="0.25">
      <c r="A433" t="s">
        <v>296</v>
      </c>
      <c r="B433" t="s">
        <v>297</v>
      </c>
      <c r="C433" t="s">
        <v>1175</v>
      </c>
      <c r="D433" s="1">
        <v>44056</v>
      </c>
      <c r="E433" s="1">
        <v>44057</v>
      </c>
      <c r="F433">
        <f t="shared" si="20"/>
        <v>1</v>
      </c>
      <c r="G433" s="1">
        <v>44055</v>
      </c>
      <c r="H433" s="2">
        <v>0.33333333333333331</v>
      </c>
      <c r="I433" s="3">
        <v>1</v>
      </c>
      <c r="J433" t="s">
        <v>1627</v>
      </c>
      <c r="K433" t="s">
        <v>1627</v>
      </c>
      <c r="L433" t="s">
        <v>22</v>
      </c>
      <c r="M433" s="12" t="s">
        <v>23</v>
      </c>
      <c r="N433">
        <v>5</v>
      </c>
      <c r="O433">
        <v>0</v>
      </c>
      <c r="P433" t="s">
        <v>19</v>
      </c>
      <c r="Q433" s="6">
        <v>110</v>
      </c>
      <c r="R433" t="str">
        <f t="shared" si="18"/>
        <v>Keji's 5 Star Short let Apartment in Lekki_x000C_</v>
      </c>
      <c r="S433" t="str">
        <f t="shared" si="19"/>
        <v>Keji's 5 Star Short let Apartment in Lekki</v>
      </c>
      <c r="T433">
        <f>Table1[[#This Row],[Adults]]+Table1[[#This Row],[Children]]</f>
        <v>5</v>
      </c>
      <c r="U433">
        <f>_xlfn.DAYS(Table1[[#This Row],[Depart]],Table1[[#This Row],[Arrive]])</f>
        <v>1</v>
      </c>
    </row>
    <row r="434" spans="1:21" x14ac:dyDescent="0.25">
      <c r="A434" t="s">
        <v>244</v>
      </c>
      <c r="B434" t="s">
        <v>245</v>
      </c>
      <c r="C434" t="s">
        <v>1180</v>
      </c>
      <c r="D434" s="1">
        <v>44057</v>
      </c>
      <c r="E434" s="1">
        <v>44059</v>
      </c>
      <c r="F434">
        <f t="shared" si="20"/>
        <v>2</v>
      </c>
      <c r="G434" s="1">
        <v>44040</v>
      </c>
      <c r="H434" s="2">
        <v>0.58333333333333337</v>
      </c>
      <c r="I434" s="2">
        <v>0.45833333333333331</v>
      </c>
      <c r="J434" t="s">
        <v>1552</v>
      </c>
      <c r="K434" t="s">
        <v>1552</v>
      </c>
      <c r="L434" t="s">
        <v>22</v>
      </c>
      <c r="M434" s="12" t="s">
        <v>23</v>
      </c>
      <c r="N434">
        <v>5</v>
      </c>
      <c r="O434">
        <v>0</v>
      </c>
      <c r="P434" t="s">
        <v>19</v>
      </c>
      <c r="Q434" s="6">
        <v>220</v>
      </c>
      <c r="R434" t="str">
        <f t="shared" si="18"/>
        <v>Zoe's 5 Star Short let Apartment in Lekki_x000C_</v>
      </c>
      <c r="S434" t="str">
        <f t="shared" si="19"/>
        <v>Zoe's 5 Star Short let Apartment in Lekki</v>
      </c>
      <c r="T434">
        <f>Table1[[#This Row],[Adults]]+Table1[[#This Row],[Children]]</f>
        <v>5</v>
      </c>
      <c r="U434">
        <f>_xlfn.DAYS(Table1[[#This Row],[Depart]],Table1[[#This Row],[Arrive]])</f>
        <v>2</v>
      </c>
    </row>
    <row r="435" spans="1:21" x14ac:dyDescent="0.25">
      <c r="A435" t="s">
        <v>482</v>
      </c>
      <c r="B435" t="s">
        <v>483</v>
      </c>
      <c r="C435" t="s">
        <v>1175</v>
      </c>
      <c r="D435" s="1">
        <v>44057</v>
      </c>
      <c r="E435" s="1">
        <v>44058</v>
      </c>
      <c r="F435">
        <f t="shared" si="20"/>
        <v>1</v>
      </c>
      <c r="G435" s="1">
        <v>44026</v>
      </c>
      <c r="H435" s="2">
        <v>0.33333333333333331</v>
      </c>
      <c r="I435" s="3">
        <v>1</v>
      </c>
      <c r="J435" t="s">
        <v>1579</v>
      </c>
      <c r="K435" t="s">
        <v>1579</v>
      </c>
      <c r="L435" t="s">
        <v>22</v>
      </c>
      <c r="M435" s="12" t="s">
        <v>18</v>
      </c>
      <c r="N435">
        <v>7</v>
      </c>
      <c r="O435">
        <v>0</v>
      </c>
      <c r="P435" t="s">
        <v>19</v>
      </c>
      <c r="Q435" s="6">
        <v>155</v>
      </c>
      <c r="R435" t="str">
        <f t="shared" si="18"/>
        <v>Keji's 5 Star Short let Apartment in Lekki_x000C_</v>
      </c>
      <c r="S435" t="str">
        <f t="shared" si="19"/>
        <v>Keji's 5 Star Short let Apartment in Lekki</v>
      </c>
      <c r="T435">
        <f>Table1[[#This Row],[Adults]]+Table1[[#This Row],[Children]]</f>
        <v>7</v>
      </c>
      <c r="U435">
        <f>_xlfn.DAYS(Table1[[#This Row],[Depart]],Table1[[#This Row],[Arrive]])</f>
        <v>1</v>
      </c>
    </row>
    <row r="436" spans="1:21" x14ac:dyDescent="0.25">
      <c r="A436" t="s">
        <v>599</v>
      </c>
      <c r="B436" t="s">
        <v>600</v>
      </c>
      <c r="C436" t="s">
        <v>1175</v>
      </c>
      <c r="D436" s="1">
        <v>44057</v>
      </c>
      <c r="E436" s="1">
        <v>44058</v>
      </c>
      <c r="F436">
        <f t="shared" si="20"/>
        <v>1</v>
      </c>
      <c r="G436" s="1">
        <v>44053</v>
      </c>
      <c r="H436" s="2">
        <v>0.33333333333333331</v>
      </c>
      <c r="I436" s="3">
        <v>1</v>
      </c>
      <c r="J436" t="s">
        <v>1617</v>
      </c>
      <c r="K436" t="s">
        <v>1617</v>
      </c>
      <c r="L436" t="s">
        <v>22</v>
      </c>
      <c r="M436" s="12" t="s">
        <v>23</v>
      </c>
      <c r="N436">
        <v>5</v>
      </c>
      <c r="O436">
        <v>0</v>
      </c>
      <c r="P436" t="s">
        <v>19</v>
      </c>
      <c r="Q436" s="6">
        <v>110</v>
      </c>
      <c r="R436" t="str">
        <f t="shared" si="18"/>
        <v>Keji's 5 Star Short let Apartment in Lekki_x000C_</v>
      </c>
      <c r="S436" t="str">
        <f t="shared" si="19"/>
        <v>Keji's 5 Star Short let Apartment in Lekki</v>
      </c>
      <c r="T436">
        <f>Table1[[#This Row],[Adults]]+Table1[[#This Row],[Children]]</f>
        <v>5</v>
      </c>
      <c r="U436">
        <f>_xlfn.DAYS(Table1[[#This Row],[Depart]],Table1[[#This Row],[Arrive]])</f>
        <v>1</v>
      </c>
    </row>
    <row r="437" spans="1:21" x14ac:dyDescent="0.25">
      <c r="A437" t="s">
        <v>444</v>
      </c>
      <c r="B437" t="s">
        <v>445</v>
      </c>
      <c r="C437" t="s">
        <v>1175</v>
      </c>
      <c r="D437" s="1">
        <v>44058</v>
      </c>
      <c r="E437" s="1">
        <v>44060</v>
      </c>
      <c r="F437">
        <f t="shared" si="20"/>
        <v>2</v>
      </c>
      <c r="G437" s="1">
        <v>44019</v>
      </c>
      <c r="H437" s="2">
        <v>0.33333333333333331</v>
      </c>
      <c r="I437" s="3">
        <v>1</v>
      </c>
      <c r="J437" t="s">
        <v>1499</v>
      </c>
      <c r="K437" t="s">
        <v>1499</v>
      </c>
      <c r="L437" t="s">
        <v>22</v>
      </c>
      <c r="M437" s="12" t="s">
        <v>18</v>
      </c>
      <c r="N437">
        <v>3</v>
      </c>
      <c r="O437">
        <v>0</v>
      </c>
      <c r="P437" t="s">
        <v>19</v>
      </c>
      <c r="Q437" s="6">
        <v>270</v>
      </c>
      <c r="R437" t="str">
        <f t="shared" si="18"/>
        <v>Keji's 5 Star Short let Apartment in Lekki_x000C_</v>
      </c>
      <c r="S437" t="str">
        <f t="shared" si="19"/>
        <v>Keji's 5 Star Short let Apartment in Lekki</v>
      </c>
      <c r="T437">
        <f>Table1[[#This Row],[Adults]]+Table1[[#This Row],[Children]]</f>
        <v>3</v>
      </c>
      <c r="U437">
        <f>_xlfn.DAYS(Table1[[#This Row],[Depart]],Table1[[#This Row],[Arrive]])</f>
        <v>2</v>
      </c>
    </row>
    <row r="438" spans="1:21" x14ac:dyDescent="0.25">
      <c r="A438" t="s">
        <v>458</v>
      </c>
      <c r="B438" t="s">
        <v>459</v>
      </c>
      <c r="C438" t="s">
        <v>1175</v>
      </c>
      <c r="D438" s="1">
        <v>44058</v>
      </c>
      <c r="E438" s="1">
        <v>44060</v>
      </c>
      <c r="F438">
        <f t="shared" si="20"/>
        <v>2</v>
      </c>
      <c r="G438" s="1">
        <v>44021</v>
      </c>
      <c r="H438" s="2">
        <v>0.33333333333333331</v>
      </c>
      <c r="I438" s="3">
        <v>1</v>
      </c>
      <c r="J438" t="s">
        <v>1508</v>
      </c>
      <c r="K438" t="s">
        <v>1508</v>
      </c>
      <c r="L438" t="s">
        <v>22</v>
      </c>
      <c r="M438" s="12" t="s">
        <v>23</v>
      </c>
      <c r="N438">
        <v>4</v>
      </c>
      <c r="O438">
        <v>0</v>
      </c>
      <c r="P438" t="s">
        <v>19</v>
      </c>
      <c r="Q438" s="6">
        <v>270</v>
      </c>
      <c r="R438" t="str">
        <f t="shared" si="18"/>
        <v>Keji's 5 Star Short let Apartment in Lekki_x000C_</v>
      </c>
      <c r="S438" t="str">
        <f t="shared" si="19"/>
        <v>Keji's 5 Star Short let Apartment in Lekki</v>
      </c>
      <c r="T438">
        <f>Table1[[#This Row],[Adults]]+Table1[[#This Row],[Children]]</f>
        <v>4</v>
      </c>
      <c r="U438">
        <f>_xlfn.DAYS(Table1[[#This Row],[Depart]],Table1[[#This Row],[Arrive]])</f>
        <v>2</v>
      </c>
    </row>
    <row r="439" spans="1:21" x14ac:dyDescent="0.25">
      <c r="A439" t="s">
        <v>462</v>
      </c>
      <c r="B439" t="s">
        <v>463</v>
      </c>
      <c r="C439" t="s">
        <v>1178</v>
      </c>
      <c r="D439" s="1">
        <v>44058</v>
      </c>
      <c r="E439" s="1">
        <v>44059</v>
      </c>
      <c r="F439">
        <f t="shared" si="20"/>
        <v>1</v>
      </c>
      <c r="G439" s="1">
        <v>44021</v>
      </c>
      <c r="H439" s="2">
        <v>0.33333333333333331</v>
      </c>
      <c r="I439" s="3">
        <v>1</v>
      </c>
      <c r="J439" t="s">
        <v>1510</v>
      </c>
      <c r="K439" t="s">
        <v>1510</v>
      </c>
      <c r="L439" t="s">
        <v>22</v>
      </c>
      <c r="M439" s="12" t="s">
        <v>18</v>
      </c>
      <c r="N439">
        <v>6</v>
      </c>
      <c r="O439">
        <v>0</v>
      </c>
      <c r="P439" t="s">
        <v>19</v>
      </c>
      <c r="Q439" s="6">
        <v>135</v>
      </c>
      <c r="R439" t="str">
        <f t="shared" si="18"/>
        <v>Ope's 5 Star Short Let Apartment in Lekki_x000C_</v>
      </c>
      <c r="S439" t="str">
        <f t="shared" si="19"/>
        <v>Ope's 5 Star Short Let Apartment in Lekki</v>
      </c>
      <c r="T439">
        <f>Table1[[#This Row],[Adults]]+Table1[[#This Row],[Children]]</f>
        <v>6</v>
      </c>
      <c r="U439">
        <f>_xlfn.DAYS(Table1[[#This Row],[Depart]],Table1[[#This Row],[Arrive]])</f>
        <v>1</v>
      </c>
    </row>
    <row r="440" spans="1:21" x14ac:dyDescent="0.25">
      <c r="A440" t="s">
        <v>464</v>
      </c>
      <c r="B440" t="s">
        <v>465</v>
      </c>
      <c r="C440" t="s">
        <v>1178</v>
      </c>
      <c r="D440" s="1">
        <v>44058</v>
      </c>
      <c r="E440" s="1">
        <v>44059</v>
      </c>
      <c r="F440">
        <f t="shared" si="20"/>
        <v>1</v>
      </c>
      <c r="G440" s="1">
        <v>44022</v>
      </c>
      <c r="H440" s="2">
        <v>0.33333333333333331</v>
      </c>
      <c r="I440" s="3">
        <v>1</v>
      </c>
      <c r="J440" t="s">
        <v>1511</v>
      </c>
      <c r="K440" t="s">
        <v>1511</v>
      </c>
      <c r="L440" t="s">
        <v>22</v>
      </c>
      <c r="M440" s="12" t="s">
        <v>23</v>
      </c>
      <c r="N440">
        <v>6</v>
      </c>
      <c r="O440">
        <v>0</v>
      </c>
      <c r="P440" t="s">
        <v>19</v>
      </c>
      <c r="Q440" s="6">
        <v>135</v>
      </c>
      <c r="R440" t="str">
        <f t="shared" si="18"/>
        <v>Ope's 5 Star Short Let Apartment in Lekki_x000C_</v>
      </c>
      <c r="S440" t="str">
        <f t="shared" si="19"/>
        <v>Ope's 5 Star Short Let Apartment in Lekki</v>
      </c>
      <c r="T440">
        <f>Table1[[#This Row],[Adults]]+Table1[[#This Row],[Children]]</f>
        <v>6</v>
      </c>
      <c r="U440">
        <f>_xlfn.DAYS(Table1[[#This Row],[Depart]],Table1[[#This Row],[Arrive]])</f>
        <v>1</v>
      </c>
    </row>
    <row r="441" spans="1:21" x14ac:dyDescent="0.25">
      <c r="A441" t="s">
        <v>518</v>
      </c>
      <c r="B441" t="s">
        <v>519</v>
      </c>
      <c r="C441" t="s">
        <v>1173</v>
      </c>
      <c r="D441" s="1">
        <v>44058</v>
      </c>
      <c r="E441" s="1">
        <v>44063</v>
      </c>
      <c r="F441">
        <f t="shared" si="20"/>
        <v>5</v>
      </c>
      <c r="G441" s="1">
        <v>43905</v>
      </c>
      <c r="H441" s="2">
        <v>0.33333333333333331</v>
      </c>
      <c r="I441" s="3">
        <v>1</v>
      </c>
      <c r="J441" t="s">
        <v>2178</v>
      </c>
      <c r="K441" t="s">
        <v>1549</v>
      </c>
      <c r="L441" t="s">
        <v>520</v>
      </c>
      <c r="M441" s="12" t="s">
        <v>18</v>
      </c>
      <c r="N441">
        <v>2</v>
      </c>
      <c r="O441">
        <v>3</v>
      </c>
      <c r="P441" t="s">
        <v>19</v>
      </c>
      <c r="Q441" s="6">
        <v>536</v>
      </c>
      <c r="R441" t="str">
        <f t="shared" si="18"/>
        <v xml:space="preserve"> The Daniels 5 Star Short Let Apartment in Lekki_x000C_</v>
      </c>
      <c r="S441" t="str">
        <f t="shared" si="19"/>
        <v xml:space="preserve"> The Daniels 5 Star Short Let Apartment in Lekki</v>
      </c>
      <c r="T441">
        <f>Table1[[#This Row],[Adults]]+Table1[[#This Row],[Children]]</f>
        <v>5</v>
      </c>
      <c r="U441">
        <f>_xlfn.DAYS(Table1[[#This Row],[Depart]],Table1[[#This Row],[Arrive]])</f>
        <v>5</v>
      </c>
    </row>
    <row r="442" spans="1:21" x14ac:dyDescent="0.25">
      <c r="A442" t="s">
        <v>444</v>
      </c>
      <c r="B442" t="s">
        <v>445</v>
      </c>
      <c r="C442" t="s">
        <v>1179</v>
      </c>
      <c r="D442" s="1">
        <v>44058</v>
      </c>
      <c r="E442" s="1">
        <v>44060</v>
      </c>
      <c r="F442">
        <f t="shared" si="20"/>
        <v>2</v>
      </c>
      <c r="G442" s="1">
        <v>44020</v>
      </c>
      <c r="H442" s="2">
        <v>0.33333333333333331</v>
      </c>
      <c r="I442" s="3">
        <v>1</v>
      </c>
      <c r="J442" t="s">
        <v>1578</v>
      </c>
      <c r="K442" t="s">
        <v>1578</v>
      </c>
      <c r="L442" t="s">
        <v>22</v>
      </c>
      <c r="M442" s="12" t="s">
        <v>23</v>
      </c>
      <c r="N442">
        <v>5</v>
      </c>
      <c r="O442">
        <v>0</v>
      </c>
      <c r="P442" t="s">
        <v>19</v>
      </c>
      <c r="Q442" s="6">
        <v>220</v>
      </c>
      <c r="R442" t="str">
        <f t="shared" si="18"/>
        <v>Phiola's 5 Star Short Let Apartment in Lekki_x000C_</v>
      </c>
      <c r="S442" t="str">
        <f t="shared" si="19"/>
        <v>Phiola's 5 Star Short Let Apartment in Lekki</v>
      </c>
      <c r="T442">
        <f>Table1[[#This Row],[Adults]]+Table1[[#This Row],[Children]]</f>
        <v>5</v>
      </c>
      <c r="U442">
        <f>_xlfn.DAYS(Table1[[#This Row],[Depart]],Table1[[#This Row],[Arrive]])</f>
        <v>2</v>
      </c>
    </row>
    <row r="443" spans="1:21" x14ac:dyDescent="0.25">
      <c r="A443" t="s">
        <v>525</v>
      </c>
      <c r="B443" t="s">
        <v>526</v>
      </c>
      <c r="C443" t="s">
        <v>1173</v>
      </c>
      <c r="D443" s="1">
        <v>44059</v>
      </c>
      <c r="E443" s="1">
        <v>44063</v>
      </c>
      <c r="F443">
        <f t="shared" si="20"/>
        <v>4</v>
      </c>
      <c r="G443" s="1">
        <v>44040</v>
      </c>
      <c r="H443" s="2">
        <v>0.33333333333333331</v>
      </c>
      <c r="I443" s="3">
        <v>1</v>
      </c>
      <c r="J443" t="s">
        <v>1554</v>
      </c>
      <c r="K443" t="s">
        <v>1554</v>
      </c>
      <c r="L443" t="s">
        <v>26</v>
      </c>
      <c r="M443" s="12" t="s">
        <v>18</v>
      </c>
      <c r="N443">
        <v>1</v>
      </c>
      <c r="O443">
        <v>0</v>
      </c>
      <c r="P443" t="s">
        <v>19</v>
      </c>
      <c r="Q443" s="6">
        <v>521</v>
      </c>
      <c r="R443" t="str">
        <f t="shared" si="18"/>
        <v xml:space="preserve"> The Daniels 5 Star Short Let Apartment in Lekki_x000C_</v>
      </c>
      <c r="S443" t="str">
        <f t="shared" si="19"/>
        <v xml:space="preserve"> The Daniels 5 Star Short Let Apartment in Lekki</v>
      </c>
      <c r="T443">
        <f>Table1[[#This Row],[Adults]]+Table1[[#This Row],[Children]]</f>
        <v>1</v>
      </c>
      <c r="U443">
        <f>_xlfn.DAYS(Table1[[#This Row],[Depart]],Table1[[#This Row],[Arrive]])</f>
        <v>4</v>
      </c>
    </row>
    <row r="444" spans="1:21" x14ac:dyDescent="0.25">
      <c r="A444" t="s">
        <v>535</v>
      </c>
      <c r="B444" t="s">
        <v>536</v>
      </c>
      <c r="C444" t="s">
        <v>1173</v>
      </c>
      <c r="D444" s="1">
        <v>44059</v>
      </c>
      <c r="E444" s="1">
        <v>44064</v>
      </c>
      <c r="F444">
        <f t="shared" si="20"/>
        <v>5</v>
      </c>
      <c r="G444" s="1">
        <v>44041</v>
      </c>
      <c r="H444" s="2">
        <v>0.33333333333333331</v>
      </c>
      <c r="I444" s="3">
        <v>1</v>
      </c>
      <c r="J444" t="s">
        <v>1561</v>
      </c>
      <c r="K444" t="s">
        <v>1561</v>
      </c>
      <c r="L444" t="s">
        <v>22</v>
      </c>
      <c r="M444" s="12" t="s">
        <v>23</v>
      </c>
      <c r="N444">
        <v>6</v>
      </c>
      <c r="O444">
        <v>0</v>
      </c>
      <c r="P444" t="s">
        <v>19</v>
      </c>
      <c r="Q444" s="6">
        <v>550</v>
      </c>
      <c r="R444" t="str">
        <f t="shared" si="18"/>
        <v xml:space="preserve"> The Daniels 5 Star Short Let Apartment in Lekki_x000C_</v>
      </c>
      <c r="S444" t="str">
        <f t="shared" si="19"/>
        <v xml:space="preserve"> The Daniels 5 Star Short Let Apartment in Lekki</v>
      </c>
      <c r="T444">
        <f>Table1[[#This Row],[Adults]]+Table1[[#This Row],[Children]]</f>
        <v>6</v>
      </c>
      <c r="U444">
        <f>_xlfn.DAYS(Table1[[#This Row],[Depart]],Table1[[#This Row],[Arrive]])</f>
        <v>5</v>
      </c>
    </row>
    <row r="445" spans="1:21" x14ac:dyDescent="0.25">
      <c r="A445" t="s">
        <v>569</v>
      </c>
      <c r="B445" t="s">
        <v>570</v>
      </c>
      <c r="C445" t="s">
        <v>1178</v>
      </c>
      <c r="D445" s="1">
        <v>44059</v>
      </c>
      <c r="E445" s="1">
        <v>44060</v>
      </c>
      <c r="F445">
        <f t="shared" si="20"/>
        <v>1</v>
      </c>
      <c r="G445" s="1">
        <v>44050</v>
      </c>
      <c r="H445" s="2">
        <v>0.58333333333333337</v>
      </c>
      <c r="I445" s="2">
        <v>0.45833333333333331</v>
      </c>
      <c r="J445" t="s">
        <v>1597</v>
      </c>
      <c r="K445" t="s">
        <v>1597</v>
      </c>
      <c r="L445" t="s">
        <v>22</v>
      </c>
      <c r="M445" s="12" t="s">
        <v>23</v>
      </c>
      <c r="N445">
        <v>5</v>
      </c>
      <c r="O445">
        <v>0</v>
      </c>
      <c r="P445" t="s">
        <v>19</v>
      </c>
      <c r="Q445" s="6">
        <v>110</v>
      </c>
      <c r="R445" t="str">
        <f t="shared" si="18"/>
        <v>Ope's 5 Star Short Let Apartment in Lekki_x000C_</v>
      </c>
      <c r="S445" t="str">
        <f t="shared" si="19"/>
        <v>Ope's 5 Star Short Let Apartment in Lekki</v>
      </c>
      <c r="T445">
        <f>Table1[[#This Row],[Adults]]+Table1[[#This Row],[Children]]</f>
        <v>5</v>
      </c>
      <c r="U445">
        <f>_xlfn.DAYS(Table1[[#This Row],[Depart]],Table1[[#This Row],[Arrive]])</f>
        <v>1</v>
      </c>
    </row>
    <row r="446" spans="1:21" x14ac:dyDescent="0.25">
      <c r="A446" t="s">
        <v>591</v>
      </c>
      <c r="B446" t="s">
        <v>592</v>
      </c>
      <c r="C446" t="s">
        <v>1180</v>
      </c>
      <c r="D446" s="1">
        <v>44059</v>
      </c>
      <c r="E446" s="1">
        <v>44060</v>
      </c>
      <c r="F446">
        <f t="shared" si="20"/>
        <v>1</v>
      </c>
      <c r="G446" s="1">
        <v>44055</v>
      </c>
      <c r="H446" s="2">
        <v>0.58333333333333337</v>
      </c>
      <c r="I446" s="2">
        <v>0.45833333333333331</v>
      </c>
      <c r="J446" s="4" t="s">
        <v>1624</v>
      </c>
      <c r="K446" s="4" t="s">
        <v>1624</v>
      </c>
      <c r="L446" t="s">
        <v>22</v>
      </c>
      <c r="M446" s="12" t="s">
        <v>23</v>
      </c>
      <c r="N446">
        <v>5</v>
      </c>
      <c r="O446">
        <v>0</v>
      </c>
      <c r="P446" t="s">
        <v>19</v>
      </c>
      <c r="Q446" s="6">
        <v>110</v>
      </c>
      <c r="R446" t="str">
        <f t="shared" si="18"/>
        <v>Zoe's 5 Star Short let Apartment in Lekki_x000C_</v>
      </c>
      <c r="S446" t="str">
        <f t="shared" si="19"/>
        <v>Zoe's 5 Star Short let Apartment in Lekki</v>
      </c>
      <c r="T446">
        <f>Table1[[#This Row],[Adults]]+Table1[[#This Row],[Children]]</f>
        <v>5</v>
      </c>
      <c r="U446">
        <f>_xlfn.DAYS(Table1[[#This Row],[Depart]],Table1[[#This Row],[Arrive]])</f>
        <v>1</v>
      </c>
    </row>
    <row r="447" spans="1:21" x14ac:dyDescent="0.25">
      <c r="A447" t="s">
        <v>296</v>
      </c>
      <c r="B447" t="s">
        <v>297</v>
      </c>
      <c r="C447" t="s">
        <v>1175</v>
      </c>
      <c r="D447" s="1">
        <v>44060</v>
      </c>
      <c r="E447" s="1">
        <v>44065</v>
      </c>
      <c r="F447">
        <f t="shared" si="20"/>
        <v>5</v>
      </c>
      <c r="G447" s="1">
        <v>44050</v>
      </c>
      <c r="H447" s="2">
        <v>0.33333333333333331</v>
      </c>
      <c r="I447" s="3">
        <v>1</v>
      </c>
      <c r="J447" t="s">
        <v>1596</v>
      </c>
      <c r="K447" t="s">
        <v>1596</v>
      </c>
      <c r="L447" t="s">
        <v>22</v>
      </c>
      <c r="M447" s="12" t="s">
        <v>23</v>
      </c>
      <c r="N447">
        <v>4</v>
      </c>
      <c r="O447">
        <v>0</v>
      </c>
      <c r="P447" t="s">
        <v>19</v>
      </c>
      <c r="Q447" s="6">
        <v>550</v>
      </c>
      <c r="R447" t="str">
        <f t="shared" si="18"/>
        <v>Keji's 5 Star Short let Apartment in Lekki_x000C_</v>
      </c>
      <c r="S447" t="str">
        <f t="shared" si="19"/>
        <v>Keji's 5 Star Short let Apartment in Lekki</v>
      </c>
      <c r="T447">
        <f>Table1[[#This Row],[Adults]]+Table1[[#This Row],[Children]]</f>
        <v>4</v>
      </c>
      <c r="U447">
        <f>_xlfn.DAYS(Table1[[#This Row],[Depart]],Table1[[#This Row],[Arrive]])</f>
        <v>5</v>
      </c>
    </row>
    <row r="448" spans="1:21" x14ac:dyDescent="0.25">
      <c r="A448" t="s">
        <v>468</v>
      </c>
      <c r="B448" t="s">
        <v>469</v>
      </c>
      <c r="C448" t="s">
        <v>1178</v>
      </c>
      <c r="D448" s="1">
        <v>44060</v>
      </c>
      <c r="E448" s="1">
        <v>44065</v>
      </c>
      <c r="F448">
        <f t="shared" si="20"/>
        <v>5</v>
      </c>
      <c r="G448" s="1">
        <v>44056</v>
      </c>
      <c r="H448" s="2">
        <v>0.58333333333333337</v>
      </c>
      <c r="I448" s="2">
        <v>0.45833333333333331</v>
      </c>
      <c r="J448" t="s">
        <v>1630</v>
      </c>
      <c r="K448" t="s">
        <v>1630</v>
      </c>
      <c r="L448" t="s">
        <v>22</v>
      </c>
      <c r="M448" s="12" t="s">
        <v>23</v>
      </c>
      <c r="N448">
        <v>6</v>
      </c>
      <c r="O448">
        <v>0</v>
      </c>
      <c r="P448" t="s">
        <v>19</v>
      </c>
      <c r="Q448" s="6">
        <v>110</v>
      </c>
      <c r="R448" t="str">
        <f t="shared" si="18"/>
        <v>Ope's 5 Star Short Let Apartment in Lekki_x000C_</v>
      </c>
      <c r="S448" t="str">
        <f t="shared" si="19"/>
        <v>Ope's 5 Star Short Let Apartment in Lekki</v>
      </c>
      <c r="T448">
        <f>Table1[[#This Row],[Adults]]+Table1[[#This Row],[Children]]</f>
        <v>6</v>
      </c>
      <c r="U448">
        <f>_xlfn.DAYS(Table1[[#This Row],[Depart]],Table1[[#This Row],[Arrive]])</f>
        <v>5</v>
      </c>
    </row>
    <row r="449" spans="1:21" x14ac:dyDescent="0.25">
      <c r="A449" t="s">
        <v>591</v>
      </c>
      <c r="B449" t="s">
        <v>592</v>
      </c>
      <c r="C449" t="s">
        <v>1179</v>
      </c>
      <c r="D449" s="1">
        <v>44060</v>
      </c>
      <c r="E449" s="1">
        <v>44063</v>
      </c>
      <c r="F449">
        <f t="shared" si="20"/>
        <v>3</v>
      </c>
      <c r="G449" s="1">
        <v>44055</v>
      </c>
      <c r="H449" s="2">
        <v>0.33333333333333331</v>
      </c>
      <c r="I449" s="3">
        <v>1</v>
      </c>
      <c r="J449" t="s">
        <v>1640</v>
      </c>
      <c r="K449" t="s">
        <v>1640</v>
      </c>
      <c r="L449" t="s">
        <v>22</v>
      </c>
      <c r="M449" s="12" t="s">
        <v>23</v>
      </c>
      <c r="N449">
        <v>6</v>
      </c>
      <c r="O449">
        <v>0</v>
      </c>
      <c r="P449" t="s">
        <v>19</v>
      </c>
      <c r="Q449" s="6">
        <v>330</v>
      </c>
      <c r="R449" t="str">
        <f t="shared" si="18"/>
        <v>Phiola's 5 Star Short Let Apartment in Lekki_x000C_</v>
      </c>
      <c r="S449" t="str">
        <f t="shared" si="19"/>
        <v>Phiola's 5 Star Short Let Apartment in Lekki</v>
      </c>
      <c r="T449">
        <f>Table1[[#This Row],[Adults]]+Table1[[#This Row],[Children]]</f>
        <v>6</v>
      </c>
      <c r="U449">
        <f>_xlfn.DAYS(Table1[[#This Row],[Depart]],Table1[[#This Row],[Arrive]])</f>
        <v>3</v>
      </c>
    </row>
    <row r="450" spans="1:21" x14ac:dyDescent="0.25">
      <c r="A450" t="s">
        <v>210</v>
      </c>
      <c r="B450" t="s">
        <v>211</v>
      </c>
      <c r="C450" t="s">
        <v>1179</v>
      </c>
      <c r="D450" s="1">
        <v>44061</v>
      </c>
      <c r="E450" s="1">
        <v>44076</v>
      </c>
      <c r="F450">
        <f t="shared" si="20"/>
        <v>15</v>
      </c>
      <c r="G450" s="1">
        <v>43958</v>
      </c>
      <c r="H450" s="2">
        <v>0.33333333333333331</v>
      </c>
      <c r="I450" s="3">
        <v>1</v>
      </c>
      <c r="J450" t="s">
        <v>2179</v>
      </c>
      <c r="K450" t="s">
        <v>1215</v>
      </c>
      <c r="L450" t="s">
        <v>17</v>
      </c>
      <c r="M450" s="12" t="s">
        <v>18</v>
      </c>
      <c r="N450">
        <v>2</v>
      </c>
      <c r="O450">
        <v>0</v>
      </c>
      <c r="P450" t="s">
        <v>19</v>
      </c>
      <c r="Q450" s="6">
        <v>1917</v>
      </c>
      <c r="R450" t="str">
        <f t="shared" ref="R450:R513" si="21">SUBSTITUTE(C:C,"?","'")</f>
        <v>Phiola's 5 Star Short Let Apartment in Lekki_x000C_</v>
      </c>
      <c r="S450" t="str">
        <f t="shared" ref="S450:S513" si="22">CLEAN(R:R)</f>
        <v>Phiola's 5 Star Short Let Apartment in Lekki</v>
      </c>
      <c r="T450">
        <f>Table1[[#This Row],[Adults]]+Table1[[#This Row],[Children]]</f>
        <v>2</v>
      </c>
      <c r="U450">
        <f>_xlfn.DAYS(Table1[[#This Row],[Depart]],Table1[[#This Row],[Arrive]])</f>
        <v>15</v>
      </c>
    </row>
    <row r="451" spans="1:21" x14ac:dyDescent="0.25">
      <c r="A451" t="s">
        <v>597</v>
      </c>
      <c r="B451" t="s">
        <v>598</v>
      </c>
      <c r="C451" t="s">
        <v>1180</v>
      </c>
      <c r="D451" s="1">
        <v>44061</v>
      </c>
      <c r="E451" s="1">
        <v>44063</v>
      </c>
      <c r="F451">
        <f t="shared" ref="F451:F514" si="23">_xlfn.DAYS(E451,D451)</f>
        <v>2</v>
      </c>
      <c r="G451" s="1">
        <v>43998</v>
      </c>
      <c r="H451" s="2">
        <v>0.58333333333333337</v>
      </c>
      <c r="I451" s="2">
        <v>0.45833333333333331</v>
      </c>
      <c r="J451" t="s">
        <v>1638</v>
      </c>
      <c r="K451" t="s">
        <v>1638</v>
      </c>
      <c r="L451" t="s">
        <v>22</v>
      </c>
      <c r="M451" s="12" t="s">
        <v>23</v>
      </c>
      <c r="N451">
        <v>5</v>
      </c>
      <c r="O451">
        <v>0</v>
      </c>
      <c r="P451" t="s">
        <v>19</v>
      </c>
      <c r="Q451" s="6">
        <v>220</v>
      </c>
      <c r="R451" t="str">
        <f t="shared" si="21"/>
        <v>Zoe's 5 Star Short let Apartment in Lekki_x000C_</v>
      </c>
      <c r="S451" t="str">
        <f t="shared" si="22"/>
        <v>Zoe's 5 Star Short let Apartment in Lekki</v>
      </c>
      <c r="T451">
        <f>Table1[[#This Row],[Adults]]+Table1[[#This Row],[Children]]</f>
        <v>5</v>
      </c>
      <c r="U451">
        <f>_xlfn.DAYS(Table1[[#This Row],[Depart]],Table1[[#This Row],[Arrive]])</f>
        <v>2</v>
      </c>
    </row>
    <row r="452" spans="1:21" x14ac:dyDescent="0.25">
      <c r="A452" t="s">
        <v>248</v>
      </c>
      <c r="B452" t="s">
        <v>249</v>
      </c>
      <c r="C452" t="s">
        <v>1178</v>
      </c>
      <c r="D452" s="1">
        <v>44062</v>
      </c>
      <c r="E452" s="1">
        <v>44076</v>
      </c>
      <c r="F452">
        <f t="shared" si="23"/>
        <v>14</v>
      </c>
      <c r="G452" s="1">
        <v>43990</v>
      </c>
      <c r="H452" s="2">
        <v>0.33333333333333331</v>
      </c>
      <c r="I452" s="3">
        <v>1</v>
      </c>
      <c r="J452" t="s">
        <v>1409</v>
      </c>
      <c r="K452" t="s">
        <v>1409</v>
      </c>
      <c r="L452" t="s">
        <v>26</v>
      </c>
      <c r="M452" s="12" t="s">
        <v>18</v>
      </c>
      <c r="N452">
        <v>2</v>
      </c>
      <c r="O452">
        <v>0</v>
      </c>
      <c r="P452" t="s">
        <v>19</v>
      </c>
      <c r="Q452" s="6">
        <v>1440</v>
      </c>
      <c r="R452" t="str">
        <f t="shared" si="21"/>
        <v>Ope's 5 Star Short Let Apartment in Lekki_x000C_</v>
      </c>
      <c r="S452" t="str">
        <f t="shared" si="22"/>
        <v>Ope's 5 Star Short Let Apartment in Lekki</v>
      </c>
      <c r="T452">
        <f>Table1[[#This Row],[Adults]]+Table1[[#This Row],[Children]]</f>
        <v>2</v>
      </c>
      <c r="U452">
        <f>_xlfn.DAYS(Table1[[#This Row],[Depart]],Table1[[#This Row],[Arrive]])</f>
        <v>14</v>
      </c>
    </row>
    <row r="453" spans="1:21" x14ac:dyDescent="0.25">
      <c r="A453" t="s">
        <v>591</v>
      </c>
      <c r="B453" t="s">
        <v>592</v>
      </c>
      <c r="C453" t="s">
        <v>1179</v>
      </c>
      <c r="D453" s="1">
        <v>44062</v>
      </c>
      <c r="E453" s="1">
        <v>44063</v>
      </c>
      <c r="F453">
        <f t="shared" si="23"/>
        <v>1</v>
      </c>
      <c r="G453" s="1">
        <v>44055</v>
      </c>
      <c r="H453" s="2">
        <v>0.33333333333333331</v>
      </c>
      <c r="I453" s="3">
        <v>1</v>
      </c>
      <c r="J453" t="s">
        <v>1639</v>
      </c>
      <c r="K453" t="s">
        <v>1639</v>
      </c>
      <c r="L453" t="s">
        <v>22</v>
      </c>
      <c r="M453" s="12" t="s">
        <v>18</v>
      </c>
      <c r="N453">
        <v>5</v>
      </c>
      <c r="O453">
        <v>0</v>
      </c>
      <c r="P453" t="s">
        <v>19</v>
      </c>
      <c r="Q453" s="6">
        <v>110</v>
      </c>
      <c r="R453" t="str">
        <f t="shared" si="21"/>
        <v>Phiola's 5 Star Short Let Apartment in Lekki_x000C_</v>
      </c>
      <c r="S453" t="str">
        <f t="shared" si="22"/>
        <v>Phiola's 5 Star Short Let Apartment in Lekki</v>
      </c>
      <c r="T453">
        <f>Table1[[#This Row],[Adults]]+Table1[[#This Row],[Children]]</f>
        <v>5</v>
      </c>
      <c r="U453">
        <f>_xlfn.DAYS(Table1[[#This Row],[Depart]],Table1[[#This Row],[Arrive]])</f>
        <v>1</v>
      </c>
    </row>
    <row r="454" spans="1:21" x14ac:dyDescent="0.25">
      <c r="A454" t="s">
        <v>617</v>
      </c>
      <c r="B454" t="s">
        <v>618</v>
      </c>
      <c r="C454" t="s">
        <v>1180</v>
      </c>
      <c r="D454" s="1">
        <v>44063</v>
      </c>
      <c r="E454" s="1">
        <v>44064</v>
      </c>
      <c r="F454">
        <f t="shared" si="23"/>
        <v>1</v>
      </c>
      <c r="G454" s="1">
        <v>44055</v>
      </c>
      <c r="H454" s="2">
        <v>0.58333333333333337</v>
      </c>
      <c r="I454" s="2">
        <v>0.45833333333333331</v>
      </c>
      <c r="J454" t="s">
        <v>1641</v>
      </c>
      <c r="K454" t="s">
        <v>1641</v>
      </c>
      <c r="L454" t="s">
        <v>22</v>
      </c>
      <c r="M454" s="12" t="s">
        <v>23</v>
      </c>
      <c r="N454">
        <v>5</v>
      </c>
      <c r="O454">
        <v>0</v>
      </c>
      <c r="P454" t="s">
        <v>19</v>
      </c>
      <c r="Q454" s="6">
        <v>110</v>
      </c>
      <c r="R454" t="str">
        <f t="shared" si="21"/>
        <v>Zoe's 5 Star Short let Apartment in Lekki_x000C_</v>
      </c>
      <c r="S454" t="str">
        <f t="shared" si="22"/>
        <v>Zoe's 5 Star Short let Apartment in Lekki</v>
      </c>
      <c r="T454">
        <f>Table1[[#This Row],[Adults]]+Table1[[#This Row],[Children]]</f>
        <v>5</v>
      </c>
      <c r="U454">
        <f>_xlfn.DAYS(Table1[[#This Row],[Depart]],Table1[[#This Row],[Arrive]])</f>
        <v>1</v>
      </c>
    </row>
    <row r="455" spans="1:21" x14ac:dyDescent="0.25">
      <c r="A455" t="s">
        <v>619</v>
      </c>
      <c r="B455" t="s">
        <v>620</v>
      </c>
      <c r="C455" t="s">
        <v>1179</v>
      </c>
      <c r="D455" s="1">
        <v>44063</v>
      </c>
      <c r="E455" s="1">
        <v>44064</v>
      </c>
      <c r="F455">
        <f t="shared" si="23"/>
        <v>1</v>
      </c>
      <c r="G455" s="1">
        <v>44056</v>
      </c>
      <c r="H455" s="2">
        <v>0.33333333333333331</v>
      </c>
      <c r="I455" s="3">
        <v>1</v>
      </c>
      <c r="J455" t="s">
        <v>1642</v>
      </c>
      <c r="K455" t="s">
        <v>1642</v>
      </c>
      <c r="L455" t="s">
        <v>22</v>
      </c>
      <c r="M455" s="12" t="s">
        <v>23</v>
      </c>
      <c r="N455">
        <v>5</v>
      </c>
      <c r="O455">
        <v>0</v>
      </c>
      <c r="P455" t="s">
        <v>19</v>
      </c>
      <c r="Q455" s="6">
        <v>110</v>
      </c>
      <c r="R455" t="str">
        <f t="shared" si="21"/>
        <v>Phiola's 5 Star Short Let Apartment in Lekki_x000C_</v>
      </c>
      <c r="S455" t="str">
        <f t="shared" si="22"/>
        <v>Phiola's 5 Star Short Let Apartment in Lekki</v>
      </c>
      <c r="T455">
        <f>Table1[[#This Row],[Adults]]+Table1[[#This Row],[Children]]</f>
        <v>5</v>
      </c>
      <c r="U455">
        <f>_xlfn.DAYS(Table1[[#This Row],[Depart]],Table1[[#This Row],[Arrive]])</f>
        <v>1</v>
      </c>
    </row>
    <row r="456" spans="1:21" x14ac:dyDescent="0.25">
      <c r="A456" t="s">
        <v>539</v>
      </c>
      <c r="B456" t="s">
        <v>540</v>
      </c>
      <c r="C456" t="s">
        <v>1173</v>
      </c>
      <c r="D456" s="1">
        <v>44064</v>
      </c>
      <c r="E456" s="1">
        <v>44067</v>
      </c>
      <c r="F456">
        <f t="shared" si="23"/>
        <v>3</v>
      </c>
      <c r="G456" s="1">
        <v>44043</v>
      </c>
      <c r="H456" s="2">
        <v>0.33333333333333331</v>
      </c>
      <c r="I456" s="3">
        <v>1</v>
      </c>
      <c r="J456" t="s">
        <v>1564</v>
      </c>
      <c r="K456" t="s">
        <v>1564</v>
      </c>
      <c r="L456" t="s">
        <v>26</v>
      </c>
      <c r="M456" s="12" t="s">
        <v>18</v>
      </c>
      <c r="N456">
        <v>6</v>
      </c>
      <c r="O456">
        <v>0</v>
      </c>
      <c r="P456" t="s">
        <v>19</v>
      </c>
      <c r="Q456" s="6">
        <v>318</v>
      </c>
      <c r="R456" t="str">
        <f t="shared" si="21"/>
        <v xml:space="preserve"> The Daniels 5 Star Short Let Apartment in Lekki_x000C_</v>
      </c>
      <c r="S456" t="str">
        <f t="shared" si="22"/>
        <v xml:space="preserve"> The Daniels 5 Star Short Let Apartment in Lekki</v>
      </c>
      <c r="T456">
        <f>Table1[[#This Row],[Adults]]+Table1[[#This Row],[Children]]</f>
        <v>6</v>
      </c>
      <c r="U456">
        <f>_xlfn.DAYS(Table1[[#This Row],[Depart]],Table1[[#This Row],[Arrive]])</f>
        <v>3</v>
      </c>
    </row>
    <row r="457" spans="1:21" x14ac:dyDescent="0.25">
      <c r="A457" t="s">
        <v>587</v>
      </c>
      <c r="B457" t="s">
        <v>588</v>
      </c>
      <c r="C457" t="s">
        <v>1180</v>
      </c>
      <c r="D457" s="1">
        <v>44064</v>
      </c>
      <c r="E457" s="1">
        <v>44066</v>
      </c>
      <c r="F457">
        <f t="shared" si="23"/>
        <v>2</v>
      </c>
      <c r="G457" s="1">
        <v>44052</v>
      </c>
      <c r="H457" s="2">
        <v>0.58333333333333337</v>
      </c>
      <c r="I457" s="2">
        <v>0.45833333333333331</v>
      </c>
      <c r="J457" t="s">
        <v>1611</v>
      </c>
      <c r="K457" t="s">
        <v>1611</v>
      </c>
      <c r="L457" t="s">
        <v>22</v>
      </c>
      <c r="M457" s="12" t="s">
        <v>23</v>
      </c>
      <c r="N457">
        <v>4</v>
      </c>
      <c r="O457">
        <v>0</v>
      </c>
      <c r="P457" t="s">
        <v>19</v>
      </c>
      <c r="Q457" s="6">
        <v>220</v>
      </c>
      <c r="R457" t="str">
        <f t="shared" si="21"/>
        <v>Zoe's 5 Star Short let Apartment in Lekki_x000C_</v>
      </c>
      <c r="S457" t="str">
        <f t="shared" si="22"/>
        <v>Zoe's 5 Star Short let Apartment in Lekki</v>
      </c>
      <c r="T457">
        <f>Table1[[#This Row],[Adults]]+Table1[[#This Row],[Children]]</f>
        <v>4</v>
      </c>
      <c r="U457">
        <f>_xlfn.DAYS(Table1[[#This Row],[Depart]],Table1[[#This Row],[Arrive]])</f>
        <v>2</v>
      </c>
    </row>
    <row r="458" spans="1:21" x14ac:dyDescent="0.25">
      <c r="A458" t="s">
        <v>625</v>
      </c>
      <c r="B458" t="s">
        <v>626</v>
      </c>
      <c r="C458" t="s">
        <v>1179</v>
      </c>
      <c r="D458" s="1">
        <v>44064</v>
      </c>
      <c r="E458" s="1">
        <v>44067</v>
      </c>
      <c r="F458">
        <f t="shared" si="23"/>
        <v>3</v>
      </c>
      <c r="G458" s="1">
        <v>44056</v>
      </c>
      <c r="H458" s="2">
        <v>0.33333333333333331</v>
      </c>
      <c r="I458" s="3">
        <v>1</v>
      </c>
      <c r="J458" t="s">
        <v>1645</v>
      </c>
      <c r="K458" t="s">
        <v>1645</v>
      </c>
      <c r="L458" t="s">
        <v>22</v>
      </c>
      <c r="M458" s="12" t="s">
        <v>18</v>
      </c>
      <c r="N458">
        <v>6</v>
      </c>
      <c r="O458">
        <v>0</v>
      </c>
      <c r="P458" t="s">
        <v>19</v>
      </c>
      <c r="Q458" s="6">
        <v>330</v>
      </c>
      <c r="R458" t="str">
        <f t="shared" si="21"/>
        <v>Phiola's 5 Star Short Let Apartment in Lekki_x000C_</v>
      </c>
      <c r="S458" t="str">
        <f t="shared" si="22"/>
        <v>Phiola's 5 Star Short Let Apartment in Lekki</v>
      </c>
      <c r="T458">
        <f>Table1[[#This Row],[Adults]]+Table1[[#This Row],[Children]]</f>
        <v>6</v>
      </c>
      <c r="U458">
        <f>_xlfn.DAYS(Table1[[#This Row],[Depart]],Table1[[#This Row],[Arrive]])</f>
        <v>3</v>
      </c>
    </row>
    <row r="459" spans="1:21" x14ac:dyDescent="0.25">
      <c r="A459" t="s">
        <v>631</v>
      </c>
      <c r="B459" t="s">
        <v>632</v>
      </c>
      <c r="C459" t="s">
        <v>1179</v>
      </c>
      <c r="D459" s="1">
        <v>44064</v>
      </c>
      <c r="E459" s="1">
        <v>44065</v>
      </c>
      <c r="F459">
        <f t="shared" si="23"/>
        <v>1</v>
      </c>
      <c r="G459" s="1">
        <v>44061</v>
      </c>
      <c r="H459" s="2">
        <v>0.33333333333333331</v>
      </c>
      <c r="I459" s="3">
        <v>1</v>
      </c>
      <c r="J459" s="4" t="s">
        <v>1651</v>
      </c>
      <c r="K459" s="4" t="s">
        <v>1651</v>
      </c>
      <c r="L459" t="s">
        <v>22</v>
      </c>
      <c r="M459" s="12" t="s">
        <v>23</v>
      </c>
      <c r="N459">
        <v>2</v>
      </c>
      <c r="O459">
        <v>0</v>
      </c>
      <c r="P459" t="s">
        <v>19</v>
      </c>
      <c r="Q459" s="6">
        <v>110</v>
      </c>
      <c r="R459" t="str">
        <f t="shared" si="21"/>
        <v>Phiola's 5 Star Short Let Apartment in Lekki_x000C_</v>
      </c>
      <c r="S459" t="str">
        <f t="shared" si="22"/>
        <v>Phiola's 5 Star Short Let Apartment in Lekki</v>
      </c>
      <c r="T459">
        <f>Table1[[#This Row],[Adults]]+Table1[[#This Row],[Children]]</f>
        <v>2</v>
      </c>
      <c r="U459">
        <f>_xlfn.DAYS(Table1[[#This Row],[Depart]],Table1[[#This Row],[Arrive]])</f>
        <v>1</v>
      </c>
    </row>
    <row r="460" spans="1:21" x14ac:dyDescent="0.25">
      <c r="A460" t="s">
        <v>643</v>
      </c>
      <c r="B460" t="s">
        <v>644</v>
      </c>
      <c r="C460" t="s">
        <v>1173</v>
      </c>
      <c r="D460" s="1">
        <v>44064</v>
      </c>
      <c r="E460" s="1">
        <v>44068</v>
      </c>
      <c r="F460">
        <f t="shared" si="23"/>
        <v>4</v>
      </c>
      <c r="G460" s="1">
        <v>44044</v>
      </c>
      <c r="H460" s="2">
        <v>0.33333333333333331</v>
      </c>
      <c r="I460" s="3">
        <v>1</v>
      </c>
      <c r="J460" t="s">
        <v>1659</v>
      </c>
      <c r="K460" t="s">
        <v>1659</v>
      </c>
      <c r="L460" t="s">
        <v>22</v>
      </c>
      <c r="M460" s="12" t="s">
        <v>23</v>
      </c>
      <c r="N460">
        <v>4</v>
      </c>
      <c r="O460">
        <v>3</v>
      </c>
      <c r="P460" t="s">
        <v>19</v>
      </c>
      <c r="Q460" s="6">
        <v>520</v>
      </c>
      <c r="R460" t="str">
        <f t="shared" si="21"/>
        <v xml:space="preserve"> The Daniels 5 Star Short Let Apartment in Lekki_x000C_</v>
      </c>
      <c r="S460" t="str">
        <f t="shared" si="22"/>
        <v xml:space="preserve"> The Daniels 5 Star Short Let Apartment in Lekki</v>
      </c>
      <c r="T460">
        <f>Table1[[#This Row],[Adults]]+Table1[[#This Row],[Children]]</f>
        <v>7</v>
      </c>
      <c r="U460">
        <f>_xlfn.DAYS(Table1[[#This Row],[Depart]],Table1[[#This Row],[Arrive]])</f>
        <v>4</v>
      </c>
    </row>
    <row r="461" spans="1:21" x14ac:dyDescent="0.25">
      <c r="A461" t="s">
        <v>713</v>
      </c>
      <c r="B461" t="s">
        <v>714</v>
      </c>
      <c r="C461" t="s">
        <v>1176</v>
      </c>
      <c r="D461" s="1">
        <v>44064</v>
      </c>
      <c r="E461" s="1">
        <v>44094</v>
      </c>
      <c r="F461">
        <f t="shared" si="23"/>
        <v>30</v>
      </c>
      <c r="G461" s="1">
        <v>44066</v>
      </c>
      <c r="H461" s="2">
        <v>0.58333333333333337</v>
      </c>
      <c r="I461" s="2">
        <v>0.45833333333333331</v>
      </c>
      <c r="J461" t="s">
        <v>1719</v>
      </c>
      <c r="K461" t="s">
        <v>1719</v>
      </c>
      <c r="L461" t="s">
        <v>22</v>
      </c>
      <c r="M461" s="12" t="s">
        <v>23</v>
      </c>
      <c r="N461">
        <v>1</v>
      </c>
      <c r="O461">
        <v>0</v>
      </c>
      <c r="P461" t="s">
        <v>19</v>
      </c>
      <c r="Q461" s="6">
        <v>4031.25</v>
      </c>
      <c r="R461" t="str">
        <f t="shared" si="21"/>
        <v>Tiara's Luxury Home Away From Home_x000C_</v>
      </c>
      <c r="S461" t="str">
        <f t="shared" si="22"/>
        <v>Tiara's Luxury Home Away From Home</v>
      </c>
      <c r="T461">
        <f>Table1[[#This Row],[Adults]]+Table1[[#This Row],[Children]]</f>
        <v>1</v>
      </c>
      <c r="U461">
        <f>_xlfn.DAYS(Table1[[#This Row],[Depart]],Table1[[#This Row],[Arrive]])</f>
        <v>30</v>
      </c>
    </row>
    <row r="462" spans="1:21" x14ac:dyDescent="0.25">
      <c r="A462" t="s">
        <v>460</v>
      </c>
      <c r="B462" t="s">
        <v>461</v>
      </c>
      <c r="C462" t="s">
        <v>1175</v>
      </c>
      <c r="D462" s="1">
        <v>44065</v>
      </c>
      <c r="E462" s="1">
        <v>44066</v>
      </c>
      <c r="F462">
        <f t="shared" si="23"/>
        <v>1</v>
      </c>
      <c r="G462" s="1">
        <v>44021</v>
      </c>
      <c r="H462" s="2">
        <v>0.33333333333333331</v>
      </c>
      <c r="I462" s="3">
        <v>1</v>
      </c>
      <c r="J462" t="s">
        <v>1558</v>
      </c>
      <c r="K462" t="s">
        <v>1558</v>
      </c>
      <c r="L462" t="s">
        <v>22</v>
      </c>
      <c r="M462" s="12" t="s">
        <v>18</v>
      </c>
      <c r="N462">
        <v>5</v>
      </c>
      <c r="O462">
        <v>0</v>
      </c>
      <c r="P462" t="s">
        <v>19</v>
      </c>
      <c r="Q462" s="6">
        <v>135</v>
      </c>
      <c r="R462" t="str">
        <f t="shared" si="21"/>
        <v>Keji's 5 Star Short let Apartment in Lekki_x000C_</v>
      </c>
      <c r="S462" t="str">
        <f t="shared" si="22"/>
        <v>Keji's 5 Star Short let Apartment in Lekki</v>
      </c>
      <c r="T462">
        <f>Table1[[#This Row],[Adults]]+Table1[[#This Row],[Children]]</f>
        <v>5</v>
      </c>
      <c r="U462">
        <f>_xlfn.DAYS(Table1[[#This Row],[Depart]],Table1[[#This Row],[Arrive]])</f>
        <v>1</v>
      </c>
    </row>
    <row r="463" spans="1:21" x14ac:dyDescent="0.25">
      <c r="A463" t="s">
        <v>531</v>
      </c>
      <c r="B463" t="s">
        <v>532</v>
      </c>
      <c r="C463" t="s">
        <v>1175</v>
      </c>
      <c r="D463" s="1">
        <v>44065</v>
      </c>
      <c r="E463" s="1">
        <v>44066</v>
      </c>
      <c r="F463">
        <f t="shared" si="23"/>
        <v>1</v>
      </c>
      <c r="G463" s="1">
        <v>44041</v>
      </c>
      <c r="H463" s="2">
        <v>0.33333333333333331</v>
      </c>
      <c r="I463" s="3">
        <v>1</v>
      </c>
      <c r="J463" t="s">
        <v>1559</v>
      </c>
      <c r="K463" t="s">
        <v>1559</v>
      </c>
      <c r="L463" t="s">
        <v>22</v>
      </c>
      <c r="M463" s="12" t="s">
        <v>23</v>
      </c>
      <c r="N463">
        <v>2</v>
      </c>
      <c r="O463">
        <v>0</v>
      </c>
      <c r="P463" t="s">
        <v>19</v>
      </c>
      <c r="Q463" s="6">
        <v>110</v>
      </c>
      <c r="R463" t="str">
        <f t="shared" si="21"/>
        <v>Keji's 5 Star Short let Apartment in Lekki_x000C_</v>
      </c>
      <c r="S463" t="str">
        <f t="shared" si="22"/>
        <v>Keji's 5 Star Short let Apartment in Lekki</v>
      </c>
      <c r="T463">
        <f>Table1[[#This Row],[Adults]]+Table1[[#This Row],[Children]]</f>
        <v>2</v>
      </c>
      <c r="U463">
        <f>_xlfn.DAYS(Table1[[#This Row],[Depart]],Table1[[#This Row],[Arrive]])</f>
        <v>1</v>
      </c>
    </row>
    <row r="464" spans="1:21" x14ac:dyDescent="0.25">
      <c r="A464" t="s">
        <v>565</v>
      </c>
      <c r="B464" t="s">
        <v>566</v>
      </c>
      <c r="C464" t="s">
        <v>1180</v>
      </c>
      <c r="D464" s="1">
        <v>44065</v>
      </c>
      <c r="E464" s="1">
        <v>44068</v>
      </c>
      <c r="F464">
        <f t="shared" si="23"/>
        <v>3</v>
      </c>
      <c r="G464" s="1">
        <v>44044</v>
      </c>
      <c r="H464" s="2">
        <v>0.58333333333333337</v>
      </c>
      <c r="I464" s="2">
        <v>0.45833333333333331</v>
      </c>
      <c r="J464" t="s">
        <v>1594</v>
      </c>
      <c r="K464" t="s">
        <v>1594</v>
      </c>
      <c r="L464" t="s">
        <v>22</v>
      </c>
      <c r="M464" s="12" t="s">
        <v>18</v>
      </c>
      <c r="N464">
        <v>5</v>
      </c>
      <c r="O464">
        <v>0</v>
      </c>
      <c r="P464" t="s">
        <v>19</v>
      </c>
      <c r="Q464" s="6">
        <v>330</v>
      </c>
      <c r="R464" t="str">
        <f t="shared" si="21"/>
        <v>Zoe's 5 Star Short let Apartment in Lekki_x000C_</v>
      </c>
      <c r="S464" t="str">
        <f t="shared" si="22"/>
        <v>Zoe's 5 Star Short let Apartment in Lekki</v>
      </c>
      <c r="T464">
        <f>Table1[[#This Row],[Adults]]+Table1[[#This Row],[Children]]</f>
        <v>5</v>
      </c>
      <c r="U464">
        <f>_xlfn.DAYS(Table1[[#This Row],[Depart]],Table1[[#This Row],[Arrive]])</f>
        <v>3</v>
      </c>
    </row>
    <row r="465" spans="1:21" x14ac:dyDescent="0.25">
      <c r="A465" t="s">
        <v>585</v>
      </c>
      <c r="B465" t="s">
        <v>586</v>
      </c>
      <c r="C465" t="s">
        <v>1180</v>
      </c>
      <c r="D465" s="1">
        <v>44065</v>
      </c>
      <c r="E465" s="1">
        <v>44066</v>
      </c>
      <c r="F465">
        <f t="shared" si="23"/>
        <v>1</v>
      </c>
      <c r="G465" s="1">
        <v>44051</v>
      </c>
      <c r="H465" s="2">
        <v>0.58333333333333337</v>
      </c>
      <c r="I465" s="2">
        <v>0.45833333333333331</v>
      </c>
      <c r="J465" t="s">
        <v>1610</v>
      </c>
      <c r="K465" t="s">
        <v>1610</v>
      </c>
      <c r="L465" t="s">
        <v>22</v>
      </c>
      <c r="M465" s="12" t="s">
        <v>18</v>
      </c>
      <c r="N465">
        <v>1</v>
      </c>
      <c r="O465">
        <v>0</v>
      </c>
      <c r="P465" t="s">
        <v>19</v>
      </c>
      <c r="Q465" s="6">
        <v>110</v>
      </c>
      <c r="R465" t="str">
        <f t="shared" si="21"/>
        <v>Zoe's 5 Star Short let Apartment in Lekki_x000C_</v>
      </c>
      <c r="S465" t="str">
        <f t="shared" si="22"/>
        <v>Zoe's 5 Star Short let Apartment in Lekki</v>
      </c>
      <c r="T465">
        <f>Table1[[#This Row],[Adults]]+Table1[[#This Row],[Children]]</f>
        <v>1</v>
      </c>
      <c r="U465">
        <f>_xlfn.DAYS(Table1[[#This Row],[Depart]],Table1[[#This Row],[Arrive]])</f>
        <v>1</v>
      </c>
    </row>
    <row r="466" spans="1:21" x14ac:dyDescent="0.25">
      <c r="A466" t="s">
        <v>460</v>
      </c>
      <c r="B466" t="s">
        <v>461</v>
      </c>
      <c r="C466" t="s">
        <v>1178</v>
      </c>
      <c r="D466" s="1">
        <v>44065</v>
      </c>
      <c r="E466" s="1">
        <v>44066</v>
      </c>
      <c r="F466">
        <f t="shared" si="23"/>
        <v>1</v>
      </c>
      <c r="G466" s="1">
        <v>44041</v>
      </c>
      <c r="H466" s="2">
        <v>0.58333333333333337</v>
      </c>
      <c r="I466" s="2">
        <v>0.45833333333333331</v>
      </c>
      <c r="J466" t="s">
        <v>1621</v>
      </c>
      <c r="K466" t="s">
        <v>1621</v>
      </c>
      <c r="L466" t="s">
        <v>22</v>
      </c>
      <c r="M466" s="12" t="s">
        <v>23</v>
      </c>
      <c r="N466">
        <v>2</v>
      </c>
      <c r="O466">
        <v>0</v>
      </c>
      <c r="P466" t="s">
        <v>19</v>
      </c>
      <c r="Q466" s="6">
        <v>110</v>
      </c>
      <c r="R466" t="str">
        <f t="shared" si="21"/>
        <v>Ope's 5 Star Short Let Apartment in Lekki_x000C_</v>
      </c>
      <c r="S466" t="str">
        <f t="shared" si="22"/>
        <v>Ope's 5 Star Short Let Apartment in Lekki</v>
      </c>
      <c r="T466">
        <f>Table1[[#This Row],[Adults]]+Table1[[#This Row],[Children]]</f>
        <v>2</v>
      </c>
      <c r="U466">
        <f>_xlfn.DAYS(Table1[[#This Row],[Depart]],Table1[[#This Row],[Arrive]])</f>
        <v>1</v>
      </c>
    </row>
    <row r="467" spans="1:21" x14ac:dyDescent="0.25">
      <c r="A467" t="s">
        <v>627</v>
      </c>
      <c r="B467" t="s">
        <v>628</v>
      </c>
      <c r="C467" t="s">
        <v>1179</v>
      </c>
      <c r="D467" s="1">
        <v>44065</v>
      </c>
      <c r="E467" s="1">
        <v>44068</v>
      </c>
      <c r="F467">
        <f t="shared" si="23"/>
        <v>3</v>
      </c>
      <c r="G467" s="1">
        <v>44060</v>
      </c>
      <c r="H467" s="2">
        <v>0.33333333333333331</v>
      </c>
      <c r="I467" s="3">
        <v>1</v>
      </c>
      <c r="J467" t="s">
        <v>1646</v>
      </c>
      <c r="K467" t="s">
        <v>1646</v>
      </c>
      <c r="L467" t="s">
        <v>22</v>
      </c>
      <c r="M467" s="12" t="s">
        <v>23</v>
      </c>
      <c r="N467">
        <v>6</v>
      </c>
      <c r="O467">
        <v>0</v>
      </c>
      <c r="P467" t="s">
        <v>19</v>
      </c>
      <c r="Q467" s="6">
        <v>330</v>
      </c>
      <c r="R467" t="str">
        <f t="shared" si="21"/>
        <v>Phiola's 5 Star Short Let Apartment in Lekki_x000C_</v>
      </c>
      <c r="S467" t="str">
        <f t="shared" si="22"/>
        <v>Phiola's 5 Star Short Let Apartment in Lekki</v>
      </c>
      <c r="T467">
        <f>Table1[[#This Row],[Adults]]+Table1[[#This Row],[Children]]</f>
        <v>6</v>
      </c>
      <c r="U467">
        <f>_xlfn.DAYS(Table1[[#This Row],[Depart]],Table1[[#This Row],[Arrive]])</f>
        <v>3</v>
      </c>
    </row>
    <row r="468" spans="1:21" x14ac:dyDescent="0.25">
      <c r="A468" t="s">
        <v>559</v>
      </c>
      <c r="B468" t="s">
        <v>560</v>
      </c>
      <c r="C468" t="s">
        <v>1178</v>
      </c>
      <c r="D468" s="1">
        <v>44066</v>
      </c>
      <c r="E468" s="1">
        <v>44067</v>
      </c>
      <c r="F468">
        <f t="shared" si="23"/>
        <v>1</v>
      </c>
      <c r="G468" s="1">
        <v>44055</v>
      </c>
      <c r="H468" s="2">
        <v>0.58333333333333337</v>
      </c>
      <c r="I468" s="2">
        <v>0.45833333333333331</v>
      </c>
      <c r="J468" t="s">
        <v>1626</v>
      </c>
      <c r="K468" t="s">
        <v>1626</v>
      </c>
      <c r="L468" t="s">
        <v>22</v>
      </c>
      <c r="M468" s="12" t="s">
        <v>23</v>
      </c>
      <c r="N468">
        <v>5</v>
      </c>
      <c r="O468">
        <v>0</v>
      </c>
      <c r="P468" t="s">
        <v>19</v>
      </c>
      <c r="Q468" s="6">
        <v>110</v>
      </c>
      <c r="R468" t="str">
        <f t="shared" si="21"/>
        <v>Ope's 5 Star Short Let Apartment in Lekki_x000C_</v>
      </c>
      <c r="S468" t="str">
        <f t="shared" si="22"/>
        <v>Ope's 5 Star Short Let Apartment in Lekki</v>
      </c>
      <c r="T468">
        <f>Table1[[#This Row],[Adults]]+Table1[[#This Row],[Children]]</f>
        <v>5</v>
      </c>
      <c r="U468">
        <f>_xlfn.DAYS(Table1[[#This Row],[Depart]],Table1[[#This Row],[Arrive]])</f>
        <v>1</v>
      </c>
    </row>
    <row r="469" spans="1:21" x14ac:dyDescent="0.25">
      <c r="A469" t="s">
        <v>615</v>
      </c>
      <c r="B469" t="s">
        <v>616</v>
      </c>
      <c r="C469" t="s">
        <v>1180</v>
      </c>
      <c r="D469" s="1">
        <v>44066</v>
      </c>
      <c r="E469" s="1">
        <v>44067</v>
      </c>
      <c r="F469">
        <f t="shared" si="23"/>
        <v>1</v>
      </c>
      <c r="G469" s="1">
        <v>44057</v>
      </c>
      <c r="H469" s="2">
        <v>0.58333333333333337</v>
      </c>
      <c r="I469" s="2">
        <v>0.45833333333333331</v>
      </c>
      <c r="J469" t="s">
        <v>1637</v>
      </c>
      <c r="K469" t="s">
        <v>1637</v>
      </c>
      <c r="L469" t="s">
        <v>22</v>
      </c>
      <c r="M469" s="12" t="s">
        <v>23</v>
      </c>
      <c r="N469">
        <v>2</v>
      </c>
      <c r="O469">
        <v>0</v>
      </c>
      <c r="P469" t="s">
        <v>19</v>
      </c>
      <c r="Q469" s="6">
        <v>110</v>
      </c>
      <c r="R469" t="str">
        <f t="shared" si="21"/>
        <v>Zoe's 5 Star Short let Apartment in Lekki_x000C_</v>
      </c>
      <c r="S469" t="str">
        <f t="shared" si="22"/>
        <v>Zoe's 5 Star Short let Apartment in Lekki</v>
      </c>
      <c r="T469">
        <f>Table1[[#This Row],[Adults]]+Table1[[#This Row],[Children]]</f>
        <v>2</v>
      </c>
      <c r="U469">
        <f>_xlfn.DAYS(Table1[[#This Row],[Depart]],Table1[[#This Row],[Arrive]])</f>
        <v>1</v>
      </c>
    </row>
    <row r="470" spans="1:21" x14ac:dyDescent="0.25">
      <c r="A470" t="s">
        <v>649</v>
      </c>
      <c r="B470" t="s">
        <v>650</v>
      </c>
      <c r="C470" t="s">
        <v>1175</v>
      </c>
      <c r="D470" s="1">
        <v>44066</v>
      </c>
      <c r="E470" s="1">
        <v>44067</v>
      </c>
      <c r="F470">
        <f t="shared" si="23"/>
        <v>1</v>
      </c>
      <c r="G470" s="1">
        <v>44030</v>
      </c>
      <c r="H470" s="2">
        <v>0.33333333333333331</v>
      </c>
      <c r="I470" s="3">
        <v>1</v>
      </c>
      <c r="J470" t="s">
        <v>1662</v>
      </c>
      <c r="K470" t="s">
        <v>1662</v>
      </c>
      <c r="L470" t="s">
        <v>22</v>
      </c>
      <c r="M470" s="12" t="s">
        <v>23</v>
      </c>
      <c r="N470">
        <v>3</v>
      </c>
      <c r="O470">
        <v>0</v>
      </c>
      <c r="P470" t="s">
        <v>19</v>
      </c>
      <c r="Q470" s="6">
        <v>110</v>
      </c>
      <c r="R470" t="str">
        <f t="shared" si="21"/>
        <v>Keji's 5 Star Short let Apartment in Lekki_x000C_</v>
      </c>
      <c r="S470" t="str">
        <f t="shared" si="22"/>
        <v>Keji's 5 Star Short let Apartment in Lekki</v>
      </c>
      <c r="T470">
        <f>Table1[[#This Row],[Adults]]+Table1[[#This Row],[Children]]</f>
        <v>3</v>
      </c>
      <c r="U470">
        <f>_xlfn.DAYS(Table1[[#This Row],[Depart]],Table1[[#This Row],[Arrive]])</f>
        <v>1</v>
      </c>
    </row>
    <row r="471" spans="1:21" x14ac:dyDescent="0.25">
      <c r="A471" t="s">
        <v>506</v>
      </c>
      <c r="B471" t="s">
        <v>507</v>
      </c>
      <c r="C471" t="s">
        <v>1175</v>
      </c>
      <c r="D471" s="1">
        <v>44067</v>
      </c>
      <c r="E471" s="1">
        <v>44070</v>
      </c>
      <c r="F471">
        <f t="shared" si="23"/>
        <v>3</v>
      </c>
      <c r="G471" s="1">
        <v>44036</v>
      </c>
      <c r="H471" s="2">
        <v>0.33333333333333331</v>
      </c>
      <c r="I471" s="3">
        <v>1</v>
      </c>
      <c r="J471" t="s">
        <v>1539</v>
      </c>
      <c r="K471" t="s">
        <v>1539</v>
      </c>
      <c r="L471" t="s">
        <v>26</v>
      </c>
      <c r="M471" s="12" t="s">
        <v>18</v>
      </c>
      <c r="N471">
        <v>1</v>
      </c>
      <c r="O471">
        <v>0</v>
      </c>
      <c r="P471" t="s">
        <v>19</v>
      </c>
      <c r="Q471" s="6">
        <v>313</v>
      </c>
      <c r="R471" t="str">
        <f t="shared" si="21"/>
        <v>Keji's 5 Star Short let Apartment in Lekki_x000C_</v>
      </c>
      <c r="S471" t="str">
        <f t="shared" si="22"/>
        <v>Keji's 5 Star Short let Apartment in Lekki</v>
      </c>
      <c r="T471">
        <f>Table1[[#This Row],[Adults]]+Table1[[#This Row],[Children]]</f>
        <v>1</v>
      </c>
      <c r="U471">
        <f>_xlfn.DAYS(Table1[[#This Row],[Depart]],Table1[[#This Row],[Arrive]])</f>
        <v>3</v>
      </c>
    </row>
    <row r="472" spans="1:21" x14ac:dyDescent="0.25">
      <c r="A472" t="s">
        <v>523</v>
      </c>
      <c r="B472" t="s">
        <v>524</v>
      </c>
      <c r="C472" t="s">
        <v>1175</v>
      </c>
      <c r="D472" s="1">
        <v>44067</v>
      </c>
      <c r="E472" s="1">
        <v>44069</v>
      </c>
      <c r="F472">
        <f t="shared" si="23"/>
        <v>2</v>
      </c>
      <c r="G472" s="1">
        <v>44040</v>
      </c>
      <c r="H472" s="2">
        <v>0.33333333333333331</v>
      </c>
      <c r="I472" s="3">
        <v>1</v>
      </c>
      <c r="J472" t="s">
        <v>1553</v>
      </c>
      <c r="K472" t="s">
        <v>1553</v>
      </c>
      <c r="L472" t="s">
        <v>22</v>
      </c>
      <c r="M472" s="12" t="s">
        <v>23</v>
      </c>
      <c r="N472">
        <v>5</v>
      </c>
      <c r="O472">
        <v>0</v>
      </c>
      <c r="P472" t="s">
        <v>19</v>
      </c>
      <c r="Q472" s="6">
        <v>220</v>
      </c>
      <c r="R472" t="str">
        <f t="shared" si="21"/>
        <v>Keji's 5 Star Short let Apartment in Lekki_x000C_</v>
      </c>
      <c r="S472" t="str">
        <f t="shared" si="22"/>
        <v>Keji's 5 Star Short let Apartment in Lekki</v>
      </c>
      <c r="T472">
        <f>Table1[[#This Row],[Adults]]+Table1[[#This Row],[Children]]</f>
        <v>5</v>
      </c>
      <c r="U472">
        <f>_xlfn.DAYS(Table1[[#This Row],[Depart]],Table1[[#This Row],[Arrive]])</f>
        <v>2</v>
      </c>
    </row>
    <row r="473" spans="1:21" x14ac:dyDescent="0.25">
      <c r="A473" t="s">
        <v>601</v>
      </c>
      <c r="B473" t="s">
        <v>602</v>
      </c>
      <c r="C473" t="s">
        <v>1180</v>
      </c>
      <c r="D473" s="1">
        <v>44067</v>
      </c>
      <c r="E473" s="1">
        <v>44068</v>
      </c>
      <c r="F473">
        <f t="shared" si="23"/>
        <v>1</v>
      </c>
      <c r="G473" s="1">
        <v>44060</v>
      </c>
      <c r="H473" s="2">
        <v>0.58333333333333337</v>
      </c>
      <c r="I473" s="2">
        <v>0.45833333333333331</v>
      </c>
      <c r="J473" t="s">
        <v>1647</v>
      </c>
      <c r="K473" t="s">
        <v>1647</v>
      </c>
      <c r="L473" t="s">
        <v>22</v>
      </c>
      <c r="M473" s="12" t="s">
        <v>23</v>
      </c>
      <c r="N473">
        <v>6</v>
      </c>
      <c r="O473">
        <v>0</v>
      </c>
      <c r="P473" t="s">
        <v>19</v>
      </c>
      <c r="Q473" s="6">
        <v>110</v>
      </c>
      <c r="R473" t="str">
        <f t="shared" si="21"/>
        <v>Zoe's 5 Star Short let Apartment in Lekki_x000C_</v>
      </c>
      <c r="S473" t="str">
        <f t="shared" si="22"/>
        <v>Zoe's 5 Star Short let Apartment in Lekki</v>
      </c>
      <c r="T473">
        <f>Table1[[#This Row],[Adults]]+Table1[[#This Row],[Children]]</f>
        <v>6</v>
      </c>
      <c r="U473">
        <f>_xlfn.DAYS(Table1[[#This Row],[Depart]],Table1[[#This Row],[Arrive]])</f>
        <v>1</v>
      </c>
    </row>
    <row r="474" spans="1:21" x14ac:dyDescent="0.25">
      <c r="A474" t="s">
        <v>629</v>
      </c>
      <c r="B474" t="s">
        <v>630</v>
      </c>
      <c r="C474" t="s">
        <v>1173</v>
      </c>
      <c r="D474" s="1">
        <v>44067</v>
      </c>
      <c r="E474" s="1">
        <v>44070</v>
      </c>
      <c r="F474">
        <f t="shared" si="23"/>
        <v>3</v>
      </c>
      <c r="G474" s="1">
        <v>44061</v>
      </c>
      <c r="H474" s="2">
        <v>0.33333333333333331</v>
      </c>
      <c r="I474" s="3">
        <v>1</v>
      </c>
      <c r="J474" t="s">
        <v>1650</v>
      </c>
      <c r="K474" t="s">
        <v>1650</v>
      </c>
      <c r="L474" t="s">
        <v>26</v>
      </c>
      <c r="M474" s="12" t="s">
        <v>18</v>
      </c>
      <c r="N474">
        <v>1</v>
      </c>
      <c r="O474">
        <v>0</v>
      </c>
      <c r="P474" t="s">
        <v>19</v>
      </c>
      <c r="Q474" s="6">
        <v>319</v>
      </c>
      <c r="R474" t="str">
        <f t="shared" si="21"/>
        <v xml:space="preserve"> The Daniels 5 Star Short Let Apartment in Lekki_x000C_</v>
      </c>
      <c r="S474" t="str">
        <f t="shared" si="22"/>
        <v xml:space="preserve"> The Daniels 5 Star Short Let Apartment in Lekki</v>
      </c>
      <c r="T474">
        <f>Table1[[#This Row],[Adults]]+Table1[[#This Row],[Children]]</f>
        <v>1</v>
      </c>
      <c r="U474">
        <f>_xlfn.DAYS(Table1[[#This Row],[Depart]],Table1[[#This Row],[Arrive]])</f>
        <v>3</v>
      </c>
    </row>
    <row r="475" spans="1:21" x14ac:dyDescent="0.25">
      <c r="A475" t="s">
        <v>561</v>
      </c>
      <c r="B475" t="s">
        <v>562</v>
      </c>
      <c r="C475" t="s">
        <v>1178</v>
      </c>
      <c r="D475" s="1">
        <v>44067</v>
      </c>
      <c r="E475" s="1">
        <v>44068</v>
      </c>
      <c r="F475">
        <f t="shared" si="23"/>
        <v>1</v>
      </c>
      <c r="G475" s="1">
        <v>44064</v>
      </c>
      <c r="H475" s="2">
        <v>0.58333333333333337</v>
      </c>
      <c r="I475" s="2">
        <v>0.45833333333333331</v>
      </c>
      <c r="J475" t="s">
        <v>1678</v>
      </c>
      <c r="K475" t="s">
        <v>1678</v>
      </c>
      <c r="L475" t="s">
        <v>22</v>
      </c>
      <c r="M475" s="12" t="s">
        <v>18</v>
      </c>
      <c r="N475">
        <v>6</v>
      </c>
      <c r="O475">
        <v>0</v>
      </c>
      <c r="P475" t="s">
        <v>19</v>
      </c>
      <c r="Q475" s="6">
        <v>110</v>
      </c>
      <c r="R475" t="str">
        <f t="shared" si="21"/>
        <v>Ope's 5 Star Short Let Apartment in Lekki_x000C_</v>
      </c>
      <c r="S475" t="str">
        <f t="shared" si="22"/>
        <v>Ope's 5 Star Short Let Apartment in Lekki</v>
      </c>
      <c r="T475">
        <f>Table1[[#This Row],[Adults]]+Table1[[#This Row],[Children]]</f>
        <v>6</v>
      </c>
      <c r="U475">
        <f>_xlfn.DAYS(Table1[[#This Row],[Depart]],Table1[[#This Row],[Arrive]])</f>
        <v>1</v>
      </c>
    </row>
    <row r="476" spans="1:21" x14ac:dyDescent="0.25">
      <c r="A476" t="s">
        <v>583</v>
      </c>
      <c r="B476" t="s">
        <v>584</v>
      </c>
      <c r="C476" t="s">
        <v>1180</v>
      </c>
      <c r="D476" s="1">
        <v>44068</v>
      </c>
      <c r="E476" s="1">
        <v>44069</v>
      </c>
      <c r="F476">
        <f t="shared" si="23"/>
        <v>1</v>
      </c>
      <c r="G476" s="1">
        <v>44051</v>
      </c>
      <c r="H476" s="2">
        <v>0.58333333333333337</v>
      </c>
      <c r="I476" s="2">
        <v>0.45833333333333331</v>
      </c>
      <c r="J476" t="s">
        <v>1608</v>
      </c>
      <c r="K476" t="s">
        <v>1608</v>
      </c>
      <c r="L476" t="s">
        <v>22</v>
      </c>
      <c r="M476" s="12" t="s">
        <v>18</v>
      </c>
      <c r="N476">
        <v>5</v>
      </c>
      <c r="O476">
        <v>0</v>
      </c>
      <c r="P476" t="s">
        <v>19</v>
      </c>
      <c r="Q476" s="6">
        <v>110</v>
      </c>
      <c r="R476" t="str">
        <f t="shared" si="21"/>
        <v>Zoe's 5 Star Short let Apartment in Lekki_x000C_</v>
      </c>
      <c r="S476" t="str">
        <f t="shared" si="22"/>
        <v>Zoe's 5 Star Short let Apartment in Lekki</v>
      </c>
      <c r="T476">
        <f>Table1[[#This Row],[Adults]]+Table1[[#This Row],[Children]]</f>
        <v>5</v>
      </c>
      <c r="U476">
        <f>_xlfn.DAYS(Table1[[#This Row],[Depart]],Table1[[#This Row],[Arrive]])</f>
        <v>1</v>
      </c>
    </row>
    <row r="477" spans="1:21" x14ac:dyDescent="0.25">
      <c r="A477" t="s">
        <v>623</v>
      </c>
      <c r="B477" t="s">
        <v>624</v>
      </c>
      <c r="C477" t="s">
        <v>1178</v>
      </c>
      <c r="D477" s="1">
        <v>44068</v>
      </c>
      <c r="E477" s="1">
        <v>44069</v>
      </c>
      <c r="F477">
        <f t="shared" si="23"/>
        <v>1</v>
      </c>
      <c r="G477" s="1">
        <v>44052</v>
      </c>
      <c r="H477" s="2">
        <v>0.58333333333333337</v>
      </c>
      <c r="I477" s="2">
        <v>0.45833333333333331</v>
      </c>
      <c r="J477" t="s">
        <v>1644</v>
      </c>
      <c r="K477" t="s">
        <v>1644</v>
      </c>
      <c r="L477" t="s">
        <v>22</v>
      </c>
      <c r="M477" s="12" t="s">
        <v>18</v>
      </c>
      <c r="N477">
        <v>4</v>
      </c>
      <c r="O477">
        <v>0</v>
      </c>
      <c r="P477" t="s">
        <v>19</v>
      </c>
      <c r="Q477" s="6">
        <v>110</v>
      </c>
      <c r="R477" t="str">
        <f t="shared" si="21"/>
        <v>Ope's 5 Star Short Let Apartment in Lekki_x000C_</v>
      </c>
      <c r="S477" t="str">
        <f t="shared" si="22"/>
        <v>Ope's 5 Star Short Let Apartment in Lekki</v>
      </c>
      <c r="T477">
        <f>Table1[[#This Row],[Adults]]+Table1[[#This Row],[Children]]</f>
        <v>4</v>
      </c>
      <c r="U477">
        <f>_xlfn.DAYS(Table1[[#This Row],[Depart]],Table1[[#This Row],[Arrive]])</f>
        <v>1</v>
      </c>
    </row>
    <row r="478" spans="1:21" x14ac:dyDescent="0.25">
      <c r="A478" t="s">
        <v>601</v>
      </c>
      <c r="B478" t="s">
        <v>602</v>
      </c>
      <c r="C478" t="s">
        <v>1180</v>
      </c>
      <c r="D478" s="1">
        <v>44068</v>
      </c>
      <c r="E478" s="1">
        <v>44069</v>
      </c>
      <c r="F478">
        <f t="shared" si="23"/>
        <v>1</v>
      </c>
      <c r="G478" s="1">
        <v>44060</v>
      </c>
      <c r="H478" s="2">
        <v>0.58333333333333337</v>
      </c>
      <c r="I478" s="2">
        <v>0.45833333333333331</v>
      </c>
      <c r="J478" t="s">
        <v>1648</v>
      </c>
      <c r="K478" t="s">
        <v>1648</v>
      </c>
      <c r="L478" t="s">
        <v>22</v>
      </c>
      <c r="M478" s="12" t="s">
        <v>23</v>
      </c>
      <c r="N478">
        <v>6</v>
      </c>
      <c r="O478">
        <v>0</v>
      </c>
      <c r="P478" t="s">
        <v>19</v>
      </c>
      <c r="Q478" s="6">
        <v>110</v>
      </c>
      <c r="R478" t="str">
        <f t="shared" si="21"/>
        <v>Zoe's 5 Star Short let Apartment in Lekki_x000C_</v>
      </c>
      <c r="S478" t="str">
        <f t="shared" si="22"/>
        <v>Zoe's 5 Star Short let Apartment in Lekki</v>
      </c>
      <c r="T478">
        <f>Table1[[#This Row],[Adults]]+Table1[[#This Row],[Children]]</f>
        <v>6</v>
      </c>
      <c r="U478">
        <f>_xlfn.DAYS(Table1[[#This Row],[Depart]],Table1[[#This Row],[Arrive]])</f>
        <v>1</v>
      </c>
    </row>
    <row r="479" spans="1:21" x14ac:dyDescent="0.25">
      <c r="A479" t="s">
        <v>635</v>
      </c>
      <c r="B479" t="s">
        <v>636</v>
      </c>
      <c r="C479" t="s">
        <v>1178</v>
      </c>
      <c r="D479" s="1">
        <v>44068</v>
      </c>
      <c r="E479" s="1">
        <v>44069</v>
      </c>
      <c r="F479">
        <f t="shared" si="23"/>
        <v>1</v>
      </c>
      <c r="G479" s="1">
        <v>44063</v>
      </c>
      <c r="H479" s="2">
        <v>0.58333333333333337</v>
      </c>
      <c r="I479" s="2">
        <v>0.45833333333333331</v>
      </c>
      <c r="J479" t="s">
        <v>1654</v>
      </c>
      <c r="K479" t="s">
        <v>1654</v>
      </c>
      <c r="L479" t="s">
        <v>22</v>
      </c>
      <c r="M479" s="12" t="s">
        <v>23</v>
      </c>
      <c r="N479">
        <v>5</v>
      </c>
      <c r="O479">
        <v>0</v>
      </c>
      <c r="P479" t="s">
        <v>19</v>
      </c>
      <c r="Q479" s="6">
        <v>110</v>
      </c>
      <c r="R479" t="str">
        <f t="shared" si="21"/>
        <v>Ope's 5 Star Short Let Apartment in Lekki_x000C_</v>
      </c>
      <c r="S479" t="str">
        <f t="shared" si="22"/>
        <v>Ope's 5 Star Short Let Apartment in Lekki</v>
      </c>
      <c r="T479">
        <f>Table1[[#This Row],[Adults]]+Table1[[#This Row],[Children]]</f>
        <v>5</v>
      </c>
      <c r="U479">
        <f>_xlfn.DAYS(Table1[[#This Row],[Depart]],Table1[[#This Row],[Arrive]])</f>
        <v>1</v>
      </c>
    </row>
    <row r="480" spans="1:21" x14ac:dyDescent="0.25">
      <c r="A480" t="s">
        <v>641</v>
      </c>
      <c r="B480" t="s">
        <v>642</v>
      </c>
      <c r="C480" t="s">
        <v>1173</v>
      </c>
      <c r="D480" s="1">
        <v>44068</v>
      </c>
      <c r="E480" s="1">
        <v>44071</v>
      </c>
      <c r="F480">
        <f t="shared" si="23"/>
        <v>3</v>
      </c>
      <c r="G480" s="1">
        <v>44061</v>
      </c>
      <c r="H480" s="2">
        <v>0.33333333333333331</v>
      </c>
      <c r="I480" s="3">
        <v>1</v>
      </c>
      <c r="J480" t="s">
        <v>1658</v>
      </c>
      <c r="K480" t="s">
        <v>1658</v>
      </c>
      <c r="L480" t="s">
        <v>22</v>
      </c>
      <c r="M480" s="12" t="s">
        <v>23</v>
      </c>
      <c r="N480">
        <v>3</v>
      </c>
      <c r="O480">
        <v>0</v>
      </c>
      <c r="P480" t="s">
        <v>19</v>
      </c>
      <c r="Q480" s="6">
        <v>330</v>
      </c>
      <c r="R480" t="str">
        <f t="shared" si="21"/>
        <v xml:space="preserve"> The Daniels 5 Star Short Let Apartment in Lekki_x000C_</v>
      </c>
      <c r="S480" t="str">
        <f t="shared" si="22"/>
        <v xml:space="preserve"> The Daniels 5 Star Short Let Apartment in Lekki</v>
      </c>
      <c r="T480">
        <f>Table1[[#This Row],[Adults]]+Table1[[#This Row],[Children]]</f>
        <v>3</v>
      </c>
      <c r="U480">
        <f>_xlfn.DAYS(Table1[[#This Row],[Depart]],Table1[[#This Row],[Arrive]])</f>
        <v>3</v>
      </c>
    </row>
    <row r="481" spans="1:21" x14ac:dyDescent="0.25">
      <c r="A481" t="s">
        <v>655</v>
      </c>
      <c r="B481" t="s">
        <v>656</v>
      </c>
      <c r="C481" t="s">
        <v>1179</v>
      </c>
      <c r="D481" s="1">
        <v>44068</v>
      </c>
      <c r="E481" s="1">
        <v>44069</v>
      </c>
      <c r="F481">
        <f t="shared" si="23"/>
        <v>1</v>
      </c>
      <c r="G481" s="1">
        <v>44065</v>
      </c>
      <c r="H481" s="2">
        <v>0.33333333333333331</v>
      </c>
      <c r="I481" s="3">
        <v>1</v>
      </c>
      <c r="J481" t="s">
        <v>1666</v>
      </c>
      <c r="K481" t="s">
        <v>1666</v>
      </c>
      <c r="L481" t="s">
        <v>22</v>
      </c>
      <c r="M481" s="12" t="s">
        <v>23</v>
      </c>
      <c r="N481">
        <v>5</v>
      </c>
      <c r="O481">
        <v>0</v>
      </c>
      <c r="P481" t="s">
        <v>19</v>
      </c>
      <c r="Q481" s="6">
        <v>110</v>
      </c>
      <c r="R481" t="str">
        <f t="shared" si="21"/>
        <v>Phiola's 5 Star Short Let Apartment in Lekki_x000C_</v>
      </c>
      <c r="S481" t="str">
        <f t="shared" si="22"/>
        <v>Phiola's 5 Star Short Let Apartment in Lekki</v>
      </c>
      <c r="T481">
        <f>Table1[[#This Row],[Adults]]+Table1[[#This Row],[Children]]</f>
        <v>5</v>
      </c>
      <c r="U481">
        <f>_xlfn.DAYS(Table1[[#This Row],[Depart]],Table1[[#This Row],[Arrive]])</f>
        <v>1</v>
      </c>
    </row>
    <row r="482" spans="1:21" x14ac:dyDescent="0.25">
      <c r="A482" t="s">
        <v>601</v>
      </c>
      <c r="B482" t="s">
        <v>602</v>
      </c>
      <c r="C482" t="s">
        <v>1175</v>
      </c>
      <c r="D482" s="1">
        <v>44069</v>
      </c>
      <c r="E482" s="1">
        <v>44070</v>
      </c>
      <c r="F482">
        <f t="shared" si="23"/>
        <v>1</v>
      </c>
      <c r="G482" s="1">
        <v>44060</v>
      </c>
      <c r="H482" s="2">
        <v>0.33333333333333331</v>
      </c>
      <c r="I482" s="3">
        <v>1</v>
      </c>
      <c r="J482" t="s">
        <v>1649</v>
      </c>
      <c r="K482" t="s">
        <v>1649</v>
      </c>
      <c r="L482" t="s">
        <v>22</v>
      </c>
      <c r="M482" s="12" t="s">
        <v>23</v>
      </c>
      <c r="N482">
        <v>6</v>
      </c>
      <c r="O482">
        <v>0</v>
      </c>
      <c r="P482" t="s">
        <v>19</v>
      </c>
      <c r="Q482" s="6">
        <v>110</v>
      </c>
      <c r="R482" t="str">
        <f t="shared" si="21"/>
        <v>Keji's 5 Star Short let Apartment in Lekki_x000C_</v>
      </c>
      <c r="S482" t="str">
        <f t="shared" si="22"/>
        <v>Keji's 5 Star Short let Apartment in Lekki</v>
      </c>
      <c r="T482">
        <f>Table1[[#This Row],[Adults]]+Table1[[#This Row],[Children]]</f>
        <v>6</v>
      </c>
      <c r="U482">
        <f>_xlfn.DAYS(Table1[[#This Row],[Depart]],Table1[[#This Row],[Arrive]])</f>
        <v>1</v>
      </c>
    </row>
    <row r="483" spans="1:21" x14ac:dyDescent="0.25">
      <c r="A483" t="s">
        <v>583</v>
      </c>
      <c r="B483" t="s">
        <v>584</v>
      </c>
      <c r="C483" t="s">
        <v>1179</v>
      </c>
      <c r="D483" s="1">
        <v>44069</v>
      </c>
      <c r="E483" s="1">
        <v>44070</v>
      </c>
      <c r="F483">
        <f t="shared" si="23"/>
        <v>1</v>
      </c>
      <c r="G483" s="1">
        <v>44065</v>
      </c>
      <c r="H483" s="2">
        <v>0.33333333333333331</v>
      </c>
      <c r="I483" s="3">
        <v>1</v>
      </c>
      <c r="J483" t="s">
        <v>1665</v>
      </c>
      <c r="K483" t="s">
        <v>1665</v>
      </c>
      <c r="L483" t="s">
        <v>22</v>
      </c>
      <c r="M483" s="12" t="s">
        <v>18</v>
      </c>
      <c r="N483">
        <v>5</v>
      </c>
      <c r="O483">
        <v>0</v>
      </c>
      <c r="P483" t="s">
        <v>19</v>
      </c>
      <c r="Q483" s="6">
        <v>110</v>
      </c>
      <c r="R483" t="str">
        <f t="shared" si="21"/>
        <v>Phiola's 5 Star Short Let Apartment in Lekki_x000C_</v>
      </c>
      <c r="S483" t="str">
        <f t="shared" si="22"/>
        <v>Phiola's 5 Star Short Let Apartment in Lekki</v>
      </c>
      <c r="T483">
        <f>Table1[[#This Row],[Adults]]+Table1[[#This Row],[Children]]</f>
        <v>5</v>
      </c>
      <c r="U483">
        <f>_xlfn.DAYS(Table1[[#This Row],[Depart]],Table1[[#This Row],[Arrive]])</f>
        <v>1</v>
      </c>
    </row>
    <row r="484" spans="1:21" x14ac:dyDescent="0.25">
      <c r="A484" t="s">
        <v>671</v>
      </c>
      <c r="B484" t="s">
        <v>672</v>
      </c>
      <c r="C484" t="s">
        <v>1178</v>
      </c>
      <c r="D484" s="1">
        <v>44069</v>
      </c>
      <c r="E484" s="1">
        <v>44071</v>
      </c>
      <c r="F484">
        <f t="shared" si="23"/>
        <v>2</v>
      </c>
      <c r="G484" s="1">
        <v>44058</v>
      </c>
      <c r="H484" s="2">
        <v>0.58333333333333337</v>
      </c>
      <c r="I484" s="2">
        <v>0.45833333333333331</v>
      </c>
      <c r="J484" t="s">
        <v>1674</v>
      </c>
      <c r="K484" t="s">
        <v>1674</v>
      </c>
      <c r="L484" t="s">
        <v>22</v>
      </c>
      <c r="M484" s="12" t="s">
        <v>23</v>
      </c>
      <c r="N484">
        <v>4</v>
      </c>
      <c r="O484">
        <v>0</v>
      </c>
      <c r="P484" t="s">
        <v>19</v>
      </c>
      <c r="Q484" s="6">
        <v>220</v>
      </c>
      <c r="R484" t="str">
        <f t="shared" si="21"/>
        <v>Ope's 5 Star Short Let Apartment in Lekki_x000C_</v>
      </c>
      <c r="S484" t="str">
        <f t="shared" si="22"/>
        <v>Ope's 5 Star Short Let Apartment in Lekki</v>
      </c>
      <c r="T484">
        <f>Table1[[#This Row],[Adults]]+Table1[[#This Row],[Children]]</f>
        <v>4</v>
      </c>
      <c r="U484">
        <f>_xlfn.DAYS(Table1[[#This Row],[Depart]],Table1[[#This Row],[Arrive]])</f>
        <v>2</v>
      </c>
    </row>
    <row r="485" spans="1:21" x14ac:dyDescent="0.25">
      <c r="A485" t="s">
        <v>581</v>
      </c>
      <c r="B485" t="s">
        <v>582</v>
      </c>
      <c r="C485" t="s">
        <v>1179</v>
      </c>
      <c r="D485" s="1">
        <v>44070</v>
      </c>
      <c r="E485" s="1">
        <v>44072</v>
      </c>
      <c r="F485">
        <f t="shared" si="23"/>
        <v>2</v>
      </c>
      <c r="G485" s="1">
        <v>44051</v>
      </c>
      <c r="H485" s="2">
        <v>0.33333333333333331</v>
      </c>
      <c r="I485" s="3">
        <v>1</v>
      </c>
      <c r="J485" t="s">
        <v>1607</v>
      </c>
      <c r="K485" t="s">
        <v>1607</v>
      </c>
      <c r="L485" t="s">
        <v>26</v>
      </c>
      <c r="M485" s="12" t="s">
        <v>18</v>
      </c>
      <c r="N485">
        <v>1</v>
      </c>
      <c r="O485">
        <v>0</v>
      </c>
      <c r="P485" t="s">
        <v>19</v>
      </c>
      <c r="Q485" s="6">
        <v>232</v>
      </c>
      <c r="R485" t="str">
        <f t="shared" si="21"/>
        <v>Phiola's 5 Star Short Let Apartment in Lekki_x000C_</v>
      </c>
      <c r="S485" t="str">
        <f t="shared" si="22"/>
        <v>Phiola's 5 Star Short Let Apartment in Lekki</v>
      </c>
      <c r="T485">
        <f>Table1[[#This Row],[Adults]]+Table1[[#This Row],[Children]]</f>
        <v>1</v>
      </c>
      <c r="U485">
        <f>_xlfn.DAYS(Table1[[#This Row],[Depart]],Table1[[#This Row],[Arrive]])</f>
        <v>2</v>
      </c>
    </row>
    <row r="486" spans="1:21" x14ac:dyDescent="0.25">
      <c r="A486" t="s">
        <v>376</v>
      </c>
      <c r="B486" t="s">
        <v>377</v>
      </c>
      <c r="C486" t="s">
        <v>1175</v>
      </c>
      <c r="D486" s="1">
        <v>44070</v>
      </c>
      <c r="E486" s="1">
        <v>44071</v>
      </c>
      <c r="F486">
        <f t="shared" si="23"/>
        <v>1</v>
      </c>
      <c r="G486" s="1">
        <v>44055</v>
      </c>
      <c r="H486" s="2">
        <v>0.33333333333333331</v>
      </c>
      <c r="I486" s="3">
        <v>1</v>
      </c>
      <c r="J486" t="s">
        <v>1625</v>
      </c>
      <c r="K486" t="s">
        <v>1625</v>
      </c>
      <c r="L486" t="s">
        <v>22</v>
      </c>
      <c r="M486" s="12" t="s">
        <v>23</v>
      </c>
      <c r="N486">
        <v>5</v>
      </c>
      <c r="O486">
        <v>0</v>
      </c>
      <c r="P486" t="s">
        <v>19</v>
      </c>
      <c r="Q486" s="6">
        <v>110</v>
      </c>
      <c r="R486" t="str">
        <f t="shared" si="21"/>
        <v>Keji's 5 Star Short let Apartment in Lekki_x000C_</v>
      </c>
      <c r="S486" t="str">
        <f t="shared" si="22"/>
        <v>Keji's 5 Star Short let Apartment in Lekki</v>
      </c>
      <c r="T486">
        <f>Table1[[#This Row],[Adults]]+Table1[[#This Row],[Children]]</f>
        <v>5</v>
      </c>
      <c r="U486">
        <f>_xlfn.DAYS(Table1[[#This Row],[Depart]],Table1[[#This Row],[Arrive]])</f>
        <v>1</v>
      </c>
    </row>
    <row r="487" spans="1:21" x14ac:dyDescent="0.25">
      <c r="A487" t="s">
        <v>605</v>
      </c>
      <c r="B487" t="s">
        <v>606</v>
      </c>
      <c r="C487" t="s">
        <v>1178</v>
      </c>
      <c r="D487" s="1">
        <v>44070</v>
      </c>
      <c r="E487" s="1">
        <v>44072</v>
      </c>
      <c r="F487">
        <f t="shared" si="23"/>
        <v>2</v>
      </c>
      <c r="G487" s="1">
        <v>44055</v>
      </c>
      <c r="H487" s="2">
        <v>0.58333333333333337</v>
      </c>
      <c r="I487" s="2">
        <v>0.45833333333333331</v>
      </c>
      <c r="J487" t="s">
        <v>1629</v>
      </c>
      <c r="K487" t="s">
        <v>1629</v>
      </c>
      <c r="L487" t="s">
        <v>26</v>
      </c>
      <c r="M487" s="12" t="s">
        <v>18</v>
      </c>
      <c r="N487">
        <v>1</v>
      </c>
      <c r="O487">
        <v>0</v>
      </c>
      <c r="P487" t="s">
        <v>19</v>
      </c>
      <c r="Q487" s="6">
        <v>212</v>
      </c>
      <c r="R487" t="str">
        <f t="shared" si="21"/>
        <v>Ope's 5 Star Short Let Apartment in Lekki_x000C_</v>
      </c>
      <c r="S487" t="str">
        <f t="shared" si="22"/>
        <v>Ope's 5 Star Short Let Apartment in Lekki</v>
      </c>
      <c r="T487">
        <f>Table1[[#This Row],[Adults]]+Table1[[#This Row],[Children]]</f>
        <v>1</v>
      </c>
      <c r="U487">
        <f>_xlfn.DAYS(Table1[[#This Row],[Depart]],Table1[[#This Row],[Arrive]])</f>
        <v>2</v>
      </c>
    </row>
    <row r="488" spans="1:21" x14ac:dyDescent="0.25">
      <c r="A488" t="s">
        <v>637</v>
      </c>
      <c r="B488" t="s">
        <v>638</v>
      </c>
      <c r="C488" t="s">
        <v>1180</v>
      </c>
      <c r="D488" s="1">
        <v>44070</v>
      </c>
      <c r="E488" s="1">
        <v>44071</v>
      </c>
      <c r="F488">
        <f t="shared" si="23"/>
        <v>1</v>
      </c>
      <c r="G488" s="1">
        <v>44064</v>
      </c>
      <c r="H488" s="2">
        <v>0.58333333333333337</v>
      </c>
      <c r="I488" s="2">
        <v>0.45833333333333331</v>
      </c>
      <c r="J488" t="s">
        <v>1656</v>
      </c>
      <c r="K488" t="s">
        <v>1656</v>
      </c>
      <c r="L488" t="s">
        <v>22</v>
      </c>
      <c r="M488" s="12" t="s">
        <v>23</v>
      </c>
      <c r="N488">
        <v>5</v>
      </c>
      <c r="O488">
        <v>0</v>
      </c>
      <c r="P488" t="s">
        <v>19</v>
      </c>
      <c r="Q488" s="6">
        <v>110</v>
      </c>
      <c r="R488" t="str">
        <f t="shared" si="21"/>
        <v>Zoe's 5 Star Short let Apartment in Lekki_x000C_</v>
      </c>
      <c r="S488" t="str">
        <f t="shared" si="22"/>
        <v>Zoe's 5 Star Short let Apartment in Lekki</v>
      </c>
      <c r="T488">
        <f>Table1[[#This Row],[Adults]]+Table1[[#This Row],[Children]]</f>
        <v>5</v>
      </c>
      <c r="U488">
        <f>_xlfn.DAYS(Table1[[#This Row],[Depart]],Table1[[#This Row],[Arrive]])</f>
        <v>1</v>
      </c>
    </row>
    <row r="489" spans="1:21" x14ac:dyDescent="0.25">
      <c r="A489" t="s">
        <v>512</v>
      </c>
      <c r="B489" t="s">
        <v>513</v>
      </c>
      <c r="C489" t="s">
        <v>1179</v>
      </c>
      <c r="D489" s="1">
        <v>44070</v>
      </c>
      <c r="E489" s="1">
        <v>44071</v>
      </c>
      <c r="F489">
        <f t="shared" si="23"/>
        <v>1</v>
      </c>
      <c r="G489" s="1">
        <v>44069</v>
      </c>
      <c r="H489" s="2">
        <v>0.33333333333333331</v>
      </c>
      <c r="I489" s="3">
        <v>1</v>
      </c>
      <c r="J489" t="s">
        <v>1676</v>
      </c>
      <c r="K489" t="s">
        <v>1676</v>
      </c>
      <c r="L489" t="s">
        <v>22</v>
      </c>
      <c r="M489" s="12" t="s">
        <v>18</v>
      </c>
      <c r="N489">
        <v>3</v>
      </c>
      <c r="O489">
        <v>0</v>
      </c>
      <c r="P489" t="s">
        <v>19</v>
      </c>
      <c r="Q489" s="6">
        <v>118.25</v>
      </c>
      <c r="R489" t="str">
        <f t="shared" si="21"/>
        <v>Phiola's 5 Star Short Let Apartment in Lekki_x000C_</v>
      </c>
      <c r="S489" t="str">
        <f t="shared" si="22"/>
        <v>Phiola's 5 Star Short Let Apartment in Lekki</v>
      </c>
      <c r="T489">
        <f>Table1[[#This Row],[Adults]]+Table1[[#This Row],[Children]]</f>
        <v>3</v>
      </c>
      <c r="U489">
        <f>_xlfn.DAYS(Table1[[#This Row],[Depart]],Table1[[#This Row],[Arrive]])</f>
        <v>1</v>
      </c>
    </row>
    <row r="490" spans="1:21" x14ac:dyDescent="0.25">
      <c r="A490" t="s">
        <v>508</v>
      </c>
      <c r="B490" t="s">
        <v>509</v>
      </c>
      <c r="C490" t="s">
        <v>1175</v>
      </c>
      <c r="D490" s="1">
        <v>44071</v>
      </c>
      <c r="E490" s="1">
        <v>44073</v>
      </c>
      <c r="F490">
        <f t="shared" si="23"/>
        <v>2</v>
      </c>
      <c r="G490" s="1">
        <v>44038</v>
      </c>
      <c r="H490" s="2">
        <v>0.33333333333333331</v>
      </c>
      <c r="I490" s="3">
        <v>1</v>
      </c>
      <c r="J490" t="s">
        <v>1540</v>
      </c>
      <c r="K490" t="s">
        <v>1540</v>
      </c>
      <c r="L490" t="s">
        <v>22</v>
      </c>
      <c r="M490" s="12" t="s">
        <v>23</v>
      </c>
      <c r="N490">
        <v>8</v>
      </c>
      <c r="O490">
        <v>0</v>
      </c>
      <c r="P490" t="s">
        <v>19</v>
      </c>
      <c r="Q490" s="6">
        <v>300</v>
      </c>
      <c r="R490" t="str">
        <f t="shared" si="21"/>
        <v>Keji's 5 Star Short let Apartment in Lekki_x000C_</v>
      </c>
      <c r="S490" t="str">
        <f t="shared" si="22"/>
        <v>Keji's 5 Star Short let Apartment in Lekki</v>
      </c>
      <c r="T490">
        <f>Table1[[#This Row],[Adults]]+Table1[[#This Row],[Children]]</f>
        <v>8</v>
      </c>
      <c r="U490">
        <f>_xlfn.DAYS(Table1[[#This Row],[Depart]],Table1[[#This Row],[Arrive]])</f>
        <v>2</v>
      </c>
    </row>
    <row r="491" spans="1:21" x14ac:dyDescent="0.25">
      <c r="A491" t="s">
        <v>508</v>
      </c>
      <c r="B491" t="s">
        <v>509</v>
      </c>
      <c r="C491" t="s">
        <v>1180</v>
      </c>
      <c r="D491" s="1">
        <v>44071</v>
      </c>
      <c r="E491" s="1">
        <v>44073</v>
      </c>
      <c r="F491">
        <f t="shared" si="23"/>
        <v>2</v>
      </c>
      <c r="G491" s="1">
        <v>44038</v>
      </c>
      <c r="H491" s="2">
        <v>0.58333333333333337</v>
      </c>
      <c r="I491" s="2">
        <v>0.45833333333333331</v>
      </c>
      <c r="J491" t="s">
        <v>1541</v>
      </c>
      <c r="K491" t="s">
        <v>1541</v>
      </c>
      <c r="L491" t="s">
        <v>22</v>
      </c>
      <c r="M491" s="12" t="s">
        <v>23</v>
      </c>
      <c r="N491">
        <v>5</v>
      </c>
      <c r="O491">
        <v>0</v>
      </c>
      <c r="P491" t="s">
        <v>19</v>
      </c>
      <c r="Q491" s="6">
        <v>220</v>
      </c>
      <c r="R491" t="str">
        <f t="shared" si="21"/>
        <v>Zoe's 5 Star Short let Apartment in Lekki_x000C_</v>
      </c>
      <c r="S491" t="str">
        <f t="shared" si="22"/>
        <v>Zoe's 5 Star Short let Apartment in Lekki</v>
      </c>
      <c r="T491">
        <f>Table1[[#This Row],[Adults]]+Table1[[#This Row],[Children]]</f>
        <v>5</v>
      </c>
      <c r="U491">
        <f>_xlfn.DAYS(Table1[[#This Row],[Depart]],Table1[[#This Row],[Arrive]])</f>
        <v>2</v>
      </c>
    </row>
    <row r="492" spans="1:21" x14ac:dyDescent="0.25">
      <c r="A492" t="s">
        <v>130</v>
      </c>
      <c r="B492" t="s">
        <v>131</v>
      </c>
      <c r="C492" t="s">
        <v>1173</v>
      </c>
      <c r="D492" s="1">
        <v>44071</v>
      </c>
      <c r="E492" s="1">
        <v>44074</v>
      </c>
      <c r="F492">
        <f t="shared" si="23"/>
        <v>3</v>
      </c>
      <c r="G492" s="1">
        <v>44045</v>
      </c>
      <c r="H492" s="2">
        <v>0.33333333333333331</v>
      </c>
      <c r="I492" s="3">
        <v>1</v>
      </c>
      <c r="J492" t="s">
        <v>1581</v>
      </c>
      <c r="K492" t="s">
        <v>1581</v>
      </c>
      <c r="L492" t="s">
        <v>22</v>
      </c>
      <c r="M492" s="12" t="s">
        <v>18</v>
      </c>
      <c r="N492">
        <v>4</v>
      </c>
      <c r="O492">
        <v>0</v>
      </c>
      <c r="P492" t="s">
        <v>19</v>
      </c>
      <c r="Q492" s="6">
        <v>330</v>
      </c>
      <c r="R492" t="str">
        <f t="shared" si="21"/>
        <v xml:space="preserve"> The Daniels 5 Star Short Let Apartment in Lekki_x000C_</v>
      </c>
      <c r="S492" t="str">
        <f t="shared" si="22"/>
        <v xml:space="preserve"> The Daniels 5 Star Short Let Apartment in Lekki</v>
      </c>
      <c r="T492">
        <f>Table1[[#This Row],[Adults]]+Table1[[#This Row],[Children]]</f>
        <v>4</v>
      </c>
      <c r="U492">
        <f>_xlfn.DAYS(Table1[[#This Row],[Depart]],Table1[[#This Row],[Arrive]])</f>
        <v>3</v>
      </c>
    </row>
    <row r="493" spans="1:21" x14ac:dyDescent="0.25">
      <c r="A493" t="s">
        <v>621</v>
      </c>
      <c r="B493" t="s">
        <v>622</v>
      </c>
      <c r="C493" t="s">
        <v>1179</v>
      </c>
      <c r="D493" s="1">
        <v>44071</v>
      </c>
      <c r="E493" s="1">
        <v>44073</v>
      </c>
      <c r="F493">
        <f t="shared" si="23"/>
        <v>2</v>
      </c>
      <c r="G493" s="1">
        <v>44056</v>
      </c>
      <c r="H493" s="2">
        <v>0.33333333333333331</v>
      </c>
      <c r="I493" s="3">
        <v>1</v>
      </c>
      <c r="J493" t="s">
        <v>1643</v>
      </c>
      <c r="K493" t="s">
        <v>1643</v>
      </c>
      <c r="L493" t="s">
        <v>22</v>
      </c>
      <c r="M493" s="12" t="s">
        <v>23</v>
      </c>
      <c r="N493">
        <v>5</v>
      </c>
      <c r="O493">
        <v>0</v>
      </c>
      <c r="P493" t="s">
        <v>19</v>
      </c>
      <c r="Q493" s="6">
        <v>220</v>
      </c>
      <c r="R493" t="str">
        <f t="shared" si="21"/>
        <v>Phiola's 5 Star Short Let Apartment in Lekki_x000C_</v>
      </c>
      <c r="S493" t="str">
        <f t="shared" si="22"/>
        <v>Phiola's 5 Star Short Let Apartment in Lekki</v>
      </c>
      <c r="T493">
        <f>Table1[[#This Row],[Adults]]+Table1[[#This Row],[Children]]</f>
        <v>5</v>
      </c>
      <c r="U493">
        <f>_xlfn.DAYS(Table1[[#This Row],[Depart]],Table1[[#This Row],[Arrive]])</f>
        <v>2</v>
      </c>
    </row>
    <row r="494" spans="1:21" x14ac:dyDescent="0.25">
      <c r="A494" t="s">
        <v>677</v>
      </c>
      <c r="B494" t="s">
        <v>678</v>
      </c>
      <c r="C494" t="s">
        <v>1173</v>
      </c>
      <c r="D494" s="1">
        <v>44071</v>
      </c>
      <c r="E494" s="1">
        <v>44073</v>
      </c>
      <c r="F494">
        <f t="shared" si="23"/>
        <v>2</v>
      </c>
      <c r="G494" s="1">
        <v>44046</v>
      </c>
      <c r="H494" s="2">
        <v>0.33333333333333331</v>
      </c>
      <c r="I494" s="3">
        <v>1</v>
      </c>
      <c r="J494" t="s">
        <v>1680</v>
      </c>
      <c r="K494" t="s">
        <v>1680</v>
      </c>
      <c r="L494" t="s">
        <v>22</v>
      </c>
      <c r="M494" s="12" t="s">
        <v>18</v>
      </c>
      <c r="N494">
        <v>4</v>
      </c>
      <c r="O494">
        <v>0</v>
      </c>
      <c r="P494" t="s">
        <v>19</v>
      </c>
      <c r="Q494" s="6">
        <v>220</v>
      </c>
      <c r="R494" t="str">
        <f t="shared" si="21"/>
        <v xml:space="preserve"> The Daniels 5 Star Short Let Apartment in Lekki_x000C_</v>
      </c>
      <c r="S494" t="str">
        <f t="shared" si="22"/>
        <v xml:space="preserve"> The Daniels 5 Star Short Let Apartment in Lekki</v>
      </c>
      <c r="T494">
        <f>Table1[[#This Row],[Adults]]+Table1[[#This Row],[Children]]</f>
        <v>4</v>
      </c>
      <c r="U494">
        <f>_xlfn.DAYS(Table1[[#This Row],[Depart]],Table1[[#This Row],[Arrive]])</f>
        <v>2</v>
      </c>
    </row>
    <row r="495" spans="1:21" x14ac:dyDescent="0.25">
      <c r="A495" t="s">
        <v>641</v>
      </c>
      <c r="B495" t="s">
        <v>642</v>
      </c>
      <c r="C495" t="s">
        <v>1178</v>
      </c>
      <c r="D495" s="1">
        <v>44071</v>
      </c>
      <c r="E495" s="1">
        <v>44075</v>
      </c>
      <c r="F495">
        <f t="shared" si="23"/>
        <v>4</v>
      </c>
      <c r="G495" s="1">
        <v>44061</v>
      </c>
      <c r="H495" s="2">
        <v>0.58333333333333337</v>
      </c>
      <c r="I495" s="2">
        <v>0.45833333333333331</v>
      </c>
      <c r="J495" t="s">
        <v>1684</v>
      </c>
      <c r="K495" t="s">
        <v>1684</v>
      </c>
      <c r="L495" t="s">
        <v>22</v>
      </c>
      <c r="M495" s="12" t="s">
        <v>23</v>
      </c>
      <c r="N495">
        <v>3</v>
      </c>
      <c r="O495">
        <v>0</v>
      </c>
      <c r="P495" t="s">
        <v>19</v>
      </c>
      <c r="Q495" s="6">
        <v>473</v>
      </c>
      <c r="R495" t="str">
        <f t="shared" si="21"/>
        <v>Ope's 5 Star Short Let Apartment in Lekki_x000C_</v>
      </c>
      <c r="S495" t="str">
        <f t="shared" si="22"/>
        <v>Ope's 5 Star Short Let Apartment in Lekki</v>
      </c>
      <c r="T495">
        <f>Table1[[#This Row],[Adults]]+Table1[[#This Row],[Children]]</f>
        <v>3</v>
      </c>
      <c r="U495">
        <f>_xlfn.DAYS(Table1[[#This Row],[Depart]],Table1[[#This Row],[Arrive]])</f>
        <v>4</v>
      </c>
    </row>
    <row r="496" spans="1:21" x14ac:dyDescent="0.25">
      <c r="A496" t="s">
        <v>400</v>
      </c>
      <c r="B496" t="s">
        <v>401</v>
      </c>
      <c r="C496" t="s">
        <v>1173</v>
      </c>
      <c r="D496" s="1">
        <v>44071</v>
      </c>
      <c r="E496" s="1">
        <v>44072</v>
      </c>
      <c r="F496">
        <f t="shared" si="23"/>
        <v>1</v>
      </c>
      <c r="G496" s="1">
        <v>44071</v>
      </c>
      <c r="H496" s="2">
        <v>0.33333333333333331</v>
      </c>
      <c r="I496" s="3">
        <v>1</v>
      </c>
      <c r="J496" t="s">
        <v>1685</v>
      </c>
      <c r="K496" t="s">
        <v>1685</v>
      </c>
      <c r="L496" t="s">
        <v>22</v>
      </c>
      <c r="M496" s="12" t="s">
        <v>23</v>
      </c>
      <c r="N496">
        <v>4</v>
      </c>
      <c r="O496">
        <v>0</v>
      </c>
      <c r="P496" t="s">
        <v>19</v>
      </c>
      <c r="Q496" s="6">
        <v>118.25</v>
      </c>
      <c r="R496" t="str">
        <f t="shared" si="21"/>
        <v xml:space="preserve"> The Daniels 5 Star Short Let Apartment in Lekki_x000C_</v>
      </c>
      <c r="S496" t="str">
        <f t="shared" si="22"/>
        <v xml:space="preserve"> The Daniels 5 Star Short Let Apartment in Lekki</v>
      </c>
      <c r="T496">
        <f>Table1[[#This Row],[Adults]]+Table1[[#This Row],[Children]]</f>
        <v>4</v>
      </c>
      <c r="U496">
        <f>_xlfn.DAYS(Table1[[#This Row],[Depart]],Table1[[#This Row],[Arrive]])</f>
        <v>1</v>
      </c>
    </row>
    <row r="497" spans="1:21" x14ac:dyDescent="0.25">
      <c r="A497" t="s">
        <v>679</v>
      </c>
      <c r="B497" t="s">
        <v>680</v>
      </c>
      <c r="C497" t="s">
        <v>1178</v>
      </c>
      <c r="D497" s="1">
        <v>44072</v>
      </c>
      <c r="E497" s="1">
        <v>44073</v>
      </c>
      <c r="F497">
        <f t="shared" si="23"/>
        <v>1</v>
      </c>
      <c r="G497" s="1">
        <v>44019</v>
      </c>
      <c r="H497" s="2">
        <v>0.33333333333333331</v>
      </c>
      <c r="I497" s="3">
        <v>1</v>
      </c>
      <c r="J497" t="s">
        <v>1681</v>
      </c>
      <c r="K497" t="s">
        <v>1681</v>
      </c>
      <c r="L497" t="s">
        <v>22</v>
      </c>
      <c r="M497" s="12" t="s">
        <v>18</v>
      </c>
      <c r="N497">
        <v>4</v>
      </c>
      <c r="O497">
        <v>0</v>
      </c>
      <c r="P497" t="s">
        <v>19</v>
      </c>
      <c r="Q497" s="6">
        <v>135</v>
      </c>
      <c r="R497" t="str">
        <f t="shared" si="21"/>
        <v>Ope's 5 Star Short Let Apartment in Lekki_x000C_</v>
      </c>
      <c r="S497" t="str">
        <f t="shared" si="22"/>
        <v>Ope's 5 Star Short Let Apartment in Lekki</v>
      </c>
      <c r="T497">
        <f>Table1[[#This Row],[Adults]]+Table1[[#This Row],[Children]]</f>
        <v>4</v>
      </c>
      <c r="U497">
        <f>_xlfn.DAYS(Table1[[#This Row],[Depart]],Table1[[#This Row],[Arrive]])</f>
        <v>1</v>
      </c>
    </row>
    <row r="498" spans="1:21" x14ac:dyDescent="0.25">
      <c r="A498" t="s">
        <v>679</v>
      </c>
      <c r="B498" t="s">
        <v>680</v>
      </c>
      <c r="C498" t="s">
        <v>1173</v>
      </c>
      <c r="D498" s="1">
        <v>44072</v>
      </c>
      <c r="E498" s="1">
        <v>44073</v>
      </c>
      <c r="F498">
        <f t="shared" si="23"/>
        <v>1</v>
      </c>
      <c r="G498" s="1">
        <v>44071</v>
      </c>
      <c r="H498" s="2">
        <v>0.33333333333333331</v>
      </c>
      <c r="I498" s="3">
        <v>1</v>
      </c>
      <c r="J498" t="s">
        <v>1682</v>
      </c>
      <c r="K498" t="s">
        <v>1682</v>
      </c>
      <c r="L498" t="s">
        <v>22</v>
      </c>
      <c r="M498" s="12" t="s">
        <v>23</v>
      </c>
      <c r="N498">
        <v>4</v>
      </c>
      <c r="O498">
        <v>0</v>
      </c>
      <c r="P498" t="s">
        <v>19</v>
      </c>
      <c r="Q498" s="6">
        <v>118.25</v>
      </c>
      <c r="R498" t="str">
        <f t="shared" si="21"/>
        <v xml:space="preserve"> The Daniels 5 Star Short Let Apartment in Lekki_x000C_</v>
      </c>
      <c r="S498" t="str">
        <f t="shared" si="22"/>
        <v xml:space="preserve"> The Daniels 5 Star Short Let Apartment in Lekki</v>
      </c>
      <c r="T498">
        <f>Table1[[#This Row],[Adults]]+Table1[[#This Row],[Children]]</f>
        <v>4</v>
      </c>
      <c r="U498">
        <f>_xlfn.DAYS(Table1[[#This Row],[Depart]],Table1[[#This Row],[Arrive]])</f>
        <v>1</v>
      </c>
    </row>
    <row r="499" spans="1:21" x14ac:dyDescent="0.25">
      <c r="A499" t="s">
        <v>563</v>
      </c>
      <c r="B499" t="s">
        <v>564</v>
      </c>
      <c r="C499" t="s">
        <v>1175</v>
      </c>
      <c r="D499" s="1">
        <v>44073</v>
      </c>
      <c r="E499" s="1">
        <v>44076</v>
      </c>
      <c r="F499">
        <f t="shared" si="23"/>
        <v>3</v>
      </c>
      <c r="G499" s="1">
        <v>44049</v>
      </c>
      <c r="H499" s="2">
        <v>0.33333333333333331</v>
      </c>
      <c r="I499" s="3">
        <v>1</v>
      </c>
      <c r="J499" t="s">
        <v>1591</v>
      </c>
      <c r="K499" t="s">
        <v>1591</v>
      </c>
      <c r="L499" t="s">
        <v>22</v>
      </c>
      <c r="M499" s="12" t="s">
        <v>23</v>
      </c>
      <c r="N499">
        <v>6</v>
      </c>
      <c r="O499">
        <v>0</v>
      </c>
      <c r="P499" t="s">
        <v>19</v>
      </c>
      <c r="Q499" s="6">
        <v>330</v>
      </c>
      <c r="R499" t="str">
        <f t="shared" si="21"/>
        <v>Keji's 5 Star Short let Apartment in Lekki_x000C_</v>
      </c>
      <c r="S499" t="str">
        <f t="shared" si="22"/>
        <v>Keji's 5 Star Short let Apartment in Lekki</v>
      </c>
      <c r="T499">
        <f>Table1[[#This Row],[Adults]]+Table1[[#This Row],[Children]]</f>
        <v>6</v>
      </c>
      <c r="U499">
        <f>_xlfn.DAYS(Table1[[#This Row],[Depart]],Table1[[#This Row],[Arrive]])</f>
        <v>3</v>
      </c>
    </row>
    <row r="500" spans="1:21" x14ac:dyDescent="0.25">
      <c r="A500" t="s">
        <v>563</v>
      </c>
      <c r="B500" t="s">
        <v>564</v>
      </c>
      <c r="C500" t="s">
        <v>1180</v>
      </c>
      <c r="D500" s="1">
        <v>44073</v>
      </c>
      <c r="E500" s="1">
        <v>44076</v>
      </c>
      <c r="F500">
        <f t="shared" si="23"/>
        <v>3</v>
      </c>
      <c r="G500" s="1">
        <v>44049</v>
      </c>
      <c r="H500" s="2">
        <v>0.58333333333333337</v>
      </c>
      <c r="I500" s="2">
        <v>0.45833333333333331</v>
      </c>
      <c r="J500" t="s">
        <v>1592</v>
      </c>
      <c r="K500" t="s">
        <v>1592</v>
      </c>
      <c r="L500" t="s">
        <v>22</v>
      </c>
      <c r="M500" s="12" t="s">
        <v>23</v>
      </c>
      <c r="N500">
        <v>4</v>
      </c>
      <c r="O500">
        <v>0</v>
      </c>
      <c r="P500" t="s">
        <v>19</v>
      </c>
      <c r="Q500" s="6">
        <v>330</v>
      </c>
      <c r="R500" t="str">
        <f t="shared" si="21"/>
        <v>Zoe's 5 Star Short let Apartment in Lekki_x000C_</v>
      </c>
      <c r="S500" t="str">
        <f t="shared" si="22"/>
        <v>Zoe's 5 Star Short let Apartment in Lekki</v>
      </c>
      <c r="T500">
        <f>Table1[[#This Row],[Adults]]+Table1[[#This Row],[Children]]</f>
        <v>4</v>
      </c>
      <c r="U500">
        <f>_xlfn.DAYS(Table1[[#This Row],[Depart]],Table1[[#This Row],[Arrive]])</f>
        <v>3</v>
      </c>
    </row>
    <row r="501" spans="1:21" x14ac:dyDescent="0.25">
      <c r="A501" t="s">
        <v>563</v>
      </c>
      <c r="B501" t="s">
        <v>564</v>
      </c>
      <c r="C501" t="s">
        <v>1179</v>
      </c>
      <c r="D501" s="1">
        <v>44073</v>
      </c>
      <c r="E501" s="1">
        <v>44076</v>
      </c>
      <c r="F501">
        <f t="shared" si="23"/>
        <v>3</v>
      </c>
      <c r="G501" s="1">
        <v>44051</v>
      </c>
      <c r="H501" s="2">
        <v>0.33333333333333331</v>
      </c>
      <c r="I501" s="3">
        <v>1</v>
      </c>
      <c r="J501" t="s">
        <v>1605</v>
      </c>
      <c r="K501" t="s">
        <v>1605</v>
      </c>
      <c r="L501" t="s">
        <v>22</v>
      </c>
      <c r="M501" s="12" t="s">
        <v>23</v>
      </c>
      <c r="N501">
        <v>6</v>
      </c>
      <c r="O501">
        <v>0</v>
      </c>
      <c r="P501" t="s">
        <v>19</v>
      </c>
      <c r="Q501" s="6">
        <v>330</v>
      </c>
      <c r="R501" t="str">
        <f t="shared" si="21"/>
        <v>Phiola's 5 Star Short Let Apartment in Lekki_x000C_</v>
      </c>
      <c r="S501" t="str">
        <f t="shared" si="22"/>
        <v>Phiola's 5 Star Short Let Apartment in Lekki</v>
      </c>
      <c r="T501">
        <f>Table1[[#This Row],[Adults]]+Table1[[#This Row],[Children]]</f>
        <v>6</v>
      </c>
      <c r="U501">
        <f>_xlfn.DAYS(Table1[[#This Row],[Depart]],Table1[[#This Row],[Arrive]])</f>
        <v>3</v>
      </c>
    </row>
    <row r="502" spans="1:21" x14ac:dyDescent="0.25">
      <c r="A502" t="s">
        <v>667</v>
      </c>
      <c r="B502" t="s">
        <v>668</v>
      </c>
      <c r="C502" t="s">
        <v>1173</v>
      </c>
      <c r="D502" s="1">
        <v>44073</v>
      </c>
      <c r="E502" s="1">
        <v>44075</v>
      </c>
      <c r="F502">
        <f t="shared" si="23"/>
        <v>2</v>
      </c>
      <c r="G502" s="1">
        <v>44068</v>
      </c>
      <c r="H502" s="2">
        <v>0.33333333333333331</v>
      </c>
      <c r="I502" s="3">
        <v>1</v>
      </c>
      <c r="J502" t="s">
        <v>1672</v>
      </c>
      <c r="K502" t="s">
        <v>1672</v>
      </c>
      <c r="L502" t="s">
        <v>22</v>
      </c>
      <c r="M502" s="12" t="s">
        <v>23</v>
      </c>
      <c r="N502">
        <v>1</v>
      </c>
      <c r="O502">
        <v>0</v>
      </c>
      <c r="P502" t="s">
        <v>19</v>
      </c>
      <c r="Q502" s="6">
        <v>236.5</v>
      </c>
      <c r="R502" t="str">
        <f t="shared" si="21"/>
        <v xml:space="preserve"> The Daniels 5 Star Short Let Apartment in Lekki_x000C_</v>
      </c>
      <c r="S502" t="str">
        <f t="shared" si="22"/>
        <v xml:space="preserve"> The Daniels 5 Star Short Let Apartment in Lekki</v>
      </c>
      <c r="T502">
        <f>Table1[[#This Row],[Adults]]+Table1[[#This Row],[Children]]</f>
        <v>1</v>
      </c>
      <c r="U502">
        <f>_xlfn.DAYS(Table1[[#This Row],[Depart]],Table1[[#This Row],[Arrive]])</f>
        <v>2</v>
      </c>
    </row>
    <row r="503" spans="1:21" x14ac:dyDescent="0.25">
      <c r="A503" t="s">
        <v>512</v>
      </c>
      <c r="B503" t="s">
        <v>513</v>
      </c>
      <c r="C503" t="s">
        <v>1178</v>
      </c>
      <c r="D503" s="1">
        <v>44073</v>
      </c>
      <c r="E503" s="1">
        <v>44075</v>
      </c>
      <c r="F503">
        <f t="shared" si="23"/>
        <v>2</v>
      </c>
      <c r="G503" s="1">
        <v>44067</v>
      </c>
      <c r="H503" s="2">
        <v>0.58333333333333337</v>
      </c>
      <c r="I503" s="2">
        <v>0.45833333333333331</v>
      </c>
      <c r="J503" t="s">
        <v>1683</v>
      </c>
      <c r="K503" t="s">
        <v>1683</v>
      </c>
      <c r="L503" t="s">
        <v>22</v>
      </c>
      <c r="M503" s="12" t="s">
        <v>18</v>
      </c>
      <c r="N503">
        <v>4</v>
      </c>
      <c r="O503">
        <v>0</v>
      </c>
      <c r="P503" t="s">
        <v>19</v>
      </c>
      <c r="Q503" s="6">
        <v>236.5</v>
      </c>
      <c r="R503" t="str">
        <f t="shared" si="21"/>
        <v>Ope's 5 Star Short Let Apartment in Lekki_x000C_</v>
      </c>
      <c r="S503" t="str">
        <f t="shared" si="22"/>
        <v>Ope's 5 Star Short Let Apartment in Lekki</v>
      </c>
      <c r="T503">
        <f>Table1[[#This Row],[Adults]]+Table1[[#This Row],[Children]]</f>
        <v>4</v>
      </c>
      <c r="U503">
        <f>_xlfn.DAYS(Table1[[#This Row],[Depart]],Table1[[#This Row],[Arrive]])</f>
        <v>2</v>
      </c>
    </row>
    <row r="504" spans="1:21" x14ac:dyDescent="0.25">
      <c r="A504" t="s">
        <v>512</v>
      </c>
      <c r="B504" t="s">
        <v>513</v>
      </c>
      <c r="C504" t="s">
        <v>1178</v>
      </c>
      <c r="D504" s="1">
        <v>44074</v>
      </c>
      <c r="E504" s="1">
        <v>44075</v>
      </c>
      <c r="F504">
        <f t="shared" si="23"/>
        <v>1</v>
      </c>
      <c r="G504" s="1">
        <v>44067</v>
      </c>
      <c r="H504" s="2">
        <v>0.58333333333333337</v>
      </c>
      <c r="I504" s="2">
        <v>0.45833333333333331</v>
      </c>
      <c r="J504" t="s">
        <v>1675</v>
      </c>
      <c r="K504" t="s">
        <v>1675</v>
      </c>
      <c r="L504" t="s">
        <v>22</v>
      </c>
      <c r="M504" s="12" t="s">
        <v>18</v>
      </c>
      <c r="N504">
        <v>4</v>
      </c>
      <c r="O504">
        <v>0</v>
      </c>
      <c r="P504" t="s">
        <v>19</v>
      </c>
      <c r="Q504" s="6">
        <v>118.25</v>
      </c>
      <c r="R504" t="str">
        <f t="shared" si="21"/>
        <v>Ope's 5 Star Short Let Apartment in Lekki_x000C_</v>
      </c>
      <c r="S504" t="str">
        <f t="shared" si="22"/>
        <v>Ope's 5 Star Short Let Apartment in Lekki</v>
      </c>
      <c r="T504">
        <f>Table1[[#This Row],[Adults]]+Table1[[#This Row],[Children]]</f>
        <v>4</v>
      </c>
      <c r="U504">
        <f>_xlfn.DAYS(Table1[[#This Row],[Depart]],Table1[[#This Row],[Arrive]])</f>
        <v>1</v>
      </c>
    </row>
    <row r="505" spans="1:21" x14ac:dyDescent="0.25">
      <c r="A505" t="s">
        <v>388</v>
      </c>
      <c r="B505" t="s">
        <v>389</v>
      </c>
      <c r="C505" t="s">
        <v>1180</v>
      </c>
      <c r="D505" s="1">
        <v>44075</v>
      </c>
      <c r="E505" s="1">
        <v>44082</v>
      </c>
      <c r="F505">
        <f t="shared" si="23"/>
        <v>7</v>
      </c>
      <c r="G505" s="1">
        <v>44005</v>
      </c>
      <c r="H505" s="2">
        <v>0.58333333333333337</v>
      </c>
      <c r="I505" s="2">
        <v>0.45833333333333331</v>
      </c>
      <c r="J505" t="s">
        <v>1456</v>
      </c>
      <c r="K505" t="s">
        <v>1456</v>
      </c>
      <c r="L505" t="s">
        <v>26</v>
      </c>
      <c r="M505" s="12" t="s">
        <v>18</v>
      </c>
      <c r="N505">
        <v>4</v>
      </c>
      <c r="O505">
        <v>0</v>
      </c>
      <c r="P505" t="s">
        <v>19</v>
      </c>
      <c r="Q505" s="6">
        <v>720</v>
      </c>
      <c r="R505" t="str">
        <f t="shared" si="21"/>
        <v>Zoe's 5 Star Short let Apartment in Lekki_x000C_</v>
      </c>
      <c r="S505" t="str">
        <f t="shared" si="22"/>
        <v>Zoe's 5 Star Short let Apartment in Lekki</v>
      </c>
      <c r="T505">
        <f>Table1[[#This Row],[Adults]]+Table1[[#This Row],[Children]]</f>
        <v>4</v>
      </c>
      <c r="U505">
        <f>_xlfn.DAYS(Table1[[#This Row],[Depart]],Table1[[#This Row],[Arrive]])</f>
        <v>7</v>
      </c>
    </row>
    <row r="506" spans="1:21" x14ac:dyDescent="0.25">
      <c r="A506" t="s">
        <v>555</v>
      </c>
      <c r="B506" t="s">
        <v>556</v>
      </c>
      <c r="C506" t="s">
        <v>1173</v>
      </c>
      <c r="D506" s="1">
        <v>44075</v>
      </c>
      <c r="E506" s="1">
        <v>44078</v>
      </c>
      <c r="F506">
        <f t="shared" si="23"/>
        <v>3</v>
      </c>
      <c r="G506" s="1">
        <v>44046</v>
      </c>
      <c r="H506" s="2">
        <v>0.33333333333333331</v>
      </c>
      <c r="I506" s="3">
        <v>1</v>
      </c>
      <c r="J506" t="s">
        <v>1580</v>
      </c>
      <c r="K506" t="s">
        <v>1580</v>
      </c>
      <c r="L506" t="s">
        <v>26</v>
      </c>
      <c r="M506" s="12" t="s">
        <v>18</v>
      </c>
      <c r="N506">
        <v>1</v>
      </c>
      <c r="O506">
        <v>0</v>
      </c>
      <c r="P506" t="s">
        <v>19</v>
      </c>
      <c r="Q506" s="6">
        <v>312</v>
      </c>
      <c r="R506" t="str">
        <f t="shared" si="21"/>
        <v xml:space="preserve"> The Daniels 5 Star Short Let Apartment in Lekki_x000C_</v>
      </c>
      <c r="S506" t="str">
        <f t="shared" si="22"/>
        <v xml:space="preserve"> The Daniels 5 Star Short Let Apartment in Lekki</v>
      </c>
      <c r="T506">
        <f>Table1[[#This Row],[Adults]]+Table1[[#This Row],[Children]]</f>
        <v>1</v>
      </c>
      <c r="U506">
        <f>_xlfn.DAYS(Table1[[#This Row],[Depart]],Table1[[#This Row],[Arrive]])</f>
        <v>3</v>
      </c>
    </row>
    <row r="507" spans="1:21" x14ac:dyDescent="0.25">
      <c r="A507" t="s">
        <v>613</v>
      </c>
      <c r="B507" t="s">
        <v>614</v>
      </c>
      <c r="C507" t="s">
        <v>1178</v>
      </c>
      <c r="D507" s="1">
        <v>44075</v>
      </c>
      <c r="E507" s="1">
        <v>44076</v>
      </c>
      <c r="F507">
        <f t="shared" si="23"/>
        <v>1</v>
      </c>
      <c r="G507" s="1">
        <v>44056</v>
      </c>
      <c r="H507" s="2">
        <v>0.58333333333333337</v>
      </c>
      <c r="I507" s="2">
        <v>0.45833333333333331</v>
      </c>
      <c r="J507" s="4" t="s">
        <v>1634</v>
      </c>
      <c r="K507" s="4" t="s">
        <v>1634</v>
      </c>
      <c r="L507" t="s">
        <v>22</v>
      </c>
      <c r="M507" s="12" t="s">
        <v>23</v>
      </c>
      <c r="N507">
        <v>6</v>
      </c>
      <c r="O507">
        <v>0</v>
      </c>
      <c r="P507" t="s">
        <v>19</v>
      </c>
      <c r="Q507" s="6">
        <v>110</v>
      </c>
      <c r="R507" t="str">
        <f t="shared" si="21"/>
        <v>Ope's 5 Star Short Let Apartment in Lekki_x000C_</v>
      </c>
      <c r="S507" t="str">
        <f t="shared" si="22"/>
        <v>Ope's 5 Star Short Let Apartment in Lekki</v>
      </c>
      <c r="T507">
        <f>Table1[[#This Row],[Adults]]+Table1[[#This Row],[Children]]</f>
        <v>6</v>
      </c>
      <c r="U507">
        <f>_xlfn.DAYS(Table1[[#This Row],[Depart]],Table1[[#This Row],[Arrive]])</f>
        <v>1</v>
      </c>
    </row>
    <row r="508" spans="1:21" x14ac:dyDescent="0.25">
      <c r="A508" t="s">
        <v>613</v>
      </c>
      <c r="B508" t="s">
        <v>614</v>
      </c>
      <c r="C508" t="s">
        <v>1173</v>
      </c>
      <c r="D508" s="1">
        <v>44075</v>
      </c>
      <c r="E508" s="1">
        <v>44076</v>
      </c>
      <c r="F508">
        <f t="shared" si="23"/>
        <v>1</v>
      </c>
      <c r="G508" s="1">
        <v>44056</v>
      </c>
      <c r="H508" s="2">
        <v>0.33333333333333331</v>
      </c>
      <c r="I508" s="3">
        <v>1</v>
      </c>
      <c r="J508" t="s">
        <v>1635</v>
      </c>
      <c r="K508" t="s">
        <v>1635</v>
      </c>
      <c r="L508" t="s">
        <v>22</v>
      </c>
      <c r="M508" s="12" t="s">
        <v>23</v>
      </c>
      <c r="N508">
        <v>6</v>
      </c>
      <c r="O508">
        <v>0</v>
      </c>
      <c r="P508" t="s">
        <v>19</v>
      </c>
      <c r="Q508" s="6">
        <v>110</v>
      </c>
      <c r="R508" t="str">
        <f t="shared" si="21"/>
        <v xml:space="preserve"> The Daniels 5 Star Short Let Apartment in Lekki_x000C_</v>
      </c>
      <c r="S508" t="str">
        <f t="shared" si="22"/>
        <v xml:space="preserve"> The Daniels 5 Star Short Let Apartment in Lekki</v>
      </c>
      <c r="T508">
        <f>Table1[[#This Row],[Adults]]+Table1[[#This Row],[Children]]</f>
        <v>6</v>
      </c>
      <c r="U508">
        <f>_xlfn.DAYS(Table1[[#This Row],[Depart]],Table1[[#This Row],[Arrive]])</f>
        <v>1</v>
      </c>
    </row>
    <row r="509" spans="1:21" x14ac:dyDescent="0.25">
      <c r="A509" t="s">
        <v>657</v>
      </c>
      <c r="B509" t="s">
        <v>658</v>
      </c>
      <c r="C509" t="s">
        <v>1176</v>
      </c>
      <c r="D509" s="1">
        <v>44075</v>
      </c>
      <c r="E509" s="1">
        <v>44105</v>
      </c>
      <c r="F509">
        <f t="shared" si="23"/>
        <v>30</v>
      </c>
      <c r="G509" s="1">
        <v>44049</v>
      </c>
      <c r="H509" s="2">
        <v>0.58333333333333337</v>
      </c>
      <c r="I509" s="2">
        <v>0.45833333333333331</v>
      </c>
      <c r="J509" t="s">
        <v>1667</v>
      </c>
      <c r="K509" t="s">
        <v>1667</v>
      </c>
      <c r="L509" t="s">
        <v>22</v>
      </c>
      <c r="M509" s="12" t="s">
        <v>18</v>
      </c>
      <c r="N509">
        <v>5</v>
      </c>
      <c r="O509">
        <v>0</v>
      </c>
      <c r="P509" t="s">
        <v>19</v>
      </c>
      <c r="Q509" s="6">
        <v>4500</v>
      </c>
      <c r="R509" t="str">
        <f t="shared" si="21"/>
        <v>Tiara's Luxury Home Away From Home_x000C_</v>
      </c>
      <c r="S509" t="str">
        <f t="shared" si="22"/>
        <v>Tiara's Luxury Home Away From Home</v>
      </c>
      <c r="T509">
        <f>Table1[[#This Row],[Adults]]+Table1[[#This Row],[Children]]</f>
        <v>5</v>
      </c>
      <c r="U509">
        <f>_xlfn.DAYS(Table1[[#This Row],[Depart]],Table1[[#This Row],[Arrive]])</f>
        <v>30</v>
      </c>
    </row>
    <row r="510" spans="1:21" x14ac:dyDescent="0.25">
      <c r="A510" t="s">
        <v>502</v>
      </c>
      <c r="B510" t="s">
        <v>503</v>
      </c>
      <c r="C510" t="s">
        <v>1178</v>
      </c>
      <c r="D510" s="1">
        <v>44076</v>
      </c>
      <c r="E510" s="1">
        <v>44084</v>
      </c>
      <c r="F510">
        <f t="shared" si="23"/>
        <v>8</v>
      </c>
      <c r="G510" s="1">
        <v>44035</v>
      </c>
      <c r="H510" s="2">
        <v>0.58333333333333337</v>
      </c>
      <c r="I510" s="2">
        <v>0.45833333333333331</v>
      </c>
      <c r="J510" t="s">
        <v>1536</v>
      </c>
      <c r="K510" t="s">
        <v>1536</v>
      </c>
      <c r="L510" t="s">
        <v>26</v>
      </c>
      <c r="M510" s="12" t="s">
        <v>18</v>
      </c>
      <c r="N510">
        <v>2</v>
      </c>
      <c r="O510">
        <v>0</v>
      </c>
      <c r="P510" t="s">
        <v>19</v>
      </c>
      <c r="Q510" s="6">
        <v>806</v>
      </c>
      <c r="R510" t="str">
        <f t="shared" si="21"/>
        <v>Ope's 5 Star Short Let Apartment in Lekki_x000C_</v>
      </c>
      <c r="S510" t="str">
        <f t="shared" si="22"/>
        <v>Ope's 5 Star Short Let Apartment in Lekki</v>
      </c>
      <c r="T510">
        <f>Table1[[#This Row],[Adults]]+Table1[[#This Row],[Children]]</f>
        <v>2</v>
      </c>
      <c r="U510">
        <f>_xlfn.DAYS(Table1[[#This Row],[Depart]],Table1[[#This Row],[Arrive]])</f>
        <v>8</v>
      </c>
    </row>
    <row r="511" spans="1:21" x14ac:dyDescent="0.25">
      <c r="A511" t="s">
        <v>607</v>
      </c>
      <c r="B511" t="s">
        <v>608</v>
      </c>
      <c r="C511" t="s">
        <v>1173</v>
      </c>
      <c r="D511" s="1">
        <v>44076</v>
      </c>
      <c r="E511" s="1">
        <v>44078</v>
      </c>
      <c r="F511">
        <f t="shared" si="23"/>
        <v>2</v>
      </c>
      <c r="G511" s="1">
        <v>44056</v>
      </c>
      <c r="H511" s="2">
        <v>0.33333333333333331</v>
      </c>
      <c r="I511" s="3">
        <v>1</v>
      </c>
      <c r="J511" t="s">
        <v>1631</v>
      </c>
      <c r="K511" t="s">
        <v>1631</v>
      </c>
      <c r="L511" t="s">
        <v>22</v>
      </c>
      <c r="M511" s="12" t="s">
        <v>23</v>
      </c>
      <c r="N511">
        <v>4</v>
      </c>
      <c r="O511">
        <v>0</v>
      </c>
      <c r="P511" t="s">
        <v>19</v>
      </c>
      <c r="Q511" s="6">
        <v>220</v>
      </c>
      <c r="R511" t="str">
        <f t="shared" si="21"/>
        <v xml:space="preserve"> The Daniels 5 Star Short Let Apartment in Lekki_x000C_</v>
      </c>
      <c r="S511" t="str">
        <f t="shared" si="22"/>
        <v xml:space="preserve"> The Daniels 5 Star Short Let Apartment in Lekki</v>
      </c>
      <c r="T511">
        <f>Table1[[#This Row],[Adults]]+Table1[[#This Row],[Children]]</f>
        <v>4</v>
      </c>
      <c r="U511">
        <f>_xlfn.DAYS(Table1[[#This Row],[Depart]],Table1[[#This Row],[Arrive]])</f>
        <v>2</v>
      </c>
    </row>
    <row r="512" spans="1:21" x14ac:dyDescent="0.25">
      <c r="A512" t="s">
        <v>595</v>
      </c>
      <c r="B512" t="s">
        <v>596</v>
      </c>
      <c r="C512" t="s">
        <v>1179</v>
      </c>
      <c r="D512" s="1">
        <v>44076</v>
      </c>
      <c r="E512" s="1">
        <v>44077</v>
      </c>
      <c r="F512">
        <f t="shared" si="23"/>
        <v>1</v>
      </c>
      <c r="G512" s="1">
        <v>44074</v>
      </c>
      <c r="H512" s="2">
        <v>0.33333333333333331</v>
      </c>
      <c r="I512" s="3">
        <v>1</v>
      </c>
      <c r="J512" t="s">
        <v>1695</v>
      </c>
      <c r="K512" t="s">
        <v>1695</v>
      </c>
      <c r="L512" t="s">
        <v>22</v>
      </c>
      <c r="M512" s="12" t="s">
        <v>18</v>
      </c>
      <c r="N512">
        <v>6</v>
      </c>
      <c r="O512">
        <v>0</v>
      </c>
      <c r="P512" t="s">
        <v>19</v>
      </c>
      <c r="Q512" s="6">
        <v>118.25</v>
      </c>
      <c r="R512" t="str">
        <f t="shared" si="21"/>
        <v>Phiola's 5 Star Short Let Apartment in Lekki_x000C_</v>
      </c>
      <c r="S512" t="str">
        <f t="shared" si="22"/>
        <v>Phiola's 5 Star Short Let Apartment in Lekki</v>
      </c>
      <c r="T512">
        <f>Table1[[#This Row],[Adults]]+Table1[[#This Row],[Children]]</f>
        <v>6</v>
      </c>
      <c r="U512">
        <f>_xlfn.DAYS(Table1[[#This Row],[Depart]],Table1[[#This Row],[Arrive]])</f>
        <v>1</v>
      </c>
    </row>
    <row r="513" spans="1:21" x14ac:dyDescent="0.25">
      <c r="A513" t="s">
        <v>689</v>
      </c>
      <c r="B513" t="s">
        <v>690</v>
      </c>
      <c r="C513" t="s">
        <v>1178</v>
      </c>
      <c r="D513" s="1">
        <v>44076</v>
      </c>
      <c r="E513" s="1">
        <v>44077</v>
      </c>
      <c r="F513">
        <f t="shared" si="23"/>
        <v>1</v>
      </c>
      <c r="G513" s="1">
        <v>44072</v>
      </c>
      <c r="H513" s="2">
        <v>0.58333333333333337</v>
      </c>
      <c r="I513" s="2">
        <v>0.45833333333333331</v>
      </c>
      <c r="J513" t="s">
        <v>1696</v>
      </c>
      <c r="K513" t="s">
        <v>1696</v>
      </c>
      <c r="L513" t="s">
        <v>22</v>
      </c>
      <c r="M513" s="12" t="s">
        <v>18</v>
      </c>
      <c r="N513">
        <v>4</v>
      </c>
      <c r="O513">
        <v>0</v>
      </c>
      <c r="P513" t="s">
        <v>19</v>
      </c>
      <c r="Q513" s="6">
        <v>118.25</v>
      </c>
      <c r="R513" t="str">
        <f t="shared" si="21"/>
        <v>Ope's 5 Star Short Let Apartment in Lekki_x000C_</v>
      </c>
      <c r="S513" t="str">
        <f t="shared" si="22"/>
        <v>Ope's 5 Star Short Let Apartment in Lekki</v>
      </c>
      <c r="T513">
        <f>Table1[[#This Row],[Adults]]+Table1[[#This Row],[Children]]</f>
        <v>4</v>
      </c>
      <c r="U513">
        <f>_xlfn.DAYS(Table1[[#This Row],[Depart]],Table1[[#This Row],[Arrive]])</f>
        <v>1</v>
      </c>
    </row>
    <row r="514" spans="1:21" x14ac:dyDescent="0.25">
      <c r="A514" t="s">
        <v>595</v>
      </c>
      <c r="B514" t="s">
        <v>596</v>
      </c>
      <c r="C514" t="s">
        <v>1180</v>
      </c>
      <c r="D514" s="1">
        <v>44076</v>
      </c>
      <c r="E514" s="1">
        <v>44077</v>
      </c>
      <c r="F514">
        <f t="shared" si="23"/>
        <v>1</v>
      </c>
      <c r="G514" s="1">
        <v>44074</v>
      </c>
      <c r="H514" s="2">
        <v>0.58333333333333337</v>
      </c>
      <c r="I514" s="2">
        <v>0.45833333333333331</v>
      </c>
      <c r="J514" t="s">
        <v>1701</v>
      </c>
      <c r="K514" t="s">
        <v>1701</v>
      </c>
      <c r="L514" t="s">
        <v>22</v>
      </c>
      <c r="M514" s="12" t="s">
        <v>18</v>
      </c>
      <c r="N514">
        <v>5</v>
      </c>
      <c r="O514">
        <v>0</v>
      </c>
      <c r="P514" t="s">
        <v>19</v>
      </c>
      <c r="Q514" s="6">
        <v>118.25</v>
      </c>
      <c r="R514" t="str">
        <f t="shared" ref="R514:R577" si="24">SUBSTITUTE(C:C,"?","'")</f>
        <v>Zoe's 5 Star Short let Apartment in Lekki_x000C_</v>
      </c>
      <c r="S514" t="str">
        <f t="shared" ref="S514:S577" si="25">CLEAN(R:R)</f>
        <v>Zoe's 5 Star Short let Apartment in Lekki</v>
      </c>
      <c r="T514">
        <f>Table1[[#This Row],[Adults]]+Table1[[#This Row],[Children]]</f>
        <v>5</v>
      </c>
      <c r="U514">
        <f>_xlfn.DAYS(Table1[[#This Row],[Depart]],Table1[[#This Row],[Arrive]])</f>
        <v>1</v>
      </c>
    </row>
    <row r="515" spans="1:21" x14ac:dyDescent="0.25">
      <c r="A515" t="s">
        <v>697</v>
      </c>
      <c r="B515" t="s">
        <v>698</v>
      </c>
      <c r="C515" t="s">
        <v>1180</v>
      </c>
      <c r="D515" s="1">
        <v>44076</v>
      </c>
      <c r="E515" s="1">
        <v>44080</v>
      </c>
      <c r="F515">
        <f t="shared" ref="F515:F578" si="26">_xlfn.DAYS(E515,D515)</f>
        <v>4</v>
      </c>
      <c r="G515" s="1">
        <v>44074</v>
      </c>
      <c r="H515" s="2">
        <v>0.58333333333333337</v>
      </c>
      <c r="I515" s="2">
        <v>0.45833333333333331</v>
      </c>
      <c r="J515" t="s">
        <v>1707</v>
      </c>
      <c r="K515" t="s">
        <v>1707</v>
      </c>
      <c r="L515" t="s">
        <v>22</v>
      </c>
      <c r="M515" s="12" t="s">
        <v>18</v>
      </c>
      <c r="N515">
        <v>4</v>
      </c>
      <c r="O515">
        <v>0</v>
      </c>
      <c r="P515" t="s">
        <v>19</v>
      </c>
      <c r="Q515" s="6">
        <v>473</v>
      </c>
      <c r="R515" t="str">
        <f t="shared" si="24"/>
        <v>Zoe's 5 Star Short let Apartment in Lekki_x000C_</v>
      </c>
      <c r="S515" t="str">
        <f t="shared" si="25"/>
        <v>Zoe's 5 Star Short let Apartment in Lekki</v>
      </c>
      <c r="T515">
        <f>Table1[[#This Row],[Adults]]+Table1[[#This Row],[Children]]</f>
        <v>4</v>
      </c>
      <c r="U515">
        <f>_xlfn.DAYS(Table1[[#This Row],[Depart]],Table1[[#This Row],[Arrive]])</f>
        <v>4</v>
      </c>
    </row>
    <row r="516" spans="1:21" x14ac:dyDescent="0.25">
      <c r="A516" t="s">
        <v>705</v>
      </c>
      <c r="B516" t="s">
        <v>706</v>
      </c>
      <c r="C516" t="s">
        <v>1178</v>
      </c>
      <c r="D516" s="1">
        <v>44076</v>
      </c>
      <c r="E516" s="1">
        <v>44078</v>
      </c>
      <c r="F516">
        <f t="shared" si="26"/>
        <v>2</v>
      </c>
      <c r="G516" s="1">
        <v>44074</v>
      </c>
      <c r="H516" s="2">
        <v>0.58333333333333337</v>
      </c>
      <c r="I516" s="2">
        <v>0.45833333333333331</v>
      </c>
      <c r="J516" t="s">
        <v>1713</v>
      </c>
      <c r="K516" t="s">
        <v>1713</v>
      </c>
      <c r="L516" t="s">
        <v>22</v>
      </c>
      <c r="M516" s="12" t="s">
        <v>18</v>
      </c>
      <c r="N516">
        <v>3</v>
      </c>
      <c r="O516">
        <v>0</v>
      </c>
      <c r="P516" t="s">
        <v>19</v>
      </c>
      <c r="Q516" s="6">
        <v>236.5</v>
      </c>
      <c r="R516" t="str">
        <f t="shared" si="24"/>
        <v>Ope's 5 Star Short Let Apartment in Lekki_x000C_</v>
      </c>
      <c r="S516" t="str">
        <f t="shared" si="25"/>
        <v>Ope's 5 Star Short Let Apartment in Lekki</v>
      </c>
      <c r="T516">
        <f>Table1[[#This Row],[Adults]]+Table1[[#This Row],[Children]]</f>
        <v>3</v>
      </c>
      <c r="U516">
        <f>_xlfn.DAYS(Table1[[#This Row],[Depart]],Table1[[#This Row],[Arrive]])</f>
        <v>2</v>
      </c>
    </row>
    <row r="517" spans="1:21" x14ac:dyDescent="0.25">
      <c r="A517" t="s">
        <v>697</v>
      </c>
      <c r="B517" t="s">
        <v>698</v>
      </c>
      <c r="C517" t="s">
        <v>1178</v>
      </c>
      <c r="D517" s="1">
        <v>44076</v>
      </c>
      <c r="E517" s="1">
        <v>44078</v>
      </c>
      <c r="F517">
        <f t="shared" si="26"/>
        <v>2</v>
      </c>
      <c r="G517" s="1">
        <v>44076</v>
      </c>
      <c r="H517" s="2">
        <v>0.58333333333333337</v>
      </c>
      <c r="I517" s="2">
        <v>0.45833333333333331</v>
      </c>
      <c r="J517" t="s">
        <v>1716</v>
      </c>
      <c r="K517" t="s">
        <v>1716</v>
      </c>
      <c r="L517" t="s">
        <v>22</v>
      </c>
      <c r="M517" s="12" t="s">
        <v>18</v>
      </c>
      <c r="N517">
        <v>3</v>
      </c>
      <c r="O517">
        <v>0</v>
      </c>
      <c r="P517" t="s">
        <v>19</v>
      </c>
      <c r="Q517" s="6">
        <v>118.25</v>
      </c>
      <c r="R517" t="str">
        <f t="shared" si="24"/>
        <v>Ope's 5 Star Short Let Apartment in Lekki_x000C_</v>
      </c>
      <c r="S517" t="str">
        <f t="shared" si="25"/>
        <v>Ope's 5 Star Short Let Apartment in Lekki</v>
      </c>
      <c r="T517">
        <f>Table1[[#This Row],[Adults]]+Table1[[#This Row],[Children]]</f>
        <v>3</v>
      </c>
      <c r="U517">
        <f>_xlfn.DAYS(Table1[[#This Row],[Depart]],Table1[[#This Row],[Arrive]])</f>
        <v>2</v>
      </c>
    </row>
    <row r="518" spans="1:21" x14ac:dyDescent="0.25">
      <c r="A518" t="s">
        <v>697</v>
      </c>
      <c r="B518" t="s">
        <v>698</v>
      </c>
      <c r="C518" t="s">
        <v>1178</v>
      </c>
      <c r="D518" s="1">
        <v>44076</v>
      </c>
      <c r="E518" s="1">
        <v>44078</v>
      </c>
      <c r="F518">
        <f t="shared" si="26"/>
        <v>2</v>
      </c>
      <c r="G518" s="1">
        <v>44076</v>
      </c>
      <c r="H518" s="2">
        <v>0.58333333333333337</v>
      </c>
      <c r="I518" s="2">
        <v>0.45833333333333331</v>
      </c>
      <c r="J518" t="s">
        <v>1717</v>
      </c>
      <c r="K518" t="s">
        <v>1717</v>
      </c>
      <c r="L518" t="s">
        <v>22</v>
      </c>
      <c r="M518" s="12" t="s">
        <v>23</v>
      </c>
      <c r="N518">
        <v>3</v>
      </c>
      <c r="O518">
        <v>0</v>
      </c>
      <c r="P518" t="s">
        <v>19</v>
      </c>
      <c r="Q518" s="6">
        <v>236.5</v>
      </c>
      <c r="R518" t="str">
        <f t="shared" si="24"/>
        <v>Ope's 5 Star Short Let Apartment in Lekki_x000C_</v>
      </c>
      <c r="S518" t="str">
        <f t="shared" si="25"/>
        <v>Ope's 5 Star Short Let Apartment in Lekki</v>
      </c>
      <c r="T518">
        <f>Table1[[#This Row],[Adults]]+Table1[[#This Row],[Children]]</f>
        <v>3</v>
      </c>
      <c r="U518">
        <f>_xlfn.DAYS(Table1[[#This Row],[Depart]],Table1[[#This Row],[Arrive]])</f>
        <v>2</v>
      </c>
    </row>
    <row r="519" spans="1:21" x14ac:dyDescent="0.25">
      <c r="A519" t="s">
        <v>711</v>
      </c>
      <c r="B519" t="s">
        <v>712</v>
      </c>
      <c r="C519" t="s">
        <v>1179</v>
      </c>
      <c r="D519" s="1">
        <v>44076</v>
      </c>
      <c r="E519" s="1">
        <v>44077</v>
      </c>
      <c r="F519">
        <f t="shared" si="26"/>
        <v>1</v>
      </c>
      <c r="G519" s="1">
        <v>44076</v>
      </c>
      <c r="H519" s="2">
        <v>0.33333333333333331</v>
      </c>
      <c r="I519" s="3">
        <v>1</v>
      </c>
      <c r="J519" t="s">
        <v>1718</v>
      </c>
      <c r="K519" t="s">
        <v>1718</v>
      </c>
      <c r="L519" t="s">
        <v>22</v>
      </c>
      <c r="M519" s="12" t="s">
        <v>23</v>
      </c>
      <c r="N519">
        <v>4</v>
      </c>
      <c r="O519">
        <v>0</v>
      </c>
      <c r="P519" t="s">
        <v>19</v>
      </c>
      <c r="Q519" s="6">
        <v>118.25</v>
      </c>
      <c r="R519" t="str">
        <f t="shared" si="24"/>
        <v>Phiola's 5 Star Short Let Apartment in Lekki_x000C_</v>
      </c>
      <c r="S519" t="str">
        <f t="shared" si="25"/>
        <v>Phiola's 5 Star Short Let Apartment in Lekki</v>
      </c>
      <c r="T519">
        <f>Table1[[#This Row],[Adults]]+Table1[[#This Row],[Children]]</f>
        <v>4</v>
      </c>
      <c r="U519">
        <f>_xlfn.DAYS(Table1[[#This Row],[Depart]],Table1[[#This Row],[Arrive]])</f>
        <v>1</v>
      </c>
    </row>
    <row r="520" spans="1:21" x14ac:dyDescent="0.25">
      <c r="A520" t="s">
        <v>296</v>
      </c>
      <c r="B520" t="s">
        <v>297</v>
      </c>
      <c r="C520" t="s">
        <v>1175</v>
      </c>
      <c r="D520" s="1">
        <v>44076</v>
      </c>
      <c r="E520" s="1">
        <v>44080</v>
      </c>
      <c r="F520">
        <f t="shared" si="26"/>
        <v>4</v>
      </c>
      <c r="G520" s="1">
        <v>44063</v>
      </c>
      <c r="H520" s="2">
        <v>0.33333333333333331</v>
      </c>
      <c r="I520" s="3">
        <v>1</v>
      </c>
      <c r="J520" t="s">
        <v>1724</v>
      </c>
      <c r="K520" t="s">
        <v>1724</v>
      </c>
      <c r="L520" t="s">
        <v>22</v>
      </c>
      <c r="M520" s="12" t="s">
        <v>23</v>
      </c>
      <c r="N520">
        <v>5</v>
      </c>
      <c r="O520">
        <v>0</v>
      </c>
      <c r="P520" t="s">
        <v>19</v>
      </c>
      <c r="Q520" s="6">
        <v>473</v>
      </c>
      <c r="R520" t="str">
        <f t="shared" si="24"/>
        <v>Keji's 5 Star Short let Apartment in Lekki_x000C_</v>
      </c>
      <c r="S520" t="str">
        <f t="shared" si="25"/>
        <v>Keji's 5 Star Short let Apartment in Lekki</v>
      </c>
      <c r="T520">
        <f>Table1[[#This Row],[Adults]]+Table1[[#This Row],[Children]]</f>
        <v>5</v>
      </c>
      <c r="U520">
        <f>_xlfn.DAYS(Table1[[#This Row],[Depart]],Table1[[#This Row],[Arrive]])</f>
        <v>4</v>
      </c>
    </row>
    <row r="521" spans="1:21" x14ac:dyDescent="0.25">
      <c r="A521" t="s">
        <v>729</v>
      </c>
      <c r="B521" t="s">
        <v>730</v>
      </c>
      <c r="C521" t="s">
        <v>1180</v>
      </c>
      <c r="D521" s="1">
        <v>44076</v>
      </c>
      <c r="E521" s="1">
        <v>44077</v>
      </c>
      <c r="F521">
        <f t="shared" si="26"/>
        <v>1</v>
      </c>
      <c r="G521" s="1">
        <v>44081</v>
      </c>
      <c r="H521" s="2">
        <v>0.58333333333333337</v>
      </c>
      <c r="I521" s="2">
        <v>0.45833333333333331</v>
      </c>
      <c r="J521" t="s">
        <v>1739</v>
      </c>
      <c r="K521" t="s">
        <v>1739</v>
      </c>
      <c r="L521" t="s">
        <v>22</v>
      </c>
      <c r="M521" s="12" t="s">
        <v>18</v>
      </c>
      <c r="N521">
        <v>3</v>
      </c>
      <c r="O521">
        <v>0</v>
      </c>
      <c r="P521" t="s">
        <v>19</v>
      </c>
      <c r="Q521" s="6">
        <v>118.25</v>
      </c>
      <c r="R521" t="str">
        <f t="shared" si="24"/>
        <v>Zoe's 5 Star Short let Apartment in Lekki_x000C_</v>
      </c>
      <c r="S521" t="str">
        <f t="shared" si="25"/>
        <v>Zoe's 5 Star Short let Apartment in Lekki</v>
      </c>
      <c r="T521">
        <f>Table1[[#This Row],[Adults]]+Table1[[#This Row],[Children]]</f>
        <v>3</v>
      </c>
      <c r="U521">
        <f>_xlfn.DAYS(Table1[[#This Row],[Depart]],Table1[[#This Row],[Arrive]])</f>
        <v>1</v>
      </c>
    </row>
    <row r="522" spans="1:21" x14ac:dyDescent="0.25">
      <c r="A522" t="s">
        <v>561</v>
      </c>
      <c r="B522" t="s">
        <v>562</v>
      </c>
      <c r="C522" t="s">
        <v>1180</v>
      </c>
      <c r="D522" s="1">
        <v>44076</v>
      </c>
      <c r="E522" s="1">
        <v>44085</v>
      </c>
      <c r="F522">
        <f t="shared" si="26"/>
        <v>9</v>
      </c>
      <c r="G522" s="1">
        <v>44070</v>
      </c>
      <c r="H522" s="2">
        <v>0.58333333333333337</v>
      </c>
      <c r="I522" s="2">
        <v>0.45833333333333331</v>
      </c>
      <c r="J522" t="s">
        <v>1740</v>
      </c>
      <c r="K522" t="s">
        <v>1740</v>
      </c>
      <c r="L522" t="s">
        <v>22</v>
      </c>
      <c r="M522" s="12" t="s">
        <v>23</v>
      </c>
      <c r="N522">
        <v>4</v>
      </c>
      <c r="O522">
        <v>0</v>
      </c>
      <c r="P522" t="s">
        <v>19</v>
      </c>
      <c r="Q522" s="6">
        <v>1064.25</v>
      </c>
      <c r="R522" t="str">
        <f t="shared" si="24"/>
        <v>Zoe's 5 Star Short let Apartment in Lekki_x000C_</v>
      </c>
      <c r="S522" t="str">
        <f t="shared" si="25"/>
        <v>Zoe's 5 Star Short let Apartment in Lekki</v>
      </c>
      <c r="T522">
        <f>Table1[[#This Row],[Adults]]+Table1[[#This Row],[Children]]</f>
        <v>4</v>
      </c>
      <c r="U522">
        <f>_xlfn.DAYS(Table1[[#This Row],[Depart]],Table1[[#This Row],[Arrive]])</f>
        <v>9</v>
      </c>
    </row>
    <row r="523" spans="1:21" x14ac:dyDescent="0.25">
      <c r="A523" t="s">
        <v>689</v>
      </c>
      <c r="B523" t="s">
        <v>690</v>
      </c>
      <c r="C523" t="s">
        <v>1178</v>
      </c>
      <c r="D523" s="1">
        <v>44077</v>
      </c>
      <c r="E523" s="1">
        <v>44078</v>
      </c>
      <c r="F523">
        <f t="shared" si="26"/>
        <v>1</v>
      </c>
      <c r="G523" s="1">
        <v>44072</v>
      </c>
      <c r="H523" s="2">
        <v>0.58333333333333337</v>
      </c>
      <c r="I523" s="2">
        <v>0.45833333333333331</v>
      </c>
      <c r="J523" t="s">
        <v>1697</v>
      </c>
      <c r="K523" t="s">
        <v>1697</v>
      </c>
      <c r="L523" t="s">
        <v>22</v>
      </c>
      <c r="M523" s="12" t="s">
        <v>18</v>
      </c>
      <c r="N523">
        <v>4</v>
      </c>
      <c r="O523">
        <v>0</v>
      </c>
      <c r="P523" t="s">
        <v>19</v>
      </c>
      <c r="Q523" s="6">
        <v>118.25</v>
      </c>
      <c r="R523" t="str">
        <f t="shared" si="24"/>
        <v>Ope's 5 Star Short Let Apartment in Lekki_x000C_</v>
      </c>
      <c r="S523" t="str">
        <f t="shared" si="25"/>
        <v>Ope's 5 Star Short Let Apartment in Lekki</v>
      </c>
      <c r="T523">
        <f>Table1[[#This Row],[Adults]]+Table1[[#This Row],[Children]]</f>
        <v>4</v>
      </c>
      <c r="U523">
        <f>_xlfn.DAYS(Table1[[#This Row],[Depart]],Table1[[#This Row],[Arrive]])</f>
        <v>1</v>
      </c>
    </row>
    <row r="524" spans="1:21" x14ac:dyDescent="0.25">
      <c r="A524" t="s">
        <v>709</v>
      </c>
      <c r="B524" t="s">
        <v>710</v>
      </c>
      <c r="C524" t="s">
        <v>1178</v>
      </c>
      <c r="D524" s="1">
        <v>44077</v>
      </c>
      <c r="E524" s="1">
        <v>44078</v>
      </c>
      <c r="F524">
        <f t="shared" si="26"/>
        <v>1</v>
      </c>
      <c r="G524" s="1">
        <v>44076</v>
      </c>
      <c r="H524" s="2">
        <v>0.58333333333333337</v>
      </c>
      <c r="I524" s="2">
        <v>0.45833333333333331</v>
      </c>
      <c r="J524" t="s">
        <v>1715</v>
      </c>
      <c r="K524" t="s">
        <v>1715</v>
      </c>
      <c r="L524" t="s">
        <v>22</v>
      </c>
      <c r="M524" s="12" t="s">
        <v>18</v>
      </c>
      <c r="N524">
        <v>3</v>
      </c>
      <c r="O524">
        <v>0</v>
      </c>
      <c r="P524" t="s">
        <v>19</v>
      </c>
      <c r="Q524" s="6">
        <v>118.25</v>
      </c>
      <c r="R524" t="str">
        <f t="shared" si="24"/>
        <v>Ope's 5 Star Short Let Apartment in Lekki_x000C_</v>
      </c>
      <c r="S524" t="str">
        <f t="shared" si="25"/>
        <v>Ope's 5 Star Short Let Apartment in Lekki</v>
      </c>
      <c r="T524">
        <f>Table1[[#This Row],[Adults]]+Table1[[#This Row],[Children]]</f>
        <v>3</v>
      </c>
      <c r="U524">
        <f>_xlfn.DAYS(Table1[[#This Row],[Depart]],Table1[[#This Row],[Arrive]])</f>
        <v>1</v>
      </c>
    </row>
    <row r="525" spans="1:21" x14ac:dyDescent="0.25">
      <c r="A525" t="s">
        <v>715</v>
      </c>
      <c r="B525" t="s">
        <v>716</v>
      </c>
      <c r="C525" t="s">
        <v>1179</v>
      </c>
      <c r="D525" s="1">
        <v>44077</v>
      </c>
      <c r="E525" s="1">
        <v>44078</v>
      </c>
      <c r="F525">
        <f t="shared" si="26"/>
        <v>1</v>
      </c>
      <c r="G525" s="1">
        <v>44077</v>
      </c>
      <c r="H525" s="2">
        <v>0.33333333333333331</v>
      </c>
      <c r="I525" s="3">
        <v>1</v>
      </c>
      <c r="J525" t="s">
        <v>1720</v>
      </c>
      <c r="K525" t="s">
        <v>1720</v>
      </c>
      <c r="L525" t="s">
        <v>22</v>
      </c>
      <c r="M525" s="12" t="s">
        <v>23</v>
      </c>
      <c r="N525">
        <v>4</v>
      </c>
      <c r="O525">
        <v>0</v>
      </c>
      <c r="P525" t="s">
        <v>19</v>
      </c>
      <c r="Q525" s="6">
        <v>118.25</v>
      </c>
      <c r="R525" t="str">
        <f t="shared" si="24"/>
        <v>Phiola's 5 Star Short Let Apartment in Lekki_x000C_</v>
      </c>
      <c r="S525" t="str">
        <f t="shared" si="25"/>
        <v>Phiola's 5 Star Short Let Apartment in Lekki</v>
      </c>
      <c r="T525">
        <f>Table1[[#This Row],[Adults]]+Table1[[#This Row],[Children]]</f>
        <v>4</v>
      </c>
      <c r="U525">
        <f>_xlfn.DAYS(Table1[[#This Row],[Depart]],Table1[[#This Row],[Arrive]])</f>
        <v>1</v>
      </c>
    </row>
    <row r="526" spans="1:21" x14ac:dyDescent="0.25">
      <c r="A526" t="s">
        <v>362</v>
      </c>
      <c r="B526" t="s">
        <v>363</v>
      </c>
      <c r="C526" t="s">
        <v>1173</v>
      </c>
      <c r="D526" s="1">
        <v>44078</v>
      </c>
      <c r="E526" s="1">
        <v>44080</v>
      </c>
      <c r="F526">
        <f t="shared" si="26"/>
        <v>2</v>
      </c>
      <c r="G526" s="1">
        <v>44000</v>
      </c>
      <c r="H526" s="2">
        <v>0.33333333333333331</v>
      </c>
      <c r="I526" s="3">
        <v>1</v>
      </c>
      <c r="J526" t="s">
        <v>1440</v>
      </c>
      <c r="K526" t="s">
        <v>1440</v>
      </c>
      <c r="L526" t="s">
        <v>26</v>
      </c>
      <c r="M526" s="12" t="s">
        <v>18</v>
      </c>
      <c r="N526">
        <v>4</v>
      </c>
      <c r="O526">
        <v>0</v>
      </c>
      <c r="P526" t="s">
        <v>19</v>
      </c>
      <c r="Q526" s="6">
        <v>213</v>
      </c>
      <c r="R526" t="str">
        <f t="shared" si="24"/>
        <v xml:space="preserve"> The Daniels 5 Star Short Let Apartment in Lekki_x000C_</v>
      </c>
      <c r="S526" t="str">
        <f t="shared" si="25"/>
        <v xml:space="preserve"> The Daniels 5 Star Short Let Apartment in Lekki</v>
      </c>
      <c r="T526">
        <f>Table1[[#This Row],[Adults]]+Table1[[#This Row],[Children]]</f>
        <v>4</v>
      </c>
      <c r="U526">
        <f>_xlfn.DAYS(Table1[[#This Row],[Depart]],Table1[[#This Row],[Arrive]])</f>
        <v>2</v>
      </c>
    </row>
    <row r="527" spans="1:21" x14ac:dyDescent="0.25">
      <c r="A527" t="s">
        <v>510</v>
      </c>
      <c r="B527" t="s">
        <v>511</v>
      </c>
      <c r="C527" t="s">
        <v>1178</v>
      </c>
      <c r="D527" s="1">
        <v>44078</v>
      </c>
      <c r="E527" s="1">
        <v>44080</v>
      </c>
      <c r="F527">
        <f t="shared" si="26"/>
        <v>2</v>
      </c>
      <c r="G527" s="1">
        <v>44038</v>
      </c>
      <c r="H527" s="2">
        <v>0.58333333333333337</v>
      </c>
      <c r="I527" s="2">
        <v>0.45833333333333331</v>
      </c>
      <c r="J527" t="s">
        <v>1542</v>
      </c>
      <c r="K527" t="s">
        <v>1542</v>
      </c>
      <c r="L527" t="s">
        <v>22</v>
      </c>
      <c r="M527" s="12" t="s">
        <v>23</v>
      </c>
      <c r="N527">
        <v>3</v>
      </c>
      <c r="O527">
        <v>0</v>
      </c>
      <c r="P527" t="s">
        <v>19</v>
      </c>
      <c r="Q527" s="6">
        <v>220</v>
      </c>
      <c r="R527" t="str">
        <f t="shared" si="24"/>
        <v>Ope's 5 Star Short Let Apartment in Lekki_x000C_</v>
      </c>
      <c r="S527" t="str">
        <f t="shared" si="25"/>
        <v>Ope's 5 Star Short Let Apartment in Lekki</v>
      </c>
      <c r="T527">
        <f>Table1[[#This Row],[Adults]]+Table1[[#This Row],[Children]]</f>
        <v>3</v>
      </c>
      <c r="U527">
        <f>_xlfn.DAYS(Table1[[#This Row],[Depart]],Table1[[#This Row],[Arrive]])</f>
        <v>2</v>
      </c>
    </row>
    <row r="528" spans="1:21" x14ac:dyDescent="0.25">
      <c r="A528" t="s">
        <v>681</v>
      </c>
      <c r="B528" t="s">
        <v>682</v>
      </c>
      <c r="C528" t="s">
        <v>1179</v>
      </c>
      <c r="D528" s="1">
        <v>44078</v>
      </c>
      <c r="E528" s="1">
        <v>44079</v>
      </c>
      <c r="F528">
        <f t="shared" si="26"/>
        <v>1</v>
      </c>
      <c r="G528" s="1">
        <v>44066</v>
      </c>
      <c r="H528" s="2">
        <v>0.33333333333333331</v>
      </c>
      <c r="I528" s="3">
        <v>1</v>
      </c>
      <c r="J528" t="s">
        <v>1686</v>
      </c>
      <c r="K528" t="s">
        <v>1686</v>
      </c>
      <c r="L528" t="s">
        <v>22</v>
      </c>
      <c r="M528" s="12" t="s">
        <v>18</v>
      </c>
      <c r="N528">
        <v>5</v>
      </c>
      <c r="O528">
        <v>0</v>
      </c>
      <c r="P528" t="s">
        <v>19</v>
      </c>
      <c r="Q528" s="6">
        <v>110</v>
      </c>
      <c r="R528" t="str">
        <f t="shared" si="24"/>
        <v>Phiola's 5 Star Short Let Apartment in Lekki_x000C_</v>
      </c>
      <c r="S528" t="str">
        <f t="shared" si="25"/>
        <v>Phiola's 5 Star Short Let Apartment in Lekki</v>
      </c>
      <c r="T528">
        <f>Table1[[#This Row],[Adults]]+Table1[[#This Row],[Children]]</f>
        <v>5</v>
      </c>
      <c r="U528">
        <f>_xlfn.DAYS(Table1[[#This Row],[Depart]],Table1[[#This Row],[Arrive]])</f>
        <v>1</v>
      </c>
    </row>
    <row r="529" spans="1:21" x14ac:dyDescent="0.25">
      <c r="A529" t="s">
        <v>655</v>
      </c>
      <c r="B529" t="s">
        <v>656</v>
      </c>
      <c r="C529" t="s">
        <v>1180</v>
      </c>
      <c r="D529" s="1">
        <v>44078</v>
      </c>
      <c r="E529" s="1">
        <v>44079</v>
      </c>
      <c r="F529">
        <f t="shared" si="26"/>
        <v>1</v>
      </c>
      <c r="G529" s="1">
        <v>44066</v>
      </c>
      <c r="H529" s="2">
        <v>0.58333333333333337</v>
      </c>
      <c r="I529" s="2">
        <v>0.45833333333333331</v>
      </c>
      <c r="J529" t="s">
        <v>1687</v>
      </c>
      <c r="K529" t="s">
        <v>1687</v>
      </c>
      <c r="L529" t="s">
        <v>22</v>
      </c>
      <c r="M529" s="12" t="s">
        <v>18</v>
      </c>
      <c r="N529">
        <v>5</v>
      </c>
      <c r="O529">
        <v>0</v>
      </c>
      <c r="P529" t="s">
        <v>19</v>
      </c>
      <c r="Q529" s="6">
        <v>110</v>
      </c>
      <c r="R529" t="str">
        <f t="shared" si="24"/>
        <v>Zoe's 5 Star Short let Apartment in Lekki_x000C_</v>
      </c>
      <c r="S529" t="str">
        <f t="shared" si="25"/>
        <v>Zoe's 5 Star Short let Apartment in Lekki</v>
      </c>
      <c r="T529">
        <f>Table1[[#This Row],[Adults]]+Table1[[#This Row],[Children]]</f>
        <v>5</v>
      </c>
      <c r="U529">
        <f>_xlfn.DAYS(Table1[[#This Row],[Depart]],Table1[[#This Row],[Arrive]])</f>
        <v>1</v>
      </c>
    </row>
    <row r="530" spans="1:21" x14ac:dyDescent="0.25">
      <c r="A530" t="s">
        <v>693</v>
      </c>
      <c r="B530" t="s">
        <v>694</v>
      </c>
      <c r="C530" t="s">
        <v>1179</v>
      </c>
      <c r="D530" s="1">
        <v>44078</v>
      </c>
      <c r="E530" s="1">
        <v>44080</v>
      </c>
      <c r="F530">
        <f t="shared" si="26"/>
        <v>2</v>
      </c>
      <c r="G530" s="1">
        <v>44074</v>
      </c>
      <c r="H530" s="2">
        <v>0.33333333333333331</v>
      </c>
      <c r="I530" s="3">
        <v>1</v>
      </c>
      <c r="J530" t="s">
        <v>1700</v>
      </c>
      <c r="K530" t="s">
        <v>1700</v>
      </c>
      <c r="L530" t="s">
        <v>26</v>
      </c>
      <c r="M530" s="12" t="s">
        <v>18</v>
      </c>
      <c r="N530">
        <v>4</v>
      </c>
      <c r="O530">
        <v>0</v>
      </c>
      <c r="P530" t="s">
        <v>19</v>
      </c>
      <c r="Q530" s="6">
        <v>232</v>
      </c>
      <c r="R530" t="str">
        <f t="shared" si="24"/>
        <v>Phiola's 5 Star Short Let Apartment in Lekki_x000C_</v>
      </c>
      <c r="S530" t="str">
        <f t="shared" si="25"/>
        <v>Phiola's 5 Star Short Let Apartment in Lekki</v>
      </c>
      <c r="T530">
        <f>Table1[[#This Row],[Adults]]+Table1[[#This Row],[Children]]</f>
        <v>4</v>
      </c>
      <c r="U530">
        <f>_xlfn.DAYS(Table1[[#This Row],[Depart]],Table1[[#This Row],[Arrive]])</f>
        <v>2</v>
      </c>
    </row>
    <row r="531" spans="1:21" x14ac:dyDescent="0.25">
      <c r="A531" t="s">
        <v>681</v>
      </c>
      <c r="B531" t="s">
        <v>682</v>
      </c>
      <c r="C531" t="s">
        <v>1173</v>
      </c>
      <c r="D531" s="1">
        <v>44078</v>
      </c>
      <c r="E531" s="1">
        <v>44079</v>
      </c>
      <c r="F531">
        <f t="shared" si="26"/>
        <v>1</v>
      </c>
      <c r="G531" s="1">
        <v>44057</v>
      </c>
      <c r="H531" s="2">
        <v>0.33333333333333331</v>
      </c>
      <c r="I531" s="3">
        <v>1</v>
      </c>
      <c r="J531" t="s">
        <v>1709</v>
      </c>
      <c r="K531" t="s">
        <v>1709</v>
      </c>
      <c r="L531" t="s">
        <v>22</v>
      </c>
      <c r="M531" s="12" t="s">
        <v>23</v>
      </c>
      <c r="N531">
        <v>4</v>
      </c>
      <c r="O531">
        <v>0</v>
      </c>
      <c r="P531" t="s">
        <v>19</v>
      </c>
      <c r="Q531" s="6">
        <v>118.25</v>
      </c>
      <c r="R531" t="str">
        <f t="shared" si="24"/>
        <v xml:space="preserve"> The Daniels 5 Star Short Let Apartment in Lekki_x000C_</v>
      </c>
      <c r="S531" t="str">
        <f t="shared" si="25"/>
        <v xml:space="preserve"> The Daniels 5 Star Short Let Apartment in Lekki</v>
      </c>
      <c r="T531">
        <f>Table1[[#This Row],[Adults]]+Table1[[#This Row],[Children]]</f>
        <v>4</v>
      </c>
      <c r="U531">
        <f>_xlfn.DAYS(Table1[[#This Row],[Depart]],Table1[[#This Row],[Arrive]])</f>
        <v>1</v>
      </c>
    </row>
    <row r="532" spans="1:21" x14ac:dyDescent="0.25">
      <c r="A532" t="s">
        <v>707</v>
      </c>
      <c r="B532" t="s">
        <v>708</v>
      </c>
      <c r="C532" t="s">
        <v>1179</v>
      </c>
      <c r="D532" s="1">
        <v>44078</v>
      </c>
      <c r="E532" s="1">
        <v>44082</v>
      </c>
      <c r="F532">
        <f t="shared" si="26"/>
        <v>4</v>
      </c>
      <c r="G532" s="1">
        <v>44074</v>
      </c>
      <c r="H532" s="2">
        <v>0.33333333333333331</v>
      </c>
      <c r="I532" s="3">
        <v>1</v>
      </c>
      <c r="J532" t="s">
        <v>1714</v>
      </c>
      <c r="K532" t="s">
        <v>1714</v>
      </c>
      <c r="L532" t="s">
        <v>22</v>
      </c>
      <c r="M532" s="12" t="s">
        <v>18</v>
      </c>
      <c r="N532">
        <v>4</v>
      </c>
      <c r="O532">
        <v>0</v>
      </c>
      <c r="P532" t="s">
        <v>19</v>
      </c>
      <c r="Q532" s="6">
        <v>473</v>
      </c>
      <c r="R532" t="str">
        <f t="shared" si="24"/>
        <v>Phiola's 5 Star Short Let Apartment in Lekki_x000C_</v>
      </c>
      <c r="S532" t="str">
        <f t="shared" si="25"/>
        <v>Phiola's 5 Star Short Let Apartment in Lekki</v>
      </c>
      <c r="T532">
        <f>Table1[[#This Row],[Adults]]+Table1[[#This Row],[Children]]</f>
        <v>4</v>
      </c>
      <c r="U532">
        <f>_xlfn.DAYS(Table1[[#This Row],[Depart]],Table1[[#This Row],[Arrive]])</f>
        <v>4</v>
      </c>
    </row>
    <row r="533" spans="1:21" x14ac:dyDescent="0.25">
      <c r="A533" t="s">
        <v>707</v>
      </c>
      <c r="B533" t="s">
        <v>708</v>
      </c>
      <c r="C533" t="s">
        <v>1179</v>
      </c>
      <c r="D533" s="1">
        <v>44078</v>
      </c>
      <c r="E533" s="1">
        <v>44082</v>
      </c>
      <c r="F533">
        <f t="shared" si="26"/>
        <v>4</v>
      </c>
      <c r="G533" s="1">
        <v>44076</v>
      </c>
      <c r="H533" s="2">
        <v>0.33333333333333331</v>
      </c>
      <c r="I533" s="3">
        <v>1</v>
      </c>
      <c r="J533" t="s">
        <v>1736</v>
      </c>
      <c r="K533" t="s">
        <v>1736</v>
      </c>
      <c r="L533" t="s">
        <v>22</v>
      </c>
      <c r="M533" s="12" t="s">
        <v>23</v>
      </c>
      <c r="N533">
        <v>4</v>
      </c>
      <c r="O533">
        <v>0</v>
      </c>
      <c r="P533" t="s">
        <v>19</v>
      </c>
      <c r="Q533" s="6">
        <v>473</v>
      </c>
      <c r="R533" t="str">
        <f t="shared" si="24"/>
        <v>Phiola's 5 Star Short Let Apartment in Lekki_x000C_</v>
      </c>
      <c r="S533" t="str">
        <f t="shared" si="25"/>
        <v>Phiola's 5 Star Short Let Apartment in Lekki</v>
      </c>
      <c r="T533">
        <f>Table1[[#This Row],[Adults]]+Table1[[#This Row],[Children]]</f>
        <v>4</v>
      </c>
      <c r="U533">
        <f>_xlfn.DAYS(Table1[[#This Row],[Depart]],Table1[[#This Row],[Arrive]])</f>
        <v>4</v>
      </c>
    </row>
    <row r="534" spans="1:21" x14ac:dyDescent="0.25">
      <c r="A534" t="s">
        <v>639</v>
      </c>
      <c r="B534" t="s">
        <v>640</v>
      </c>
      <c r="C534" t="s">
        <v>1175</v>
      </c>
      <c r="D534" s="1">
        <v>44079</v>
      </c>
      <c r="E534" s="1">
        <v>44082</v>
      </c>
      <c r="F534">
        <f t="shared" si="26"/>
        <v>3</v>
      </c>
      <c r="G534" s="1">
        <v>44064</v>
      </c>
      <c r="H534" s="2">
        <v>0.33333333333333331</v>
      </c>
      <c r="I534" s="3">
        <v>1</v>
      </c>
      <c r="J534" t="s">
        <v>1657</v>
      </c>
      <c r="K534" t="s">
        <v>1657</v>
      </c>
      <c r="L534" t="s">
        <v>26</v>
      </c>
      <c r="M534" s="12" t="s">
        <v>18</v>
      </c>
      <c r="N534">
        <v>1</v>
      </c>
      <c r="O534">
        <v>0</v>
      </c>
      <c r="P534" t="s">
        <v>19</v>
      </c>
      <c r="Q534" s="6">
        <v>319</v>
      </c>
      <c r="R534" t="str">
        <f t="shared" si="24"/>
        <v>Keji's 5 Star Short let Apartment in Lekki_x000C_</v>
      </c>
      <c r="S534" t="str">
        <f t="shared" si="25"/>
        <v>Keji's 5 Star Short let Apartment in Lekki</v>
      </c>
      <c r="T534">
        <f>Table1[[#This Row],[Adults]]+Table1[[#This Row],[Children]]</f>
        <v>1</v>
      </c>
      <c r="U534">
        <f>_xlfn.DAYS(Table1[[#This Row],[Depart]],Table1[[#This Row],[Arrive]])</f>
        <v>3</v>
      </c>
    </row>
    <row r="535" spans="1:21" x14ac:dyDescent="0.25">
      <c r="A535" t="s">
        <v>645</v>
      </c>
      <c r="B535" t="s">
        <v>646</v>
      </c>
      <c r="C535" t="s">
        <v>1175</v>
      </c>
      <c r="D535" s="1">
        <v>44079</v>
      </c>
      <c r="E535" s="1">
        <v>44082</v>
      </c>
      <c r="F535">
        <f t="shared" si="26"/>
        <v>3</v>
      </c>
      <c r="G535" s="1">
        <v>44064</v>
      </c>
      <c r="H535" s="2">
        <v>0.33333333333333331</v>
      </c>
      <c r="I535" s="3">
        <v>1</v>
      </c>
      <c r="J535" t="s">
        <v>1660</v>
      </c>
      <c r="K535" t="s">
        <v>1660</v>
      </c>
      <c r="L535" t="s">
        <v>26</v>
      </c>
      <c r="M535" s="12" t="s">
        <v>18</v>
      </c>
      <c r="N535">
        <v>1</v>
      </c>
      <c r="O535">
        <v>0</v>
      </c>
      <c r="P535" t="s">
        <v>19</v>
      </c>
      <c r="Q535" s="6">
        <v>319</v>
      </c>
      <c r="R535" t="str">
        <f t="shared" si="24"/>
        <v>Keji's 5 Star Short let Apartment in Lekki_x000C_</v>
      </c>
      <c r="S535" t="str">
        <f t="shared" si="25"/>
        <v>Keji's 5 Star Short let Apartment in Lekki</v>
      </c>
      <c r="T535">
        <f>Table1[[#This Row],[Adults]]+Table1[[#This Row],[Children]]</f>
        <v>1</v>
      </c>
      <c r="U535">
        <f>_xlfn.DAYS(Table1[[#This Row],[Depart]],Table1[[#This Row],[Arrive]])</f>
        <v>3</v>
      </c>
    </row>
    <row r="536" spans="1:21" x14ac:dyDescent="0.25">
      <c r="A536" t="s">
        <v>653</v>
      </c>
      <c r="B536" t="s">
        <v>654</v>
      </c>
      <c r="C536" t="s">
        <v>1175</v>
      </c>
      <c r="D536" s="1">
        <v>44079</v>
      </c>
      <c r="E536" s="1">
        <v>44082</v>
      </c>
      <c r="F536">
        <f t="shared" si="26"/>
        <v>3</v>
      </c>
      <c r="G536" s="1">
        <v>44064</v>
      </c>
      <c r="H536" s="2">
        <v>0.33333333333333331</v>
      </c>
      <c r="I536" s="3">
        <v>1</v>
      </c>
      <c r="J536" t="s">
        <v>1664</v>
      </c>
      <c r="K536" t="s">
        <v>1664</v>
      </c>
      <c r="L536" t="s">
        <v>26</v>
      </c>
      <c r="M536" s="12" t="s">
        <v>18</v>
      </c>
      <c r="N536">
        <v>6</v>
      </c>
      <c r="O536">
        <v>0</v>
      </c>
      <c r="P536" t="s">
        <v>19</v>
      </c>
      <c r="Q536" s="6">
        <v>319</v>
      </c>
      <c r="R536" t="str">
        <f t="shared" si="24"/>
        <v>Keji's 5 Star Short let Apartment in Lekki_x000C_</v>
      </c>
      <c r="S536" t="str">
        <f t="shared" si="25"/>
        <v>Keji's 5 Star Short let Apartment in Lekki</v>
      </c>
      <c r="T536">
        <f>Table1[[#This Row],[Adults]]+Table1[[#This Row],[Children]]</f>
        <v>6</v>
      </c>
      <c r="U536">
        <f>_xlfn.DAYS(Table1[[#This Row],[Depart]],Table1[[#This Row],[Arrive]])</f>
        <v>3</v>
      </c>
    </row>
    <row r="537" spans="1:21" x14ac:dyDescent="0.25">
      <c r="A537" t="s">
        <v>687</v>
      </c>
      <c r="B537" t="s">
        <v>688</v>
      </c>
      <c r="C537" t="s">
        <v>1179</v>
      </c>
      <c r="D537" s="1">
        <v>44079</v>
      </c>
      <c r="E537" s="1">
        <v>44081</v>
      </c>
      <c r="F537">
        <f t="shared" si="26"/>
        <v>2</v>
      </c>
      <c r="G537" s="1">
        <v>44073</v>
      </c>
      <c r="H537" s="2">
        <v>0.33333333333333331</v>
      </c>
      <c r="I537" s="3">
        <v>1</v>
      </c>
      <c r="J537" t="s">
        <v>1693</v>
      </c>
      <c r="K537" t="s">
        <v>1693</v>
      </c>
      <c r="L537" t="s">
        <v>26</v>
      </c>
      <c r="M537" s="12" t="s">
        <v>18</v>
      </c>
      <c r="N537">
        <v>4</v>
      </c>
      <c r="O537">
        <v>0</v>
      </c>
      <c r="P537" t="s">
        <v>19</v>
      </c>
      <c r="Q537" s="6">
        <v>232</v>
      </c>
      <c r="R537" t="str">
        <f t="shared" si="24"/>
        <v>Phiola's 5 Star Short Let Apartment in Lekki_x000C_</v>
      </c>
      <c r="S537" t="str">
        <f t="shared" si="25"/>
        <v>Phiola's 5 Star Short Let Apartment in Lekki</v>
      </c>
      <c r="T537">
        <f>Table1[[#This Row],[Adults]]+Table1[[#This Row],[Children]]</f>
        <v>4</v>
      </c>
      <c r="U537">
        <f>_xlfn.DAYS(Table1[[#This Row],[Depart]],Table1[[#This Row],[Arrive]])</f>
        <v>2</v>
      </c>
    </row>
    <row r="538" spans="1:21" x14ac:dyDescent="0.25">
      <c r="A538" t="s">
        <v>717</v>
      </c>
      <c r="B538" t="s">
        <v>718</v>
      </c>
      <c r="C538" t="s">
        <v>1173</v>
      </c>
      <c r="D538" s="1">
        <v>44079</v>
      </c>
      <c r="E538" s="1">
        <v>44080</v>
      </c>
      <c r="F538">
        <f t="shared" si="26"/>
        <v>1</v>
      </c>
      <c r="G538" s="1">
        <v>44075</v>
      </c>
      <c r="H538" s="2">
        <v>0.33333333333333331</v>
      </c>
      <c r="I538" s="3">
        <v>1</v>
      </c>
      <c r="J538" t="s">
        <v>2181</v>
      </c>
      <c r="K538" t="s">
        <v>1549</v>
      </c>
      <c r="L538" t="s">
        <v>520</v>
      </c>
      <c r="M538" s="12" t="s">
        <v>18</v>
      </c>
      <c r="N538">
        <v>6</v>
      </c>
      <c r="O538">
        <v>0</v>
      </c>
      <c r="P538" t="s">
        <v>19</v>
      </c>
      <c r="Q538" s="6">
        <v>65000</v>
      </c>
      <c r="R538" t="str">
        <f t="shared" si="24"/>
        <v xml:space="preserve"> The Daniels 5 Star Short Let Apartment in Lekki_x000C_</v>
      </c>
      <c r="S538" t="str">
        <f t="shared" si="25"/>
        <v xml:space="preserve"> The Daniels 5 Star Short Let Apartment in Lekki</v>
      </c>
      <c r="T538">
        <f>Table1[[#This Row],[Adults]]+Table1[[#This Row],[Children]]</f>
        <v>6</v>
      </c>
      <c r="U538">
        <f>_xlfn.DAYS(Table1[[#This Row],[Depart]],Table1[[#This Row],[Arrive]])</f>
        <v>1</v>
      </c>
    </row>
    <row r="539" spans="1:21" x14ac:dyDescent="0.25">
      <c r="A539" t="s">
        <v>416</v>
      </c>
      <c r="B539" t="s">
        <v>417</v>
      </c>
      <c r="C539" t="s">
        <v>1173</v>
      </c>
      <c r="D539" s="1">
        <v>44079</v>
      </c>
      <c r="E539" s="1">
        <v>44080</v>
      </c>
      <c r="F539">
        <f t="shared" si="26"/>
        <v>1</v>
      </c>
      <c r="G539" s="1">
        <v>44077</v>
      </c>
      <c r="H539" s="2">
        <v>0.33333333333333331</v>
      </c>
      <c r="I539" s="3">
        <v>1</v>
      </c>
      <c r="J539" t="s">
        <v>1721</v>
      </c>
      <c r="K539" t="s">
        <v>1721</v>
      </c>
      <c r="L539" t="s">
        <v>22</v>
      </c>
      <c r="M539" s="12" t="s">
        <v>18</v>
      </c>
      <c r="N539">
        <v>6</v>
      </c>
      <c r="O539">
        <v>0</v>
      </c>
      <c r="P539" t="s">
        <v>19</v>
      </c>
      <c r="Q539" s="6">
        <v>118.25</v>
      </c>
      <c r="R539" t="str">
        <f t="shared" si="24"/>
        <v xml:space="preserve"> The Daniels 5 Star Short Let Apartment in Lekki_x000C_</v>
      </c>
      <c r="S539" t="str">
        <f t="shared" si="25"/>
        <v xml:space="preserve"> The Daniels 5 Star Short Let Apartment in Lekki</v>
      </c>
      <c r="T539">
        <f>Table1[[#This Row],[Adults]]+Table1[[#This Row],[Children]]</f>
        <v>6</v>
      </c>
      <c r="U539">
        <f>_xlfn.DAYS(Table1[[#This Row],[Depart]],Table1[[#This Row],[Arrive]])</f>
        <v>1</v>
      </c>
    </row>
    <row r="540" spans="1:21" x14ac:dyDescent="0.25">
      <c r="A540" t="s">
        <v>549</v>
      </c>
      <c r="B540" t="s">
        <v>550</v>
      </c>
      <c r="C540" t="s">
        <v>1175</v>
      </c>
      <c r="D540" s="1">
        <v>44079</v>
      </c>
      <c r="E540" s="1">
        <v>44080</v>
      </c>
      <c r="F540">
        <f t="shared" si="26"/>
        <v>1</v>
      </c>
      <c r="G540" s="1">
        <v>44075</v>
      </c>
      <c r="H540" s="2">
        <v>0.33333333333333331</v>
      </c>
      <c r="I540" s="3">
        <v>1</v>
      </c>
      <c r="J540" t="s">
        <v>1723</v>
      </c>
      <c r="K540" t="s">
        <v>1723</v>
      </c>
      <c r="L540" t="s">
        <v>22</v>
      </c>
      <c r="M540" s="12" t="s">
        <v>18</v>
      </c>
      <c r="N540">
        <v>5</v>
      </c>
      <c r="O540">
        <v>0</v>
      </c>
      <c r="P540" t="s">
        <v>19</v>
      </c>
      <c r="Q540" s="6">
        <v>118.25</v>
      </c>
      <c r="R540" t="str">
        <f t="shared" si="24"/>
        <v>Keji's 5 Star Short let Apartment in Lekki_x000C_</v>
      </c>
      <c r="S540" t="str">
        <f t="shared" si="25"/>
        <v>Keji's 5 Star Short let Apartment in Lekki</v>
      </c>
      <c r="T540">
        <f>Table1[[#This Row],[Adults]]+Table1[[#This Row],[Children]]</f>
        <v>5</v>
      </c>
      <c r="U540">
        <f>_xlfn.DAYS(Table1[[#This Row],[Depart]],Table1[[#This Row],[Arrive]])</f>
        <v>1</v>
      </c>
    </row>
    <row r="541" spans="1:21" x14ac:dyDescent="0.25">
      <c r="A541" t="s">
        <v>717</v>
      </c>
      <c r="B541" t="s">
        <v>718</v>
      </c>
      <c r="C541" t="s">
        <v>1173</v>
      </c>
      <c r="D541" s="1">
        <v>44079</v>
      </c>
      <c r="E541" s="1">
        <v>44080</v>
      </c>
      <c r="F541">
        <f t="shared" si="26"/>
        <v>1</v>
      </c>
      <c r="G541" s="1">
        <v>44077</v>
      </c>
      <c r="H541" s="2">
        <v>0.33333333333333331</v>
      </c>
      <c r="I541" s="3">
        <v>1</v>
      </c>
      <c r="J541" t="s">
        <v>1737</v>
      </c>
      <c r="K541" t="s">
        <v>1737</v>
      </c>
      <c r="L541" t="s">
        <v>22</v>
      </c>
      <c r="M541" s="12" t="s">
        <v>23</v>
      </c>
      <c r="N541">
        <v>6</v>
      </c>
      <c r="O541">
        <v>0</v>
      </c>
      <c r="P541" t="s">
        <v>19</v>
      </c>
      <c r="Q541" s="6">
        <v>118.25</v>
      </c>
      <c r="R541" t="str">
        <f t="shared" si="24"/>
        <v xml:space="preserve"> The Daniels 5 Star Short Let Apartment in Lekki_x000C_</v>
      </c>
      <c r="S541" t="str">
        <f t="shared" si="25"/>
        <v xml:space="preserve"> The Daniels 5 Star Short Let Apartment in Lekki</v>
      </c>
      <c r="T541">
        <f>Table1[[#This Row],[Adults]]+Table1[[#This Row],[Children]]</f>
        <v>6</v>
      </c>
      <c r="U541">
        <f>_xlfn.DAYS(Table1[[#This Row],[Depart]],Table1[[#This Row],[Arrive]])</f>
        <v>1</v>
      </c>
    </row>
    <row r="542" spans="1:21" x14ac:dyDescent="0.25">
      <c r="A542" t="s">
        <v>655</v>
      </c>
      <c r="B542" t="s">
        <v>656</v>
      </c>
      <c r="C542" t="s">
        <v>1178</v>
      </c>
      <c r="D542" s="1">
        <v>44080</v>
      </c>
      <c r="E542" s="1">
        <v>44081</v>
      </c>
      <c r="F542">
        <f t="shared" si="26"/>
        <v>1</v>
      </c>
      <c r="G542" s="1">
        <v>44078</v>
      </c>
      <c r="H542" s="2">
        <v>0.58333333333333337</v>
      </c>
      <c r="I542" s="2">
        <v>0.45833333333333331</v>
      </c>
      <c r="J542" t="s">
        <v>1722</v>
      </c>
      <c r="K542" t="s">
        <v>1722</v>
      </c>
      <c r="L542" t="s">
        <v>22</v>
      </c>
      <c r="M542" s="12" t="s">
        <v>18</v>
      </c>
      <c r="N542">
        <v>6</v>
      </c>
      <c r="O542">
        <v>0</v>
      </c>
      <c r="P542" t="s">
        <v>19</v>
      </c>
      <c r="Q542" s="6">
        <v>118.25</v>
      </c>
      <c r="R542" t="str">
        <f t="shared" si="24"/>
        <v>Ope's 5 Star Short Let Apartment in Lekki_x000C_</v>
      </c>
      <c r="S542" t="str">
        <f t="shared" si="25"/>
        <v>Ope's 5 Star Short Let Apartment in Lekki</v>
      </c>
      <c r="T542">
        <f>Table1[[#This Row],[Adults]]+Table1[[#This Row],[Children]]</f>
        <v>6</v>
      </c>
      <c r="U542">
        <f>_xlfn.DAYS(Table1[[#This Row],[Depart]],Table1[[#This Row],[Arrive]])</f>
        <v>1</v>
      </c>
    </row>
    <row r="543" spans="1:21" x14ac:dyDescent="0.25">
      <c r="A543" t="s">
        <v>705</v>
      </c>
      <c r="B543" t="s">
        <v>706</v>
      </c>
      <c r="C543" t="s">
        <v>1173</v>
      </c>
      <c r="D543" s="1">
        <v>44080</v>
      </c>
      <c r="E543" s="1">
        <v>44082</v>
      </c>
      <c r="F543">
        <f t="shared" si="26"/>
        <v>2</v>
      </c>
      <c r="G543" s="1">
        <v>44077</v>
      </c>
      <c r="H543" s="2">
        <v>0.33333333333333331</v>
      </c>
      <c r="I543" s="3">
        <v>1</v>
      </c>
      <c r="J543" t="s">
        <v>1734</v>
      </c>
      <c r="K543" t="s">
        <v>1734</v>
      </c>
      <c r="L543" t="s">
        <v>22</v>
      </c>
      <c r="M543" s="12" t="s">
        <v>23</v>
      </c>
      <c r="N543">
        <v>5</v>
      </c>
      <c r="O543">
        <v>0</v>
      </c>
      <c r="P543" t="s">
        <v>19</v>
      </c>
      <c r="Q543" s="6">
        <v>236.5</v>
      </c>
      <c r="R543" t="str">
        <f t="shared" si="24"/>
        <v xml:space="preserve"> The Daniels 5 Star Short Let Apartment in Lekki_x000C_</v>
      </c>
      <c r="S543" t="str">
        <f t="shared" si="25"/>
        <v xml:space="preserve"> The Daniels 5 Star Short Let Apartment in Lekki</v>
      </c>
      <c r="T543">
        <f>Table1[[#This Row],[Adults]]+Table1[[#This Row],[Children]]</f>
        <v>5</v>
      </c>
      <c r="U543">
        <f>_xlfn.DAYS(Table1[[#This Row],[Depart]],Table1[[#This Row],[Arrive]])</f>
        <v>2</v>
      </c>
    </row>
    <row r="544" spans="1:21" x14ac:dyDescent="0.25">
      <c r="A544" t="s">
        <v>727</v>
      </c>
      <c r="B544" t="s">
        <v>728</v>
      </c>
      <c r="C544" t="s">
        <v>1178</v>
      </c>
      <c r="D544" s="1">
        <v>44080</v>
      </c>
      <c r="E544" s="1">
        <v>44081</v>
      </c>
      <c r="F544">
        <f t="shared" si="26"/>
        <v>1</v>
      </c>
      <c r="G544" s="1">
        <v>44080</v>
      </c>
      <c r="H544" s="2">
        <v>0.58333333333333337</v>
      </c>
      <c r="I544" s="2">
        <v>0.45833333333333331</v>
      </c>
      <c r="J544" t="s">
        <v>1738</v>
      </c>
      <c r="K544" t="s">
        <v>1738</v>
      </c>
      <c r="L544" t="s">
        <v>22</v>
      </c>
      <c r="M544" s="12" t="s">
        <v>23</v>
      </c>
      <c r="N544">
        <v>5</v>
      </c>
      <c r="O544">
        <v>0</v>
      </c>
      <c r="P544" t="s">
        <v>19</v>
      </c>
      <c r="Q544" s="6">
        <v>118.25</v>
      </c>
      <c r="R544" t="str">
        <f t="shared" si="24"/>
        <v>Ope's 5 Star Short Let Apartment in Lekki_x000C_</v>
      </c>
      <c r="S544" t="str">
        <f t="shared" si="25"/>
        <v>Ope's 5 Star Short Let Apartment in Lekki</v>
      </c>
      <c r="T544">
        <f>Table1[[#This Row],[Adults]]+Table1[[#This Row],[Children]]</f>
        <v>5</v>
      </c>
      <c r="U544">
        <f>_xlfn.DAYS(Table1[[#This Row],[Depart]],Table1[[#This Row],[Arrive]])</f>
        <v>1</v>
      </c>
    </row>
    <row r="545" spans="1:21" x14ac:dyDescent="0.25">
      <c r="A545" t="s">
        <v>803</v>
      </c>
      <c r="B545" t="s">
        <v>804</v>
      </c>
      <c r="C545" t="s">
        <v>1179</v>
      </c>
      <c r="D545" s="1">
        <v>44080</v>
      </c>
      <c r="E545" s="1">
        <v>44081</v>
      </c>
      <c r="F545">
        <f t="shared" si="26"/>
        <v>1</v>
      </c>
      <c r="G545" s="1">
        <v>44095</v>
      </c>
      <c r="H545" s="2">
        <v>0.33333333333333331</v>
      </c>
      <c r="I545" s="3">
        <v>1</v>
      </c>
      <c r="J545" t="s">
        <v>1797</v>
      </c>
      <c r="K545" t="s">
        <v>1797</v>
      </c>
      <c r="L545" t="s">
        <v>22</v>
      </c>
      <c r="M545" s="12" t="s">
        <v>18</v>
      </c>
      <c r="N545">
        <v>1</v>
      </c>
      <c r="O545">
        <v>0</v>
      </c>
      <c r="P545" t="s">
        <v>19</v>
      </c>
      <c r="Q545" s="6">
        <v>129</v>
      </c>
      <c r="R545" t="str">
        <f t="shared" si="24"/>
        <v>Phiola's 5 Star Short Let Apartment in Lekki_x000C_</v>
      </c>
      <c r="S545" t="str">
        <f t="shared" si="25"/>
        <v>Phiola's 5 Star Short Let Apartment in Lekki</v>
      </c>
      <c r="T545">
        <f>Table1[[#This Row],[Adults]]+Table1[[#This Row],[Children]]</f>
        <v>1</v>
      </c>
      <c r="U545">
        <f>_xlfn.DAYS(Table1[[#This Row],[Depart]],Table1[[#This Row],[Arrive]])</f>
        <v>1</v>
      </c>
    </row>
    <row r="546" spans="1:21" x14ac:dyDescent="0.25">
      <c r="A546" t="s">
        <v>685</v>
      </c>
      <c r="B546" t="s">
        <v>686</v>
      </c>
      <c r="C546" t="s">
        <v>1175</v>
      </c>
      <c r="D546" s="1">
        <v>44081</v>
      </c>
      <c r="E546" s="1">
        <v>44082</v>
      </c>
      <c r="F546">
        <f t="shared" si="26"/>
        <v>1</v>
      </c>
      <c r="G546" s="1">
        <v>44073</v>
      </c>
      <c r="H546" s="2">
        <v>0.33333333333333331</v>
      </c>
      <c r="I546" s="3">
        <v>1</v>
      </c>
      <c r="J546" t="s">
        <v>1689</v>
      </c>
      <c r="K546" t="s">
        <v>1689</v>
      </c>
      <c r="L546" t="s">
        <v>22</v>
      </c>
      <c r="M546" s="12" t="s">
        <v>23</v>
      </c>
      <c r="N546">
        <v>6</v>
      </c>
      <c r="O546">
        <v>0</v>
      </c>
      <c r="P546" t="s">
        <v>19</v>
      </c>
      <c r="Q546" s="6">
        <v>118.25</v>
      </c>
      <c r="R546" t="str">
        <f t="shared" si="24"/>
        <v>Keji's 5 Star Short let Apartment in Lekki_x000C_</v>
      </c>
      <c r="S546" t="str">
        <f t="shared" si="25"/>
        <v>Keji's 5 Star Short let Apartment in Lekki</v>
      </c>
      <c r="T546">
        <f>Table1[[#This Row],[Adults]]+Table1[[#This Row],[Children]]</f>
        <v>6</v>
      </c>
      <c r="U546">
        <f>_xlfn.DAYS(Table1[[#This Row],[Depart]],Table1[[#This Row],[Arrive]])</f>
        <v>1</v>
      </c>
    </row>
    <row r="547" spans="1:21" x14ac:dyDescent="0.25">
      <c r="A547" t="s">
        <v>725</v>
      </c>
      <c r="B547" t="s">
        <v>726</v>
      </c>
      <c r="C547" t="s">
        <v>1178</v>
      </c>
      <c r="D547" s="1">
        <v>44081</v>
      </c>
      <c r="E547" s="1">
        <v>44082</v>
      </c>
      <c r="F547">
        <f t="shared" si="26"/>
        <v>1</v>
      </c>
      <c r="G547" s="1">
        <v>44075</v>
      </c>
      <c r="H547" s="2">
        <v>0.58333333333333337</v>
      </c>
      <c r="I547" s="2">
        <v>0.45833333333333331</v>
      </c>
      <c r="J547" t="s">
        <v>1732</v>
      </c>
      <c r="K547" t="s">
        <v>1732</v>
      </c>
      <c r="L547" t="s">
        <v>22</v>
      </c>
      <c r="M547" s="12" t="s">
        <v>23</v>
      </c>
      <c r="N547">
        <v>7</v>
      </c>
      <c r="O547">
        <v>0</v>
      </c>
      <c r="P547" t="s">
        <v>19</v>
      </c>
      <c r="Q547" s="6">
        <v>134.38</v>
      </c>
      <c r="R547" t="str">
        <f t="shared" si="24"/>
        <v>Ope's 5 Star Short Let Apartment in Lekki_x000C_</v>
      </c>
      <c r="S547" t="str">
        <f t="shared" si="25"/>
        <v>Ope's 5 Star Short Let Apartment in Lekki</v>
      </c>
      <c r="T547">
        <f>Table1[[#This Row],[Adults]]+Table1[[#This Row],[Children]]</f>
        <v>7</v>
      </c>
      <c r="U547">
        <f>_xlfn.DAYS(Table1[[#This Row],[Depart]],Table1[[#This Row],[Arrive]])</f>
        <v>1</v>
      </c>
    </row>
    <row r="548" spans="1:21" x14ac:dyDescent="0.25">
      <c r="A548" t="s">
        <v>705</v>
      </c>
      <c r="B548" t="s">
        <v>706</v>
      </c>
      <c r="C548" t="s">
        <v>1179</v>
      </c>
      <c r="D548" s="1">
        <v>44081</v>
      </c>
      <c r="E548" s="1">
        <v>44082</v>
      </c>
      <c r="F548">
        <f t="shared" si="26"/>
        <v>1</v>
      </c>
      <c r="G548" s="1">
        <v>44077</v>
      </c>
      <c r="H548" s="2">
        <v>0.33333333333333331</v>
      </c>
      <c r="I548" s="3">
        <v>1</v>
      </c>
      <c r="J548" t="s">
        <v>1735</v>
      </c>
      <c r="K548" t="s">
        <v>1735</v>
      </c>
      <c r="L548" t="s">
        <v>22</v>
      </c>
      <c r="M548" s="12" t="s">
        <v>18</v>
      </c>
      <c r="N548">
        <v>5</v>
      </c>
      <c r="O548">
        <v>0</v>
      </c>
      <c r="P548" t="s">
        <v>19</v>
      </c>
      <c r="Q548" s="6">
        <v>118.25</v>
      </c>
      <c r="R548" t="str">
        <f t="shared" si="24"/>
        <v>Phiola's 5 Star Short Let Apartment in Lekki_x000C_</v>
      </c>
      <c r="S548" t="str">
        <f t="shared" si="25"/>
        <v>Phiola's 5 Star Short Let Apartment in Lekki</v>
      </c>
      <c r="T548">
        <f>Table1[[#This Row],[Adults]]+Table1[[#This Row],[Children]]</f>
        <v>5</v>
      </c>
      <c r="U548">
        <f>_xlfn.DAYS(Table1[[#This Row],[Depart]],Table1[[#This Row],[Arrive]])</f>
        <v>1</v>
      </c>
    </row>
    <row r="549" spans="1:21" x14ac:dyDescent="0.25">
      <c r="A549" t="s">
        <v>685</v>
      </c>
      <c r="B549" t="s">
        <v>686</v>
      </c>
      <c r="C549" t="s">
        <v>1179</v>
      </c>
      <c r="D549" s="1">
        <v>44082</v>
      </c>
      <c r="E549" s="1">
        <v>44084</v>
      </c>
      <c r="F549">
        <f t="shared" si="26"/>
        <v>2</v>
      </c>
      <c r="G549" s="1">
        <v>44073</v>
      </c>
      <c r="H549" s="2">
        <v>0.33333333333333331</v>
      </c>
      <c r="I549" s="3">
        <v>1</v>
      </c>
      <c r="J549" t="s">
        <v>1690</v>
      </c>
      <c r="K549" t="s">
        <v>1690</v>
      </c>
      <c r="L549" t="s">
        <v>22</v>
      </c>
      <c r="M549" s="12" t="s">
        <v>23</v>
      </c>
      <c r="N549">
        <v>6</v>
      </c>
      <c r="O549">
        <v>0</v>
      </c>
      <c r="P549" t="s">
        <v>19</v>
      </c>
      <c r="Q549" s="6">
        <v>236.5</v>
      </c>
      <c r="R549" t="str">
        <f t="shared" si="24"/>
        <v>Phiola's 5 Star Short Let Apartment in Lekki_x000C_</v>
      </c>
      <c r="S549" t="str">
        <f t="shared" si="25"/>
        <v>Phiola's 5 Star Short Let Apartment in Lekki</v>
      </c>
      <c r="T549">
        <f>Table1[[#This Row],[Adults]]+Table1[[#This Row],[Children]]</f>
        <v>6</v>
      </c>
      <c r="U549">
        <f>_xlfn.DAYS(Table1[[#This Row],[Depart]],Table1[[#This Row],[Arrive]])</f>
        <v>2</v>
      </c>
    </row>
    <row r="550" spans="1:21" x14ac:dyDescent="0.25">
      <c r="A550" t="s">
        <v>583</v>
      </c>
      <c r="B550" t="s">
        <v>584</v>
      </c>
      <c r="C550" t="s">
        <v>1173</v>
      </c>
      <c r="D550" s="1">
        <v>44082</v>
      </c>
      <c r="E550" s="1">
        <v>44087</v>
      </c>
      <c r="F550">
        <f t="shared" si="26"/>
        <v>5</v>
      </c>
      <c r="G550" s="1">
        <v>44073</v>
      </c>
      <c r="H550" s="2">
        <v>0.33333333333333331</v>
      </c>
      <c r="I550" s="3">
        <v>1</v>
      </c>
      <c r="J550" t="s">
        <v>1698</v>
      </c>
      <c r="K550" t="s">
        <v>1698</v>
      </c>
      <c r="L550" t="s">
        <v>22</v>
      </c>
      <c r="M550" s="12" t="s">
        <v>18</v>
      </c>
      <c r="N550">
        <v>6</v>
      </c>
      <c r="O550">
        <v>0</v>
      </c>
      <c r="P550" t="s">
        <v>19</v>
      </c>
      <c r="Q550" s="6">
        <v>591.25</v>
      </c>
      <c r="R550" t="str">
        <f t="shared" si="24"/>
        <v xml:space="preserve"> The Daniels 5 Star Short Let Apartment in Lekki_x000C_</v>
      </c>
      <c r="S550" t="str">
        <f t="shared" si="25"/>
        <v xml:space="preserve"> The Daniels 5 Star Short Let Apartment in Lekki</v>
      </c>
      <c r="T550">
        <f>Table1[[#This Row],[Adults]]+Table1[[#This Row],[Children]]</f>
        <v>6</v>
      </c>
      <c r="U550">
        <f>_xlfn.DAYS(Table1[[#This Row],[Depart]],Table1[[#This Row],[Arrive]])</f>
        <v>5</v>
      </c>
    </row>
    <row r="551" spans="1:21" x14ac:dyDescent="0.25">
      <c r="A551" t="s">
        <v>426</v>
      </c>
      <c r="B551" t="s">
        <v>427</v>
      </c>
      <c r="C551" t="s">
        <v>1178</v>
      </c>
      <c r="D551" s="1">
        <v>44082</v>
      </c>
      <c r="E551" s="1">
        <v>44083</v>
      </c>
      <c r="F551">
        <f t="shared" si="26"/>
        <v>1</v>
      </c>
      <c r="G551" s="1">
        <v>44075</v>
      </c>
      <c r="H551" s="2">
        <v>0.58333333333333337</v>
      </c>
      <c r="I551" s="2">
        <v>0.45833333333333331</v>
      </c>
      <c r="J551" t="s">
        <v>1706</v>
      </c>
      <c r="K551" t="s">
        <v>1706</v>
      </c>
      <c r="L551" t="s">
        <v>22</v>
      </c>
      <c r="M551" s="12" t="s">
        <v>18</v>
      </c>
      <c r="N551">
        <v>6</v>
      </c>
      <c r="O551">
        <v>0</v>
      </c>
      <c r="P551" t="s">
        <v>19</v>
      </c>
      <c r="Q551" s="6">
        <v>118.25</v>
      </c>
      <c r="R551" t="str">
        <f t="shared" si="24"/>
        <v>Ope's 5 Star Short Let Apartment in Lekki_x000C_</v>
      </c>
      <c r="S551" t="str">
        <f t="shared" si="25"/>
        <v>Ope's 5 Star Short Let Apartment in Lekki</v>
      </c>
      <c r="T551">
        <f>Table1[[#This Row],[Adults]]+Table1[[#This Row],[Children]]</f>
        <v>6</v>
      </c>
      <c r="U551">
        <f>_xlfn.DAYS(Table1[[#This Row],[Depart]],Table1[[#This Row],[Arrive]])</f>
        <v>1</v>
      </c>
    </row>
    <row r="552" spans="1:21" x14ac:dyDescent="0.25">
      <c r="A552" t="s">
        <v>721</v>
      </c>
      <c r="B552" t="s">
        <v>722</v>
      </c>
      <c r="C552" t="s">
        <v>1175</v>
      </c>
      <c r="D552" s="1">
        <v>44082</v>
      </c>
      <c r="E552" s="1">
        <v>44085</v>
      </c>
      <c r="F552">
        <f t="shared" si="26"/>
        <v>3</v>
      </c>
      <c r="G552" s="1">
        <v>44077</v>
      </c>
      <c r="H552" s="2">
        <v>0.33333333333333331</v>
      </c>
      <c r="I552" s="3">
        <v>1</v>
      </c>
      <c r="J552" t="s">
        <v>1726</v>
      </c>
      <c r="K552" t="s">
        <v>1726</v>
      </c>
      <c r="L552" t="s">
        <v>22</v>
      </c>
      <c r="M552" s="12" t="s">
        <v>23</v>
      </c>
      <c r="N552">
        <v>4</v>
      </c>
      <c r="O552">
        <v>0</v>
      </c>
      <c r="P552" t="s">
        <v>19</v>
      </c>
      <c r="Q552" s="6">
        <v>354.75</v>
      </c>
      <c r="R552" t="str">
        <f t="shared" si="24"/>
        <v>Keji's 5 Star Short let Apartment in Lekki_x000C_</v>
      </c>
      <c r="S552" t="str">
        <f t="shared" si="25"/>
        <v>Keji's 5 Star Short let Apartment in Lekki</v>
      </c>
      <c r="T552">
        <f>Table1[[#This Row],[Adults]]+Table1[[#This Row],[Children]]</f>
        <v>4</v>
      </c>
      <c r="U552">
        <f>_xlfn.DAYS(Table1[[#This Row],[Depart]],Table1[[#This Row],[Arrive]])</f>
        <v>3</v>
      </c>
    </row>
    <row r="553" spans="1:21" x14ac:dyDescent="0.25">
      <c r="A553" t="s">
        <v>725</v>
      </c>
      <c r="B553" t="s">
        <v>726</v>
      </c>
      <c r="C553" t="s">
        <v>1173</v>
      </c>
      <c r="D553" s="1">
        <v>44082</v>
      </c>
      <c r="E553" s="1">
        <v>44087</v>
      </c>
      <c r="F553">
        <f t="shared" si="26"/>
        <v>5</v>
      </c>
      <c r="G553" s="1">
        <v>44074</v>
      </c>
      <c r="H553" s="2">
        <v>0.33333333333333331</v>
      </c>
      <c r="I553" s="3">
        <v>1</v>
      </c>
      <c r="J553" t="s">
        <v>1733</v>
      </c>
      <c r="K553" t="s">
        <v>1733</v>
      </c>
      <c r="L553" t="s">
        <v>22</v>
      </c>
      <c r="M553" s="12" t="s">
        <v>23</v>
      </c>
      <c r="N553">
        <v>6</v>
      </c>
      <c r="O553">
        <v>0</v>
      </c>
      <c r="P553" t="s">
        <v>19</v>
      </c>
      <c r="Q553" s="6">
        <v>591.25</v>
      </c>
      <c r="R553" t="str">
        <f t="shared" si="24"/>
        <v xml:space="preserve"> The Daniels 5 Star Short Let Apartment in Lekki_x000C_</v>
      </c>
      <c r="S553" t="str">
        <f t="shared" si="25"/>
        <v xml:space="preserve"> The Daniels 5 Star Short Let Apartment in Lekki</v>
      </c>
      <c r="T553">
        <f>Table1[[#This Row],[Adults]]+Table1[[#This Row],[Children]]</f>
        <v>6</v>
      </c>
      <c r="U553">
        <f>_xlfn.DAYS(Table1[[#This Row],[Depart]],Table1[[#This Row],[Arrive]])</f>
        <v>5</v>
      </c>
    </row>
    <row r="554" spans="1:21" x14ac:dyDescent="0.25">
      <c r="A554" t="s">
        <v>747</v>
      </c>
      <c r="B554" t="s">
        <v>748</v>
      </c>
      <c r="C554" t="s">
        <v>1173</v>
      </c>
      <c r="D554" s="1">
        <v>44082</v>
      </c>
      <c r="E554" s="1">
        <v>44084</v>
      </c>
      <c r="F554">
        <f t="shared" si="26"/>
        <v>2</v>
      </c>
      <c r="G554" s="1">
        <v>44071</v>
      </c>
      <c r="H554" s="2">
        <v>0.33333333333333331</v>
      </c>
      <c r="I554" s="3">
        <v>1</v>
      </c>
      <c r="J554" t="s">
        <v>1752</v>
      </c>
      <c r="K554" t="s">
        <v>1752</v>
      </c>
      <c r="L554" t="s">
        <v>26</v>
      </c>
      <c r="M554" s="12" t="s">
        <v>18</v>
      </c>
      <c r="N554">
        <v>1</v>
      </c>
      <c r="O554">
        <v>0</v>
      </c>
      <c r="P554" t="s">
        <v>19</v>
      </c>
      <c r="Q554" s="6">
        <v>212</v>
      </c>
      <c r="R554" t="str">
        <f t="shared" si="24"/>
        <v xml:space="preserve"> The Daniels 5 Star Short Let Apartment in Lekki_x000C_</v>
      </c>
      <c r="S554" t="str">
        <f t="shared" si="25"/>
        <v xml:space="preserve"> The Daniels 5 Star Short Let Apartment in Lekki</v>
      </c>
      <c r="T554">
        <f>Table1[[#This Row],[Adults]]+Table1[[#This Row],[Children]]</f>
        <v>1</v>
      </c>
      <c r="U554">
        <f>_xlfn.DAYS(Table1[[#This Row],[Depart]],Table1[[#This Row],[Arrive]])</f>
        <v>2</v>
      </c>
    </row>
    <row r="555" spans="1:21" x14ac:dyDescent="0.25">
      <c r="A555" t="s">
        <v>755</v>
      </c>
      <c r="B555" t="s">
        <v>756</v>
      </c>
      <c r="C555" t="s">
        <v>1179</v>
      </c>
      <c r="D555" s="1">
        <v>44084</v>
      </c>
      <c r="E555" s="1">
        <v>44087</v>
      </c>
      <c r="F555">
        <f t="shared" si="26"/>
        <v>3</v>
      </c>
      <c r="G555" s="1">
        <v>44083</v>
      </c>
      <c r="H555" s="2">
        <v>0.33333333333333331</v>
      </c>
      <c r="I555" s="3">
        <v>1</v>
      </c>
      <c r="J555" t="s">
        <v>1760</v>
      </c>
      <c r="K555" t="s">
        <v>1760</v>
      </c>
      <c r="L555" t="s">
        <v>22</v>
      </c>
      <c r="M555" s="12" t="s">
        <v>23</v>
      </c>
      <c r="N555">
        <v>6</v>
      </c>
      <c r="O555">
        <v>0</v>
      </c>
      <c r="P555" t="s">
        <v>19</v>
      </c>
      <c r="Q555" s="6">
        <v>354.75</v>
      </c>
      <c r="R555" t="str">
        <f t="shared" si="24"/>
        <v>Phiola's 5 Star Short Let Apartment in Lekki_x000C_</v>
      </c>
      <c r="S555" t="str">
        <f t="shared" si="25"/>
        <v>Phiola's 5 Star Short Let Apartment in Lekki</v>
      </c>
      <c r="T555">
        <f>Table1[[#This Row],[Adults]]+Table1[[#This Row],[Children]]</f>
        <v>6</v>
      </c>
      <c r="U555">
        <f>_xlfn.DAYS(Table1[[#This Row],[Depart]],Table1[[#This Row],[Arrive]])</f>
        <v>3</v>
      </c>
    </row>
    <row r="556" spans="1:21" x14ac:dyDescent="0.25">
      <c r="A556" t="s">
        <v>759</v>
      </c>
      <c r="B556" t="s">
        <v>760</v>
      </c>
      <c r="C556" t="s">
        <v>1178</v>
      </c>
      <c r="D556" s="1">
        <v>44084</v>
      </c>
      <c r="E556" s="1">
        <v>44085</v>
      </c>
      <c r="F556">
        <f t="shared" si="26"/>
        <v>1</v>
      </c>
      <c r="G556" s="1">
        <v>44084</v>
      </c>
      <c r="H556" s="2">
        <v>0.58333333333333337</v>
      </c>
      <c r="I556" s="2">
        <v>0.45833333333333331</v>
      </c>
      <c r="J556" t="s">
        <v>1765</v>
      </c>
      <c r="K556" t="s">
        <v>1765</v>
      </c>
      <c r="L556" t="s">
        <v>22</v>
      </c>
      <c r="M556" s="12" t="s">
        <v>23</v>
      </c>
      <c r="N556">
        <v>4</v>
      </c>
      <c r="O556">
        <v>0</v>
      </c>
      <c r="P556" t="s">
        <v>19</v>
      </c>
      <c r="Q556" s="6">
        <v>118.25</v>
      </c>
      <c r="R556" t="str">
        <f t="shared" si="24"/>
        <v>Ope's 5 Star Short Let Apartment in Lekki_x000C_</v>
      </c>
      <c r="S556" t="str">
        <f t="shared" si="25"/>
        <v>Ope's 5 Star Short Let Apartment in Lekki</v>
      </c>
      <c r="T556">
        <f>Table1[[#This Row],[Adults]]+Table1[[#This Row],[Children]]</f>
        <v>4</v>
      </c>
      <c r="U556">
        <f>_xlfn.DAYS(Table1[[#This Row],[Depart]],Table1[[#This Row],[Arrive]])</f>
        <v>1</v>
      </c>
    </row>
    <row r="557" spans="1:21" x14ac:dyDescent="0.25">
      <c r="A557" t="s">
        <v>408</v>
      </c>
      <c r="B557" t="s">
        <v>409</v>
      </c>
      <c r="C557" t="s">
        <v>1173</v>
      </c>
      <c r="D557" s="1">
        <v>44085</v>
      </c>
      <c r="E557" s="1">
        <v>44089</v>
      </c>
      <c r="F557">
        <f t="shared" si="26"/>
        <v>4</v>
      </c>
      <c r="G557" s="1">
        <v>44009</v>
      </c>
      <c r="H557" s="2">
        <v>0.33333333333333331</v>
      </c>
      <c r="I557" s="3">
        <v>1</v>
      </c>
      <c r="J557" t="s">
        <v>1467</v>
      </c>
      <c r="K557" t="s">
        <v>1467</v>
      </c>
      <c r="L557" t="s">
        <v>26</v>
      </c>
      <c r="M557" s="12" t="s">
        <v>18</v>
      </c>
      <c r="N557">
        <v>3</v>
      </c>
      <c r="O557">
        <v>0</v>
      </c>
      <c r="P557" t="s">
        <v>19</v>
      </c>
      <c r="Q557" s="6">
        <v>425</v>
      </c>
      <c r="R557" t="str">
        <f t="shared" si="24"/>
        <v xml:space="preserve"> The Daniels 5 Star Short Let Apartment in Lekki_x000C_</v>
      </c>
      <c r="S557" t="str">
        <f t="shared" si="25"/>
        <v xml:space="preserve"> The Daniels 5 Star Short Let Apartment in Lekki</v>
      </c>
      <c r="T557">
        <f>Table1[[#This Row],[Adults]]+Table1[[#This Row],[Children]]</f>
        <v>3</v>
      </c>
      <c r="U557">
        <f>_xlfn.DAYS(Table1[[#This Row],[Depart]],Table1[[#This Row],[Arrive]])</f>
        <v>4</v>
      </c>
    </row>
    <row r="558" spans="1:21" x14ac:dyDescent="0.25">
      <c r="A558" t="s">
        <v>675</v>
      </c>
      <c r="B558" t="s">
        <v>676</v>
      </c>
      <c r="C558" t="s">
        <v>1173</v>
      </c>
      <c r="D558" s="1">
        <v>44085</v>
      </c>
      <c r="E558" s="1">
        <v>44087</v>
      </c>
      <c r="F558">
        <f t="shared" si="26"/>
        <v>2</v>
      </c>
      <c r="G558" s="1">
        <v>44071</v>
      </c>
      <c r="H558" s="2">
        <v>0.33333333333333331</v>
      </c>
      <c r="I558" s="3">
        <v>1</v>
      </c>
      <c r="J558" t="s">
        <v>1679</v>
      </c>
      <c r="K558" t="s">
        <v>1679</v>
      </c>
      <c r="L558" t="s">
        <v>26</v>
      </c>
      <c r="M558" s="12" t="s">
        <v>18</v>
      </c>
      <c r="N558">
        <v>4</v>
      </c>
      <c r="O558">
        <v>0</v>
      </c>
      <c r="P558" t="s">
        <v>19</v>
      </c>
      <c r="Q558" s="6">
        <v>212</v>
      </c>
      <c r="R558" t="str">
        <f t="shared" si="24"/>
        <v xml:space="preserve"> The Daniels 5 Star Short Let Apartment in Lekki_x000C_</v>
      </c>
      <c r="S558" t="str">
        <f t="shared" si="25"/>
        <v xml:space="preserve"> The Daniels 5 Star Short Let Apartment in Lekki</v>
      </c>
      <c r="T558">
        <f>Table1[[#This Row],[Adults]]+Table1[[#This Row],[Children]]</f>
        <v>4</v>
      </c>
      <c r="U558">
        <f>_xlfn.DAYS(Table1[[#This Row],[Depart]],Table1[[#This Row],[Arrive]])</f>
        <v>2</v>
      </c>
    </row>
    <row r="559" spans="1:21" x14ac:dyDescent="0.25">
      <c r="A559" t="s">
        <v>368</v>
      </c>
      <c r="B559" t="s">
        <v>369</v>
      </c>
      <c r="C559" t="s">
        <v>1180</v>
      </c>
      <c r="D559" s="1">
        <v>44085</v>
      </c>
      <c r="E559" s="1">
        <v>44087</v>
      </c>
      <c r="F559">
        <f t="shared" si="26"/>
        <v>2</v>
      </c>
      <c r="G559" s="1">
        <v>44074</v>
      </c>
      <c r="H559" s="2">
        <v>0.58333333333333337</v>
      </c>
      <c r="I559" s="2">
        <v>0.45833333333333331</v>
      </c>
      <c r="J559" t="s">
        <v>1694</v>
      </c>
      <c r="K559" t="s">
        <v>1694</v>
      </c>
      <c r="L559" t="s">
        <v>22</v>
      </c>
      <c r="M559" s="12" t="s">
        <v>23</v>
      </c>
      <c r="N559">
        <v>5</v>
      </c>
      <c r="O559">
        <v>0</v>
      </c>
      <c r="P559" t="s">
        <v>19</v>
      </c>
      <c r="Q559" s="6">
        <v>236.5</v>
      </c>
      <c r="R559" t="str">
        <f t="shared" si="24"/>
        <v>Zoe's 5 Star Short let Apartment in Lekki_x000C_</v>
      </c>
      <c r="S559" t="str">
        <f t="shared" si="25"/>
        <v>Zoe's 5 Star Short let Apartment in Lekki</v>
      </c>
      <c r="T559">
        <f>Table1[[#This Row],[Adults]]+Table1[[#This Row],[Children]]</f>
        <v>5</v>
      </c>
      <c r="U559">
        <f>_xlfn.DAYS(Table1[[#This Row],[Depart]],Table1[[#This Row],[Arrive]])</f>
        <v>2</v>
      </c>
    </row>
    <row r="560" spans="1:21" x14ac:dyDescent="0.25">
      <c r="A560" t="s">
        <v>681</v>
      </c>
      <c r="B560" t="s">
        <v>682</v>
      </c>
      <c r="C560" t="s">
        <v>1179</v>
      </c>
      <c r="D560" s="1">
        <v>44085</v>
      </c>
      <c r="E560" s="1">
        <v>44086</v>
      </c>
      <c r="F560">
        <f t="shared" si="26"/>
        <v>1</v>
      </c>
      <c r="G560" s="1">
        <v>44071</v>
      </c>
      <c r="H560" s="2">
        <v>0.33333333333333331</v>
      </c>
      <c r="I560" s="3">
        <v>1</v>
      </c>
      <c r="J560" t="s">
        <v>1711</v>
      </c>
      <c r="K560" t="s">
        <v>1711</v>
      </c>
      <c r="L560" t="s">
        <v>22</v>
      </c>
      <c r="M560" s="12" t="s">
        <v>18</v>
      </c>
      <c r="N560">
        <v>4</v>
      </c>
      <c r="O560">
        <v>0</v>
      </c>
      <c r="P560" t="s">
        <v>19</v>
      </c>
      <c r="Q560" s="6">
        <v>118.25</v>
      </c>
      <c r="R560" t="str">
        <f t="shared" si="24"/>
        <v>Phiola's 5 Star Short Let Apartment in Lekki_x000C_</v>
      </c>
      <c r="S560" t="str">
        <f t="shared" si="25"/>
        <v>Phiola's 5 Star Short Let Apartment in Lekki</v>
      </c>
      <c r="T560">
        <f>Table1[[#This Row],[Adults]]+Table1[[#This Row],[Children]]</f>
        <v>4</v>
      </c>
      <c r="U560">
        <f>_xlfn.DAYS(Table1[[#This Row],[Depart]],Table1[[#This Row],[Arrive]])</f>
        <v>1</v>
      </c>
    </row>
    <row r="561" spans="1:21" x14ac:dyDescent="0.25">
      <c r="A561" t="s">
        <v>745</v>
      </c>
      <c r="B561" t="s">
        <v>746</v>
      </c>
      <c r="C561" t="s">
        <v>1179</v>
      </c>
      <c r="D561" s="1">
        <v>44085</v>
      </c>
      <c r="E561" s="1">
        <v>44087</v>
      </c>
      <c r="F561">
        <f t="shared" si="26"/>
        <v>2</v>
      </c>
      <c r="G561" s="1">
        <v>44076</v>
      </c>
      <c r="H561" s="2">
        <v>0.33333333333333331</v>
      </c>
      <c r="I561" s="3">
        <v>1</v>
      </c>
      <c r="J561" t="s">
        <v>1751</v>
      </c>
      <c r="K561" t="s">
        <v>1751</v>
      </c>
      <c r="L561" t="s">
        <v>22</v>
      </c>
      <c r="M561" s="12" t="s">
        <v>18</v>
      </c>
      <c r="N561">
        <v>4</v>
      </c>
      <c r="O561">
        <v>0</v>
      </c>
      <c r="P561" t="s">
        <v>19</v>
      </c>
      <c r="Q561" s="6">
        <v>236.5</v>
      </c>
      <c r="R561" t="str">
        <f t="shared" si="24"/>
        <v>Phiola's 5 Star Short Let Apartment in Lekki_x000C_</v>
      </c>
      <c r="S561" t="str">
        <f t="shared" si="25"/>
        <v>Phiola's 5 Star Short Let Apartment in Lekki</v>
      </c>
      <c r="T561">
        <f>Table1[[#This Row],[Adults]]+Table1[[#This Row],[Children]]</f>
        <v>4</v>
      </c>
      <c r="U561">
        <f>_xlfn.DAYS(Table1[[#This Row],[Depart]],Table1[[#This Row],[Arrive]])</f>
        <v>2</v>
      </c>
    </row>
    <row r="562" spans="1:21" x14ac:dyDescent="0.25">
      <c r="A562" t="s">
        <v>775</v>
      </c>
      <c r="B562" t="s">
        <v>776</v>
      </c>
      <c r="C562" t="s">
        <v>1178</v>
      </c>
      <c r="D562" s="1">
        <v>44085</v>
      </c>
      <c r="E562" s="1">
        <v>44087</v>
      </c>
      <c r="F562">
        <f t="shared" si="26"/>
        <v>2</v>
      </c>
      <c r="G562" s="1">
        <v>44044</v>
      </c>
      <c r="H562" s="2">
        <v>0.58333333333333337</v>
      </c>
      <c r="I562" s="2">
        <v>0.45833333333333331</v>
      </c>
      <c r="J562" t="s">
        <v>1774</v>
      </c>
      <c r="K562" t="s">
        <v>1774</v>
      </c>
      <c r="L562" t="s">
        <v>22</v>
      </c>
      <c r="M562" s="12" t="s">
        <v>23</v>
      </c>
      <c r="N562">
        <v>4</v>
      </c>
      <c r="O562">
        <v>0</v>
      </c>
      <c r="P562" t="s">
        <v>19</v>
      </c>
      <c r="Q562" s="6">
        <v>258</v>
      </c>
      <c r="R562" t="str">
        <f t="shared" si="24"/>
        <v>Ope's 5 Star Short Let Apartment in Lekki_x000C_</v>
      </c>
      <c r="S562" t="str">
        <f t="shared" si="25"/>
        <v>Ope's 5 Star Short Let Apartment in Lekki</v>
      </c>
      <c r="T562">
        <f>Table1[[#This Row],[Adults]]+Table1[[#This Row],[Children]]</f>
        <v>4</v>
      </c>
      <c r="U562">
        <f>_xlfn.DAYS(Table1[[#This Row],[Depart]],Table1[[#This Row],[Arrive]])</f>
        <v>2</v>
      </c>
    </row>
    <row r="563" spans="1:21" x14ac:dyDescent="0.25">
      <c r="A563" t="s">
        <v>777</v>
      </c>
      <c r="B563" t="s">
        <v>778</v>
      </c>
      <c r="C563" t="s">
        <v>1175</v>
      </c>
      <c r="D563" s="1">
        <v>44085</v>
      </c>
      <c r="E563" s="1">
        <v>44086</v>
      </c>
      <c r="F563">
        <f t="shared" si="26"/>
        <v>1</v>
      </c>
      <c r="G563" s="1">
        <v>44045</v>
      </c>
      <c r="H563" s="2">
        <v>0.33333333333333331</v>
      </c>
      <c r="I563" s="3">
        <v>1</v>
      </c>
      <c r="J563" t="s">
        <v>1775</v>
      </c>
      <c r="K563" t="s">
        <v>1775</v>
      </c>
      <c r="L563" t="s">
        <v>22</v>
      </c>
      <c r="M563" s="12" t="s">
        <v>23</v>
      </c>
      <c r="N563">
        <v>5</v>
      </c>
      <c r="O563">
        <v>0</v>
      </c>
      <c r="P563" t="s">
        <v>19</v>
      </c>
      <c r="Q563" s="6">
        <v>129</v>
      </c>
      <c r="R563" t="str">
        <f t="shared" si="24"/>
        <v>Keji's 5 Star Short let Apartment in Lekki_x000C_</v>
      </c>
      <c r="S563" t="str">
        <f t="shared" si="25"/>
        <v>Keji's 5 Star Short let Apartment in Lekki</v>
      </c>
      <c r="T563">
        <f>Table1[[#This Row],[Adults]]+Table1[[#This Row],[Children]]</f>
        <v>5</v>
      </c>
      <c r="U563">
        <f>_xlfn.DAYS(Table1[[#This Row],[Depart]],Table1[[#This Row],[Arrive]])</f>
        <v>1</v>
      </c>
    </row>
    <row r="564" spans="1:21" x14ac:dyDescent="0.25">
      <c r="A564" t="s">
        <v>659</v>
      </c>
      <c r="B564" t="s">
        <v>660</v>
      </c>
      <c r="C564" t="s">
        <v>1173</v>
      </c>
      <c r="D564" s="1">
        <v>44086</v>
      </c>
      <c r="E564" s="1">
        <v>44088</v>
      </c>
      <c r="F564">
        <f t="shared" si="26"/>
        <v>2</v>
      </c>
      <c r="G564" s="1">
        <v>44066</v>
      </c>
      <c r="H564" s="2">
        <v>0.33333333333333331</v>
      </c>
      <c r="I564" s="3">
        <v>1</v>
      </c>
      <c r="J564" t="s">
        <v>1668</v>
      </c>
      <c r="K564" t="s">
        <v>1668</v>
      </c>
      <c r="L564" t="s">
        <v>26</v>
      </c>
      <c r="M564" s="12" t="s">
        <v>18</v>
      </c>
      <c r="N564">
        <v>2</v>
      </c>
      <c r="O564">
        <v>0</v>
      </c>
      <c r="P564" t="s">
        <v>19</v>
      </c>
      <c r="Q564" s="6">
        <v>212</v>
      </c>
      <c r="R564" t="str">
        <f t="shared" si="24"/>
        <v xml:space="preserve"> The Daniels 5 Star Short Let Apartment in Lekki_x000C_</v>
      </c>
      <c r="S564" t="str">
        <f t="shared" si="25"/>
        <v xml:space="preserve"> The Daniels 5 Star Short Let Apartment in Lekki</v>
      </c>
      <c r="T564">
        <f>Table1[[#This Row],[Adults]]+Table1[[#This Row],[Children]]</f>
        <v>2</v>
      </c>
      <c r="U564">
        <f>_xlfn.DAYS(Table1[[#This Row],[Depart]],Table1[[#This Row],[Arrive]])</f>
        <v>2</v>
      </c>
    </row>
    <row r="565" spans="1:21" x14ac:dyDescent="0.25">
      <c r="A565" t="s">
        <v>723</v>
      </c>
      <c r="B565" t="s">
        <v>724</v>
      </c>
      <c r="C565" t="s">
        <v>1177</v>
      </c>
      <c r="D565" s="1">
        <v>44086</v>
      </c>
      <c r="E565" s="1">
        <v>44087</v>
      </c>
      <c r="F565">
        <f t="shared" si="26"/>
        <v>1</v>
      </c>
      <c r="G565" s="1">
        <v>44079</v>
      </c>
      <c r="H565" s="2">
        <v>0.45833333333333331</v>
      </c>
      <c r="I565" s="2">
        <v>0.41666666666666669</v>
      </c>
      <c r="J565" t="s">
        <v>1727</v>
      </c>
      <c r="K565" t="s">
        <v>1727</v>
      </c>
      <c r="L565" t="s">
        <v>26</v>
      </c>
      <c r="M565" s="12" t="s">
        <v>18</v>
      </c>
      <c r="N565">
        <v>7</v>
      </c>
      <c r="O565">
        <v>0</v>
      </c>
      <c r="P565" t="s">
        <v>19</v>
      </c>
      <c r="Q565" s="6">
        <v>123</v>
      </c>
      <c r="R565" t="str">
        <f t="shared" si="24"/>
        <v>Achikare 's Luxury Home Away from Home_x000C_</v>
      </c>
      <c r="S565" t="str">
        <f t="shared" si="25"/>
        <v>Achikare 's Luxury Home Away from Home</v>
      </c>
      <c r="T565">
        <f>Table1[[#This Row],[Adults]]+Table1[[#This Row],[Children]]</f>
        <v>7</v>
      </c>
      <c r="U565">
        <f>_xlfn.DAYS(Table1[[#This Row],[Depart]],Table1[[#This Row],[Arrive]])</f>
        <v>1</v>
      </c>
    </row>
    <row r="566" spans="1:21" x14ac:dyDescent="0.25">
      <c r="A566" t="s">
        <v>130</v>
      </c>
      <c r="B566" t="s">
        <v>131</v>
      </c>
      <c r="C566" t="s">
        <v>1176</v>
      </c>
      <c r="D566" s="1">
        <v>44087</v>
      </c>
      <c r="E566" s="1">
        <v>44092</v>
      </c>
      <c r="F566">
        <f t="shared" si="26"/>
        <v>5</v>
      </c>
      <c r="G566" s="1">
        <v>44047</v>
      </c>
      <c r="H566" s="2">
        <v>0.58333333333333337</v>
      </c>
      <c r="I566" s="2">
        <v>0.45833333333333331</v>
      </c>
      <c r="J566" t="s">
        <v>1593</v>
      </c>
      <c r="K566" t="s">
        <v>1593</v>
      </c>
      <c r="L566" t="s">
        <v>22</v>
      </c>
      <c r="M566" s="12" t="s">
        <v>18</v>
      </c>
      <c r="N566">
        <v>5</v>
      </c>
      <c r="O566">
        <v>0</v>
      </c>
      <c r="P566" t="s">
        <v>19</v>
      </c>
      <c r="Q566" s="6">
        <v>750</v>
      </c>
      <c r="R566" t="str">
        <f t="shared" si="24"/>
        <v>Tiara's Luxury Home Away From Home_x000C_</v>
      </c>
      <c r="S566" t="str">
        <f t="shared" si="25"/>
        <v>Tiara's Luxury Home Away From Home</v>
      </c>
      <c r="T566">
        <f>Table1[[#This Row],[Adults]]+Table1[[#This Row],[Children]]</f>
        <v>5</v>
      </c>
      <c r="U566">
        <f>_xlfn.DAYS(Table1[[#This Row],[Depart]],Table1[[#This Row],[Arrive]])</f>
        <v>5</v>
      </c>
    </row>
    <row r="567" spans="1:21" x14ac:dyDescent="0.25">
      <c r="A567" t="s">
        <v>699</v>
      </c>
      <c r="B567" t="s">
        <v>700</v>
      </c>
      <c r="C567" t="s">
        <v>1173</v>
      </c>
      <c r="D567" s="1">
        <v>44087</v>
      </c>
      <c r="E567" s="1">
        <v>44089</v>
      </c>
      <c r="F567">
        <f t="shared" si="26"/>
        <v>2</v>
      </c>
      <c r="G567" s="1">
        <v>44075</v>
      </c>
      <c r="H567" s="2">
        <v>0.33333333333333331</v>
      </c>
      <c r="I567" s="3">
        <v>1</v>
      </c>
      <c r="J567" t="s">
        <v>1708</v>
      </c>
      <c r="K567" t="s">
        <v>1708</v>
      </c>
      <c r="L567" t="s">
        <v>26</v>
      </c>
      <c r="M567" s="12" t="s">
        <v>18</v>
      </c>
      <c r="N567">
        <v>5</v>
      </c>
      <c r="O567">
        <v>0</v>
      </c>
      <c r="P567" t="s">
        <v>19</v>
      </c>
      <c r="Q567" s="6">
        <v>213</v>
      </c>
      <c r="R567" t="str">
        <f t="shared" si="24"/>
        <v xml:space="preserve"> The Daniels 5 Star Short Let Apartment in Lekki_x000C_</v>
      </c>
      <c r="S567" t="str">
        <f t="shared" si="25"/>
        <v xml:space="preserve"> The Daniels 5 Star Short Let Apartment in Lekki</v>
      </c>
      <c r="T567">
        <f>Table1[[#This Row],[Adults]]+Table1[[#This Row],[Children]]</f>
        <v>5</v>
      </c>
      <c r="U567">
        <f>_xlfn.DAYS(Table1[[#This Row],[Depart]],Table1[[#This Row],[Arrive]])</f>
        <v>2</v>
      </c>
    </row>
    <row r="568" spans="1:21" x14ac:dyDescent="0.25">
      <c r="A568" t="s">
        <v>296</v>
      </c>
      <c r="B568" t="s">
        <v>297</v>
      </c>
      <c r="C568" t="s">
        <v>1175</v>
      </c>
      <c r="D568" s="1">
        <v>44087</v>
      </c>
      <c r="E568" s="1">
        <v>44089</v>
      </c>
      <c r="F568">
        <f t="shared" si="26"/>
        <v>2</v>
      </c>
      <c r="G568" s="1">
        <v>44063</v>
      </c>
      <c r="H568" s="2">
        <v>0.33333333333333331</v>
      </c>
      <c r="I568" s="3">
        <v>1</v>
      </c>
      <c r="J568" t="s">
        <v>1728</v>
      </c>
      <c r="K568" t="s">
        <v>1728</v>
      </c>
      <c r="L568" t="s">
        <v>22</v>
      </c>
      <c r="M568" s="12" t="s">
        <v>23</v>
      </c>
      <c r="N568">
        <v>6</v>
      </c>
      <c r="O568">
        <v>0</v>
      </c>
      <c r="P568" t="s">
        <v>19</v>
      </c>
      <c r="Q568" s="6">
        <v>236.5</v>
      </c>
      <c r="R568" t="str">
        <f t="shared" si="24"/>
        <v>Keji's 5 Star Short let Apartment in Lekki_x000C_</v>
      </c>
      <c r="S568" t="str">
        <f t="shared" si="25"/>
        <v>Keji's 5 Star Short let Apartment in Lekki</v>
      </c>
      <c r="T568">
        <f>Table1[[#This Row],[Adults]]+Table1[[#This Row],[Children]]</f>
        <v>6</v>
      </c>
      <c r="U568">
        <f>_xlfn.DAYS(Table1[[#This Row],[Depart]],Table1[[#This Row],[Arrive]])</f>
        <v>2</v>
      </c>
    </row>
    <row r="569" spans="1:21" x14ac:dyDescent="0.25">
      <c r="A569" t="s">
        <v>733</v>
      </c>
      <c r="B569" t="s">
        <v>734</v>
      </c>
      <c r="C569" t="s">
        <v>1173</v>
      </c>
      <c r="D569" s="1">
        <v>44087</v>
      </c>
      <c r="E569" s="1">
        <v>44090</v>
      </c>
      <c r="F569">
        <f t="shared" si="26"/>
        <v>3</v>
      </c>
      <c r="G569" s="1">
        <v>44079</v>
      </c>
      <c r="H569" s="2">
        <v>0.33333333333333331</v>
      </c>
      <c r="I569" s="3">
        <v>1</v>
      </c>
      <c r="J569" t="s">
        <v>1744</v>
      </c>
      <c r="K569" t="s">
        <v>1744</v>
      </c>
      <c r="L569" t="s">
        <v>22</v>
      </c>
      <c r="M569" s="12" t="s">
        <v>23</v>
      </c>
      <c r="N569">
        <v>4</v>
      </c>
      <c r="O569">
        <v>0</v>
      </c>
      <c r="P569" t="s">
        <v>19</v>
      </c>
      <c r="Q569" s="6">
        <v>354.75</v>
      </c>
      <c r="R569" t="str">
        <f t="shared" si="24"/>
        <v xml:space="preserve"> The Daniels 5 Star Short Let Apartment in Lekki_x000C_</v>
      </c>
      <c r="S569" t="str">
        <f t="shared" si="25"/>
        <v xml:space="preserve"> The Daniels 5 Star Short Let Apartment in Lekki</v>
      </c>
      <c r="T569">
        <f>Table1[[#This Row],[Adults]]+Table1[[#This Row],[Children]]</f>
        <v>4</v>
      </c>
      <c r="U569">
        <f>_xlfn.DAYS(Table1[[#This Row],[Depart]],Table1[[#This Row],[Arrive]])</f>
        <v>3</v>
      </c>
    </row>
    <row r="570" spans="1:21" x14ac:dyDescent="0.25">
      <c r="A570" t="s">
        <v>755</v>
      </c>
      <c r="B570" t="s">
        <v>756</v>
      </c>
      <c r="C570" t="s">
        <v>1180</v>
      </c>
      <c r="D570" s="1">
        <v>44087</v>
      </c>
      <c r="E570" s="1">
        <v>44088</v>
      </c>
      <c r="F570">
        <f t="shared" si="26"/>
        <v>1</v>
      </c>
      <c r="G570" s="1">
        <v>44083</v>
      </c>
      <c r="H570" s="2">
        <v>0.58333333333333337</v>
      </c>
      <c r="I570" s="2">
        <v>0.45833333333333331</v>
      </c>
      <c r="J570" t="s">
        <v>1761</v>
      </c>
      <c r="K570" t="s">
        <v>1761</v>
      </c>
      <c r="L570" t="s">
        <v>22</v>
      </c>
      <c r="M570" s="12" t="s">
        <v>23</v>
      </c>
      <c r="N570">
        <v>4</v>
      </c>
      <c r="O570">
        <v>0</v>
      </c>
      <c r="P570" t="s">
        <v>19</v>
      </c>
      <c r="Q570" s="6">
        <v>118.25</v>
      </c>
      <c r="R570" t="str">
        <f t="shared" si="24"/>
        <v>Zoe's 5 Star Short let Apartment in Lekki_x000C_</v>
      </c>
      <c r="S570" t="str">
        <f t="shared" si="25"/>
        <v>Zoe's 5 Star Short let Apartment in Lekki</v>
      </c>
      <c r="T570">
        <f>Table1[[#This Row],[Adults]]+Table1[[#This Row],[Children]]</f>
        <v>4</v>
      </c>
      <c r="U570">
        <f>_xlfn.DAYS(Table1[[#This Row],[Depart]],Table1[[#This Row],[Arrive]])</f>
        <v>1</v>
      </c>
    </row>
    <row r="571" spans="1:21" x14ac:dyDescent="0.25">
      <c r="A571" t="s">
        <v>502</v>
      </c>
      <c r="B571" t="s">
        <v>503</v>
      </c>
      <c r="C571" t="s">
        <v>1179</v>
      </c>
      <c r="D571" s="1">
        <v>44088</v>
      </c>
      <c r="E571" s="1">
        <v>44095</v>
      </c>
      <c r="F571">
        <f t="shared" si="26"/>
        <v>7</v>
      </c>
      <c r="G571" s="1">
        <v>44063</v>
      </c>
      <c r="H571" s="2">
        <v>0.33333333333333331</v>
      </c>
      <c r="I571" s="3">
        <v>1</v>
      </c>
      <c r="J571" t="s">
        <v>1655</v>
      </c>
      <c r="K571" t="s">
        <v>1655</v>
      </c>
      <c r="L571" t="s">
        <v>26</v>
      </c>
      <c r="M571" s="12" t="s">
        <v>18</v>
      </c>
      <c r="N571">
        <v>5</v>
      </c>
      <c r="O571">
        <v>0</v>
      </c>
      <c r="P571" t="s">
        <v>19</v>
      </c>
      <c r="Q571" s="6">
        <v>745</v>
      </c>
      <c r="R571" t="str">
        <f t="shared" si="24"/>
        <v>Phiola's 5 Star Short Let Apartment in Lekki_x000C_</v>
      </c>
      <c r="S571" t="str">
        <f t="shared" si="25"/>
        <v>Phiola's 5 Star Short Let Apartment in Lekki</v>
      </c>
      <c r="T571">
        <f>Table1[[#This Row],[Adults]]+Table1[[#This Row],[Children]]</f>
        <v>5</v>
      </c>
      <c r="U571">
        <f>_xlfn.DAYS(Table1[[#This Row],[Depart]],Table1[[#This Row],[Arrive]])</f>
        <v>7</v>
      </c>
    </row>
    <row r="572" spans="1:21" x14ac:dyDescent="0.25">
      <c r="A572" t="s">
        <v>701</v>
      </c>
      <c r="B572" t="s">
        <v>702</v>
      </c>
      <c r="C572" t="s">
        <v>1178</v>
      </c>
      <c r="D572" s="1">
        <v>44088</v>
      </c>
      <c r="E572" s="1">
        <v>44089</v>
      </c>
      <c r="F572">
        <f t="shared" si="26"/>
        <v>1</v>
      </c>
      <c r="G572" s="1">
        <v>44075</v>
      </c>
      <c r="H572" s="2">
        <v>0.58333333333333337</v>
      </c>
      <c r="I572" s="2">
        <v>0.45833333333333331</v>
      </c>
      <c r="J572" t="s">
        <v>1710</v>
      </c>
      <c r="K572" t="s">
        <v>1710</v>
      </c>
      <c r="L572" t="s">
        <v>22</v>
      </c>
      <c r="M572" s="12" t="s">
        <v>18</v>
      </c>
      <c r="N572">
        <v>6</v>
      </c>
      <c r="O572">
        <v>0</v>
      </c>
      <c r="P572" t="s">
        <v>19</v>
      </c>
      <c r="Q572" s="6">
        <v>118.25</v>
      </c>
      <c r="R572" t="str">
        <f t="shared" si="24"/>
        <v>Ope's 5 Star Short Let Apartment in Lekki_x000C_</v>
      </c>
      <c r="S572" t="str">
        <f t="shared" si="25"/>
        <v>Ope's 5 Star Short Let Apartment in Lekki</v>
      </c>
      <c r="T572">
        <f>Table1[[#This Row],[Adults]]+Table1[[#This Row],[Children]]</f>
        <v>6</v>
      </c>
      <c r="U572">
        <f>_xlfn.DAYS(Table1[[#This Row],[Depart]],Table1[[#This Row],[Arrive]])</f>
        <v>1</v>
      </c>
    </row>
    <row r="573" spans="1:21" x14ac:dyDescent="0.25">
      <c r="A573" t="s">
        <v>773</v>
      </c>
      <c r="B573" t="s">
        <v>774</v>
      </c>
      <c r="C573" t="s">
        <v>1180</v>
      </c>
      <c r="D573" s="1">
        <v>44088</v>
      </c>
      <c r="E573" s="1">
        <v>44089</v>
      </c>
      <c r="F573">
        <f t="shared" si="26"/>
        <v>1</v>
      </c>
      <c r="G573" s="1">
        <v>44086</v>
      </c>
      <c r="H573" s="2">
        <v>0.58333333333333337</v>
      </c>
      <c r="I573" s="2">
        <v>0.45833333333333331</v>
      </c>
      <c r="J573" t="s">
        <v>1772</v>
      </c>
      <c r="K573" t="s">
        <v>1772</v>
      </c>
      <c r="L573" t="s">
        <v>22</v>
      </c>
      <c r="M573" s="12" t="s">
        <v>23</v>
      </c>
      <c r="N573">
        <v>6</v>
      </c>
      <c r="O573">
        <v>0</v>
      </c>
      <c r="P573" t="s">
        <v>19</v>
      </c>
      <c r="Q573" s="6">
        <v>118.25</v>
      </c>
      <c r="R573" t="str">
        <f t="shared" si="24"/>
        <v>Zoe's 5 Star Short let Apartment in Lekki_x000C_</v>
      </c>
      <c r="S573" t="str">
        <f t="shared" si="25"/>
        <v>Zoe's 5 Star Short let Apartment in Lekki</v>
      </c>
      <c r="T573">
        <f>Table1[[#This Row],[Adults]]+Table1[[#This Row],[Children]]</f>
        <v>6</v>
      </c>
      <c r="U573">
        <f>_xlfn.DAYS(Table1[[#This Row],[Depart]],Table1[[#This Row],[Arrive]])</f>
        <v>1</v>
      </c>
    </row>
    <row r="574" spans="1:21" x14ac:dyDescent="0.25">
      <c r="A574" t="s">
        <v>779</v>
      </c>
      <c r="B574" t="s">
        <v>780</v>
      </c>
      <c r="C574" t="s">
        <v>1179</v>
      </c>
      <c r="D574" s="1">
        <v>44088</v>
      </c>
      <c r="E574" s="1">
        <v>44089</v>
      </c>
      <c r="F574">
        <f t="shared" si="26"/>
        <v>1</v>
      </c>
      <c r="G574" s="1">
        <v>44081</v>
      </c>
      <c r="H574" s="2">
        <v>0.33333333333333331</v>
      </c>
      <c r="I574" s="3">
        <v>1</v>
      </c>
      <c r="J574" t="s">
        <v>1777</v>
      </c>
      <c r="K574" t="s">
        <v>1777</v>
      </c>
      <c r="L574" t="s">
        <v>22</v>
      </c>
      <c r="M574" s="12" t="s">
        <v>18</v>
      </c>
      <c r="N574">
        <v>4</v>
      </c>
      <c r="O574">
        <v>0</v>
      </c>
      <c r="P574" t="s">
        <v>19</v>
      </c>
      <c r="Q574" s="6">
        <v>129</v>
      </c>
      <c r="R574" t="str">
        <f t="shared" si="24"/>
        <v>Phiola's 5 Star Short Let Apartment in Lekki_x000C_</v>
      </c>
      <c r="S574" t="str">
        <f t="shared" si="25"/>
        <v>Phiola's 5 Star Short Let Apartment in Lekki</v>
      </c>
      <c r="T574">
        <f>Table1[[#This Row],[Adults]]+Table1[[#This Row],[Children]]</f>
        <v>4</v>
      </c>
      <c r="U574">
        <f>_xlfn.DAYS(Table1[[#This Row],[Depart]],Table1[[#This Row],[Arrive]])</f>
        <v>1</v>
      </c>
    </row>
    <row r="575" spans="1:21" x14ac:dyDescent="0.25">
      <c r="A575" t="s">
        <v>781</v>
      </c>
      <c r="B575" t="s">
        <v>782</v>
      </c>
      <c r="C575" t="s">
        <v>1179</v>
      </c>
      <c r="D575" s="1">
        <v>44088</v>
      </c>
      <c r="E575" s="1">
        <v>44091</v>
      </c>
      <c r="F575">
        <f t="shared" si="26"/>
        <v>3</v>
      </c>
      <c r="G575" s="1">
        <v>44088</v>
      </c>
      <c r="H575" s="2">
        <v>0.33333333333333331</v>
      </c>
      <c r="I575" s="3">
        <v>1</v>
      </c>
      <c r="J575" t="s">
        <v>1778</v>
      </c>
      <c r="K575" t="s">
        <v>1778</v>
      </c>
      <c r="L575" t="s">
        <v>22</v>
      </c>
      <c r="M575" s="12" t="s">
        <v>23</v>
      </c>
      <c r="N575">
        <v>6</v>
      </c>
      <c r="O575">
        <v>0</v>
      </c>
      <c r="P575" t="s">
        <v>19</v>
      </c>
      <c r="Q575" s="6">
        <v>387</v>
      </c>
      <c r="R575" t="str">
        <f t="shared" si="24"/>
        <v>Phiola's 5 Star Short Let Apartment in Lekki_x000C_</v>
      </c>
      <c r="S575" t="str">
        <f t="shared" si="25"/>
        <v>Phiola's 5 Star Short Let Apartment in Lekki</v>
      </c>
      <c r="T575">
        <f>Table1[[#This Row],[Adults]]+Table1[[#This Row],[Children]]</f>
        <v>6</v>
      </c>
      <c r="U575">
        <f>_xlfn.DAYS(Table1[[#This Row],[Depart]],Table1[[#This Row],[Arrive]])</f>
        <v>3</v>
      </c>
    </row>
    <row r="576" spans="1:21" x14ac:dyDescent="0.25">
      <c r="A576" t="s">
        <v>633</v>
      </c>
      <c r="B576" t="s">
        <v>634</v>
      </c>
      <c r="C576" t="s">
        <v>1173</v>
      </c>
      <c r="D576" s="1">
        <v>44089</v>
      </c>
      <c r="E576" s="1">
        <v>44091</v>
      </c>
      <c r="F576">
        <f t="shared" si="26"/>
        <v>2</v>
      </c>
      <c r="G576" s="1">
        <v>44062</v>
      </c>
      <c r="H576" s="2">
        <v>0.33333333333333331</v>
      </c>
      <c r="I576" s="3">
        <v>1</v>
      </c>
      <c r="J576" t="s">
        <v>1652</v>
      </c>
      <c r="K576" t="s">
        <v>1652</v>
      </c>
      <c r="L576" t="s">
        <v>26</v>
      </c>
      <c r="M576" s="12" t="s">
        <v>18</v>
      </c>
      <c r="N576">
        <v>4</v>
      </c>
      <c r="O576">
        <v>0</v>
      </c>
      <c r="P576" t="s">
        <v>19</v>
      </c>
      <c r="Q576" s="6">
        <v>212</v>
      </c>
      <c r="R576" t="str">
        <f t="shared" si="24"/>
        <v xml:space="preserve"> The Daniels 5 Star Short Let Apartment in Lekki_x000C_</v>
      </c>
      <c r="S576" t="str">
        <f t="shared" si="25"/>
        <v xml:space="preserve"> The Daniels 5 Star Short Let Apartment in Lekki</v>
      </c>
      <c r="T576">
        <f>Table1[[#This Row],[Adults]]+Table1[[#This Row],[Children]]</f>
        <v>4</v>
      </c>
      <c r="U576">
        <f>_xlfn.DAYS(Table1[[#This Row],[Depart]],Table1[[#This Row],[Arrive]])</f>
        <v>2</v>
      </c>
    </row>
    <row r="577" spans="1:21" x14ac:dyDescent="0.25">
      <c r="A577" t="s">
        <v>296</v>
      </c>
      <c r="B577" t="s">
        <v>297</v>
      </c>
      <c r="C577" t="s">
        <v>1175</v>
      </c>
      <c r="D577" s="1">
        <v>44089</v>
      </c>
      <c r="E577" s="1">
        <v>44092</v>
      </c>
      <c r="F577">
        <f t="shared" si="26"/>
        <v>3</v>
      </c>
      <c r="G577" s="1">
        <v>44063</v>
      </c>
      <c r="H577" s="2">
        <v>0.33333333333333331</v>
      </c>
      <c r="I577" s="3">
        <v>1</v>
      </c>
      <c r="J577" t="s">
        <v>1653</v>
      </c>
      <c r="K577" t="s">
        <v>1653</v>
      </c>
      <c r="L577" t="s">
        <v>22</v>
      </c>
      <c r="M577" s="12" t="s">
        <v>23</v>
      </c>
      <c r="N577">
        <v>5</v>
      </c>
      <c r="O577">
        <v>0</v>
      </c>
      <c r="P577" t="s">
        <v>19</v>
      </c>
      <c r="Q577" s="6">
        <v>330</v>
      </c>
      <c r="R577" t="str">
        <f t="shared" si="24"/>
        <v>Keji's 5 Star Short let Apartment in Lekki_x000C_</v>
      </c>
      <c r="S577" t="str">
        <f t="shared" si="25"/>
        <v>Keji's 5 Star Short let Apartment in Lekki</v>
      </c>
      <c r="T577">
        <f>Table1[[#This Row],[Adults]]+Table1[[#This Row],[Children]]</f>
        <v>5</v>
      </c>
      <c r="U577">
        <f>_xlfn.DAYS(Table1[[#This Row],[Depart]],Table1[[#This Row],[Arrive]])</f>
        <v>3</v>
      </c>
    </row>
    <row r="578" spans="1:21" x14ac:dyDescent="0.25">
      <c r="A578" t="s">
        <v>296</v>
      </c>
      <c r="B578" t="s">
        <v>297</v>
      </c>
      <c r="C578" t="s">
        <v>1180</v>
      </c>
      <c r="D578" s="1">
        <v>44089</v>
      </c>
      <c r="E578" s="1">
        <v>44091</v>
      </c>
      <c r="F578">
        <f t="shared" si="26"/>
        <v>2</v>
      </c>
      <c r="G578" s="1">
        <v>44088</v>
      </c>
      <c r="H578" s="2">
        <v>0.58333333333333337</v>
      </c>
      <c r="I578" s="2">
        <v>0.45833333333333331</v>
      </c>
      <c r="J578" t="s">
        <v>1779</v>
      </c>
      <c r="K578" t="s">
        <v>1779</v>
      </c>
      <c r="L578" t="s">
        <v>22</v>
      </c>
      <c r="M578" s="12" t="s">
        <v>23</v>
      </c>
      <c r="N578">
        <v>4</v>
      </c>
      <c r="O578">
        <v>0</v>
      </c>
      <c r="P578" t="s">
        <v>19</v>
      </c>
      <c r="Q578" s="6">
        <v>258</v>
      </c>
      <c r="R578" t="str">
        <f t="shared" ref="R578:R641" si="27">SUBSTITUTE(C:C,"?","'")</f>
        <v>Zoe's 5 Star Short let Apartment in Lekki_x000C_</v>
      </c>
      <c r="S578" t="str">
        <f t="shared" ref="S578:S641" si="28">CLEAN(R:R)</f>
        <v>Zoe's 5 Star Short let Apartment in Lekki</v>
      </c>
      <c r="T578">
        <f>Table1[[#This Row],[Adults]]+Table1[[#This Row],[Children]]</f>
        <v>4</v>
      </c>
      <c r="U578">
        <f>_xlfn.DAYS(Table1[[#This Row],[Depart]],Table1[[#This Row],[Arrive]])</f>
        <v>2</v>
      </c>
    </row>
    <row r="579" spans="1:21" x14ac:dyDescent="0.25">
      <c r="A579" t="s">
        <v>783</v>
      </c>
      <c r="B579" t="s">
        <v>784</v>
      </c>
      <c r="C579" t="s">
        <v>1178</v>
      </c>
      <c r="D579" s="1">
        <v>44089</v>
      </c>
      <c r="E579" s="1">
        <v>44090</v>
      </c>
      <c r="F579">
        <f t="shared" ref="F579:F642" si="29">_xlfn.DAYS(E579,D579)</f>
        <v>1</v>
      </c>
      <c r="G579" s="1">
        <v>44088</v>
      </c>
      <c r="H579" s="2">
        <v>0.58333333333333337</v>
      </c>
      <c r="I579" s="2">
        <v>0.45833333333333331</v>
      </c>
      <c r="J579" t="s">
        <v>1780</v>
      </c>
      <c r="K579" t="s">
        <v>1780</v>
      </c>
      <c r="L579" t="s">
        <v>22</v>
      </c>
      <c r="M579" s="12" t="s">
        <v>23</v>
      </c>
      <c r="N579">
        <v>4</v>
      </c>
      <c r="O579">
        <v>0</v>
      </c>
      <c r="P579" t="s">
        <v>19</v>
      </c>
      <c r="Q579" s="6">
        <v>129</v>
      </c>
      <c r="R579" t="str">
        <f t="shared" si="27"/>
        <v>Ope's 5 Star Short Let Apartment in Lekki_x000C_</v>
      </c>
      <c r="S579" t="str">
        <f t="shared" si="28"/>
        <v>Ope's 5 Star Short Let Apartment in Lekki</v>
      </c>
      <c r="T579">
        <f>Table1[[#This Row],[Adults]]+Table1[[#This Row],[Children]]</f>
        <v>4</v>
      </c>
      <c r="U579">
        <f>_xlfn.DAYS(Table1[[#This Row],[Depart]],Table1[[#This Row],[Arrive]])</f>
        <v>1</v>
      </c>
    </row>
    <row r="580" spans="1:21" x14ac:dyDescent="0.25">
      <c r="A580" t="s">
        <v>683</v>
      </c>
      <c r="B580" t="s">
        <v>684</v>
      </c>
      <c r="C580" t="s">
        <v>1173</v>
      </c>
      <c r="D580" s="1">
        <v>44090</v>
      </c>
      <c r="E580" s="1">
        <v>44092</v>
      </c>
      <c r="F580">
        <f t="shared" si="29"/>
        <v>2</v>
      </c>
      <c r="G580" s="1">
        <v>44072</v>
      </c>
      <c r="H580" s="2">
        <v>0.33333333333333331</v>
      </c>
      <c r="I580" s="3">
        <v>1</v>
      </c>
      <c r="J580" t="s">
        <v>1688</v>
      </c>
      <c r="K580" t="s">
        <v>1688</v>
      </c>
      <c r="L580" t="s">
        <v>26</v>
      </c>
      <c r="M580" s="12" t="s">
        <v>18</v>
      </c>
      <c r="N580">
        <v>1</v>
      </c>
      <c r="O580">
        <v>0</v>
      </c>
      <c r="P580" t="s">
        <v>19</v>
      </c>
      <c r="Q580" s="6">
        <v>212</v>
      </c>
      <c r="R580" t="str">
        <f t="shared" si="27"/>
        <v xml:space="preserve"> The Daniels 5 Star Short Let Apartment in Lekki_x000C_</v>
      </c>
      <c r="S580" t="str">
        <f t="shared" si="28"/>
        <v xml:space="preserve"> The Daniels 5 Star Short Let Apartment in Lekki</v>
      </c>
      <c r="T580">
        <f>Table1[[#This Row],[Adults]]+Table1[[#This Row],[Children]]</f>
        <v>1</v>
      </c>
      <c r="U580">
        <f>_xlfn.DAYS(Table1[[#This Row],[Depart]],Table1[[#This Row],[Arrive]])</f>
        <v>2</v>
      </c>
    </row>
    <row r="581" spans="1:21" x14ac:dyDescent="0.25">
      <c r="A581" t="s">
        <v>749</v>
      </c>
      <c r="B581" t="s">
        <v>750</v>
      </c>
      <c r="C581" t="s">
        <v>1173</v>
      </c>
      <c r="D581" s="1">
        <v>44090</v>
      </c>
      <c r="E581" s="1">
        <v>44092</v>
      </c>
      <c r="F581">
        <f t="shared" si="29"/>
        <v>2</v>
      </c>
      <c r="G581" s="1">
        <v>44082</v>
      </c>
      <c r="H581" s="2">
        <v>0.33333333333333331</v>
      </c>
      <c r="I581" s="3">
        <v>1</v>
      </c>
      <c r="J581" t="s">
        <v>1753</v>
      </c>
      <c r="K581" t="s">
        <v>1753</v>
      </c>
      <c r="L581" t="s">
        <v>22</v>
      </c>
      <c r="M581" s="12" t="s">
        <v>23</v>
      </c>
      <c r="N581">
        <v>4</v>
      </c>
      <c r="O581">
        <v>0</v>
      </c>
      <c r="P581" t="s">
        <v>19</v>
      </c>
      <c r="Q581" s="6">
        <v>236.5</v>
      </c>
      <c r="R581" t="str">
        <f t="shared" si="27"/>
        <v xml:space="preserve"> The Daniels 5 Star Short Let Apartment in Lekki_x000C_</v>
      </c>
      <c r="S581" t="str">
        <f t="shared" si="28"/>
        <v xml:space="preserve"> The Daniels 5 Star Short Let Apartment in Lekki</v>
      </c>
      <c r="T581">
        <f>Table1[[#This Row],[Adults]]+Table1[[#This Row],[Children]]</f>
        <v>4</v>
      </c>
      <c r="U581">
        <f>_xlfn.DAYS(Table1[[#This Row],[Depart]],Table1[[#This Row],[Arrive]])</f>
        <v>2</v>
      </c>
    </row>
    <row r="582" spans="1:21" x14ac:dyDescent="0.25">
      <c r="A582" t="s">
        <v>789</v>
      </c>
      <c r="B582" t="s">
        <v>790</v>
      </c>
      <c r="C582" t="s">
        <v>1178</v>
      </c>
      <c r="D582" s="1">
        <v>44090</v>
      </c>
      <c r="E582" s="1">
        <v>44091</v>
      </c>
      <c r="F582">
        <f t="shared" si="29"/>
        <v>1</v>
      </c>
      <c r="G582" s="1">
        <v>44089</v>
      </c>
      <c r="H582" s="2">
        <v>0.58333333333333337</v>
      </c>
      <c r="I582" s="2">
        <v>0.45833333333333331</v>
      </c>
      <c r="J582" t="s">
        <v>1786</v>
      </c>
      <c r="K582" t="s">
        <v>1786</v>
      </c>
      <c r="L582" t="s">
        <v>22</v>
      </c>
      <c r="M582" s="12" t="s">
        <v>23</v>
      </c>
      <c r="N582">
        <v>6</v>
      </c>
      <c r="O582">
        <v>0</v>
      </c>
      <c r="P582" t="s">
        <v>19</v>
      </c>
      <c r="Q582" s="6">
        <v>129</v>
      </c>
      <c r="R582" t="str">
        <f t="shared" si="27"/>
        <v>Ope's 5 Star Short Let Apartment in Lekki_x000C_</v>
      </c>
      <c r="S582" t="str">
        <f t="shared" si="28"/>
        <v>Ope's 5 Star Short Let Apartment in Lekki</v>
      </c>
      <c r="T582">
        <f>Table1[[#This Row],[Adults]]+Table1[[#This Row],[Children]]</f>
        <v>6</v>
      </c>
      <c r="U582">
        <f>_xlfn.DAYS(Table1[[#This Row],[Depart]],Table1[[#This Row],[Arrive]])</f>
        <v>1</v>
      </c>
    </row>
    <row r="583" spans="1:21" x14ac:dyDescent="0.25">
      <c r="A583" t="s">
        <v>767</v>
      </c>
      <c r="B583" t="s">
        <v>768</v>
      </c>
      <c r="C583" t="s">
        <v>1178</v>
      </c>
      <c r="D583" s="1">
        <v>44091</v>
      </c>
      <c r="E583" s="1">
        <v>44092</v>
      </c>
      <c r="F583">
        <f t="shared" si="29"/>
        <v>1</v>
      </c>
      <c r="G583" s="1">
        <v>44085</v>
      </c>
      <c r="H583" s="2">
        <v>0.58333333333333337</v>
      </c>
      <c r="I583" s="2">
        <v>0.45833333333333331</v>
      </c>
      <c r="J583" t="s">
        <v>1769</v>
      </c>
      <c r="K583" t="s">
        <v>1769</v>
      </c>
      <c r="L583" t="s">
        <v>22</v>
      </c>
      <c r="M583" s="12" t="s">
        <v>23</v>
      </c>
      <c r="N583">
        <v>4</v>
      </c>
      <c r="O583">
        <v>0</v>
      </c>
      <c r="P583" t="s">
        <v>19</v>
      </c>
      <c r="Q583" s="6">
        <v>118.25</v>
      </c>
      <c r="R583" t="str">
        <f t="shared" si="27"/>
        <v>Ope's 5 Star Short Let Apartment in Lekki_x000C_</v>
      </c>
      <c r="S583" t="str">
        <f t="shared" si="28"/>
        <v>Ope's 5 Star Short Let Apartment in Lekki</v>
      </c>
      <c r="T583">
        <f>Table1[[#This Row],[Adults]]+Table1[[#This Row],[Children]]</f>
        <v>4</v>
      </c>
      <c r="U583">
        <f>_xlfn.DAYS(Table1[[#This Row],[Depart]],Table1[[#This Row],[Arrive]])</f>
        <v>1</v>
      </c>
    </row>
    <row r="584" spans="1:21" x14ac:dyDescent="0.25">
      <c r="A584" t="s">
        <v>785</v>
      </c>
      <c r="B584" t="s">
        <v>786</v>
      </c>
      <c r="C584" t="s">
        <v>1179</v>
      </c>
      <c r="D584" s="1">
        <v>44091</v>
      </c>
      <c r="E584" s="1">
        <v>44092</v>
      </c>
      <c r="F584">
        <f t="shared" si="29"/>
        <v>1</v>
      </c>
      <c r="G584" s="1">
        <v>44088</v>
      </c>
      <c r="H584" s="2">
        <v>0.33333333333333331</v>
      </c>
      <c r="I584" s="3">
        <v>1</v>
      </c>
      <c r="J584" t="s">
        <v>1781</v>
      </c>
      <c r="K584" t="s">
        <v>1781</v>
      </c>
      <c r="L584" t="s">
        <v>22</v>
      </c>
      <c r="M584" s="12" t="s">
        <v>23</v>
      </c>
      <c r="N584">
        <v>5</v>
      </c>
      <c r="O584">
        <v>0</v>
      </c>
      <c r="P584" t="s">
        <v>19</v>
      </c>
      <c r="Q584" s="6">
        <v>129</v>
      </c>
      <c r="R584" t="str">
        <f t="shared" si="27"/>
        <v>Phiola's 5 Star Short Let Apartment in Lekki_x000C_</v>
      </c>
      <c r="S584" t="str">
        <f t="shared" si="28"/>
        <v>Phiola's 5 Star Short Let Apartment in Lekki</v>
      </c>
      <c r="T584">
        <f>Table1[[#This Row],[Adults]]+Table1[[#This Row],[Children]]</f>
        <v>5</v>
      </c>
      <c r="U584">
        <f>_xlfn.DAYS(Table1[[#This Row],[Depart]],Table1[[#This Row],[Arrive]])</f>
        <v>1</v>
      </c>
    </row>
    <row r="585" spans="1:21" x14ac:dyDescent="0.25">
      <c r="A585" t="s">
        <v>130</v>
      </c>
      <c r="B585" t="s">
        <v>131</v>
      </c>
      <c r="C585" t="s">
        <v>1180</v>
      </c>
      <c r="D585" s="1">
        <v>44091</v>
      </c>
      <c r="E585" s="1">
        <v>44098</v>
      </c>
      <c r="F585">
        <f t="shared" si="29"/>
        <v>7</v>
      </c>
      <c r="G585" s="1">
        <v>44045</v>
      </c>
      <c r="H585" s="2">
        <v>0.58333333333333337</v>
      </c>
      <c r="I585" s="2">
        <v>0.45833333333333331</v>
      </c>
      <c r="J585" t="s">
        <v>1785</v>
      </c>
      <c r="K585" t="s">
        <v>1785</v>
      </c>
      <c r="L585" t="s">
        <v>22</v>
      </c>
      <c r="M585" s="12" t="s">
        <v>23</v>
      </c>
      <c r="N585">
        <v>5</v>
      </c>
      <c r="O585">
        <v>0</v>
      </c>
      <c r="P585" t="s">
        <v>19</v>
      </c>
      <c r="Q585" s="6">
        <v>903</v>
      </c>
      <c r="R585" t="str">
        <f t="shared" si="27"/>
        <v>Zoe's 5 Star Short let Apartment in Lekki_x000C_</v>
      </c>
      <c r="S585" t="str">
        <f t="shared" si="28"/>
        <v>Zoe's 5 Star Short let Apartment in Lekki</v>
      </c>
      <c r="T585">
        <f>Table1[[#This Row],[Adults]]+Table1[[#This Row],[Children]]</f>
        <v>5</v>
      </c>
      <c r="U585">
        <f>_xlfn.DAYS(Table1[[#This Row],[Depart]],Table1[[#This Row],[Arrive]])</f>
        <v>7</v>
      </c>
    </row>
    <row r="586" spans="1:21" x14ac:dyDescent="0.25">
      <c r="A586" t="s">
        <v>567</v>
      </c>
      <c r="B586" t="s">
        <v>568</v>
      </c>
      <c r="C586" t="s">
        <v>1175</v>
      </c>
      <c r="D586" s="1">
        <v>44092</v>
      </c>
      <c r="E586" s="1">
        <v>44095</v>
      </c>
      <c r="F586">
        <f t="shared" si="29"/>
        <v>3</v>
      </c>
      <c r="G586" s="1">
        <v>44049</v>
      </c>
      <c r="H586" s="2">
        <v>0.33333333333333331</v>
      </c>
      <c r="I586" s="3">
        <v>1</v>
      </c>
      <c r="J586" t="s">
        <v>1595</v>
      </c>
      <c r="K586" t="s">
        <v>1595</v>
      </c>
      <c r="L586" t="s">
        <v>22</v>
      </c>
      <c r="M586" s="12" t="s">
        <v>23</v>
      </c>
      <c r="N586">
        <v>2</v>
      </c>
      <c r="O586">
        <v>0</v>
      </c>
      <c r="P586" t="s">
        <v>19</v>
      </c>
      <c r="Q586" s="6">
        <v>110</v>
      </c>
      <c r="R586" t="str">
        <f t="shared" si="27"/>
        <v>Keji's 5 Star Short let Apartment in Lekki_x000C_</v>
      </c>
      <c r="S586" t="str">
        <f t="shared" si="28"/>
        <v>Keji's 5 Star Short let Apartment in Lekki</v>
      </c>
      <c r="T586">
        <f>Table1[[#This Row],[Adults]]+Table1[[#This Row],[Children]]</f>
        <v>2</v>
      </c>
      <c r="U586">
        <f>_xlfn.DAYS(Table1[[#This Row],[Depart]],Table1[[#This Row],[Arrive]])</f>
        <v>3</v>
      </c>
    </row>
    <row r="587" spans="1:21" x14ac:dyDescent="0.25">
      <c r="A587" t="s">
        <v>609</v>
      </c>
      <c r="B587" t="s">
        <v>610</v>
      </c>
      <c r="C587" t="s">
        <v>1173</v>
      </c>
      <c r="D587" s="1">
        <v>44092</v>
      </c>
      <c r="E587" s="1">
        <v>44094</v>
      </c>
      <c r="F587">
        <f t="shared" si="29"/>
        <v>2</v>
      </c>
      <c r="G587" s="1">
        <v>44056</v>
      </c>
      <c r="H587" s="2">
        <v>0.33333333333333331</v>
      </c>
      <c r="I587" s="3">
        <v>1</v>
      </c>
      <c r="J587" t="s">
        <v>1632</v>
      </c>
      <c r="K587" t="s">
        <v>1632</v>
      </c>
      <c r="L587" t="s">
        <v>22</v>
      </c>
      <c r="M587" s="12" t="s">
        <v>23</v>
      </c>
      <c r="N587">
        <v>6</v>
      </c>
      <c r="O587">
        <v>0</v>
      </c>
      <c r="P587" t="s">
        <v>19</v>
      </c>
      <c r="Q587" s="6">
        <v>110</v>
      </c>
      <c r="R587" t="str">
        <f t="shared" si="27"/>
        <v xml:space="preserve"> The Daniels 5 Star Short Let Apartment in Lekki_x000C_</v>
      </c>
      <c r="S587" t="str">
        <f t="shared" si="28"/>
        <v xml:space="preserve"> The Daniels 5 Star Short Let Apartment in Lekki</v>
      </c>
      <c r="T587">
        <f>Table1[[#This Row],[Adults]]+Table1[[#This Row],[Children]]</f>
        <v>6</v>
      </c>
      <c r="U587">
        <f>_xlfn.DAYS(Table1[[#This Row],[Depart]],Table1[[#This Row],[Arrive]])</f>
        <v>2</v>
      </c>
    </row>
    <row r="588" spans="1:21" x14ac:dyDescent="0.25">
      <c r="A588" t="s">
        <v>609</v>
      </c>
      <c r="B588" t="s">
        <v>610</v>
      </c>
      <c r="C588" t="s">
        <v>1178</v>
      </c>
      <c r="D588" s="1">
        <v>44092</v>
      </c>
      <c r="E588" s="1">
        <v>44094</v>
      </c>
      <c r="F588">
        <f t="shared" si="29"/>
        <v>2</v>
      </c>
      <c r="G588" s="1">
        <v>44057</v>
      </c>
      <c r="H588" s="2">
        <v>0.58333333333333337</v>
      </c>
      <c r="I588" s="2">
        <v>0.45833333333333331</v>
      </c>
      <c r="J588" t="s">
        <v>1636</v>
      </c>
      <c r="K588" t="s">
        <v>1636</v>
      </c>
      <c r="L588" t="s">
        <v>22</v>
      </c>
      <c r="M588" s="12" t="s">
        <v>23</v>
      </c>
      <c r="N588">
        <v>6</v>
      </c>
      <c r="O588">
        <v>0</v>
      </c>
      <c r="P588" t="s">
        <v>19</v>
      </c>
      <c r="Q588" s="6">
        <v>220</v>
      </c>
      <c r="R588" t="str">
        <f t="shared" si="27"/>
        <v>Ope's 5 Star Short Let Apartment in Lekki_x000C_</v>
      </c>
      <c r="S588" t="str">
        <f t="shared" si="28"/>
        <v>Ope's 5 Star Short Let Apartment in Lekki</v>
      </c>
      <c r="T588">
        <f>Table1[[#This Row],[Adults]]+Table1[[#This Row],[Children]]</f>
        <v>6</v>
      </c>
      <c r="U588">
        <f>_xlfn.DAYS(Table1[[#This Row],[Depart]],Table1[[#This Row],[Arrive]])</f>
        <v>2</v>
      </c>
    </row>
    <row r="589" spans="1:21" x14ac:dyDescent="0.25">
      <c r="A589" t="s">
        <v>695</v>
      </c>
      <c r="B589" t="s">
        <v>696</v>
      </c>
      <c r="C589" t="s">
        <v>1179</v>
      </c>
      <c r="D589" s="1">
        <v>44092</v>
      </c>
      <c r="E589" s="1">
        <v>44094</v>
      </c>
      <c r="F589">
        <f t="shared" si="29"/>
        <v>2</v>
      </c>
      <c r="G589" s="1">
        <v>44074</v>
      </c>
      <c r="H589" s="2">
        <v>0.33333333333333331</v>
      </c>
      <c r="I589" s="3">
        <v>1</v>
      </c>
      <c r="J589" t="s">
        <v>1703</v>
      </c>
      <c r="K589" t="s">
        <v>1703</v>
      </c>
      <c r="L589" t="s">
        <v>22</v>
      </c>
      <c r="M589" s="12" t="s">
        <v>18</v>
      </c>
      <c r="N589">
        <v>6</v>
      </c>
      <c r="O589">
        <v>0</v>
      </c>
      <c r="P589" t="s">
        <v>19</v>
      </c>
      <c r="Q589" s="6">
        <v>236.5</v>
      </c>
      <c r="R589" t="str">
        <f t="shared" si="27"/>
        <v>Phiola's 5 Star Short Let Apartment in Lekki_x000C_</v>
      </c>
      <c r="S589" t="str">
        <f t="shared" si="28"/>
        <v>Phiola's 5 Star Short Let Apartment in Lekki</v>
      </c>
      <c r="T589">
        <f>Table1[[#This Row],[Adults]]+Table1[[#This Row],[Children]]</f>
        <v>6</v>
      </c>
      <c r="U589">
        <f>_xlfn.DAYS(Table1[[#This Row],[Depart]],Table1[[#This Row],[Arrive]])</f>
        <v>2</v>
      </c>
    </row>
    <row r="590" spans="1:21" x14ac:dyDescent="0.25">
      <c r="A590" t="s">
        <v>719</v>
      </c>
      <c r="B590" t="s">
        <v>720</v>
      </c>
      <c r="C590" t="s">
        <v>1179</v>
      </c>
      <c r="D590" s="1">
        <v>44092</v>
      </c>
      <c r="E590" s="1">
        <v>44093</v>
      </c>
      <c r="F590">
        <f t="shared" si="29"/>
        <v>1</v>
      </c>
      <c r="G590" s="1">
        <v>44078</v>
      </c>
      <c r="H590" s="2">
        <v>0.33333333333333331</v>
      </c>
      <c r="I590" s="3">
        <v>1</v>
      </c>
      <c r="J590" t="s">
        <v>1725</v>
      </c>
      <c r="K590" t="s">
        <v>1725</v>
      </c>
      <c r="L590" t="s">
        <v>22</v>
      </c>
      <c r="M590" s="12" t="s">
        <v>23</v>
      </c>
      <c r="N590">
        <v>4</v>
      </c>
      <c r="O590">
        <v>0</v>
      </c>
      <c r="P590" t="s">
        <v>19</v>
      </c>
      <c r="Q590" s="6">
        <v>118.25</v>
      </c>
      <c r="R590" t="str">
        <f t="shared" si="27"/>
        <v>Phiola's 5 Star Short Let Apartment in Lekki_x000C_</v>
      </c>
      <c r="S590" t="str">
        <f t="shared" si="28"/>
        <v>Phiola's 5 Star Short Let Apartment in Lekki</v>
      </c>
      <c r="T590">
        <f>Table1[[#This Row],[Adults]]+Table1[[#This Row],[Children]]</f>
        <v>4</v>
      </c>
      <c r="U590">
        <f>_xlfn.DAYS(Table1[[#This Row],[Depart]],Table1[[#This Row],[Arrive]])</f>
        <v>1</v>
      </c>
    </row>
    <row r="591" spans="1:21" x14ac:dyDescent="0.25">
      <c r="A591" t="s">
        <v>769</v>
      </c>
      <c r="B591" t="s">
        <v>770</v>
      </c>
      <c r="C591" t="s">
        <v>1175</v>
      </c>
      <c r="D591" s="1">
        <v>44092</v>
      </c>
      <c r="E591" s="1">
        <v>44093</v>
      </c>
      <c r="F591">
        <f t="shared" si="29"/>
        <v>1</v>
      </c>
      <c r="G591" s="1">
        <v>44086</v>
      </c>
      <c r="H591" s="2">
        <v>0.33333333333333331</v>
      </c>
      <c r="I591" s="3">
        <v>1</v>
      </c>
      <c r="J591" t="s">
        <v>1770</v>
      </c>
      <c r="K591" t="s">
        <v>1770</v>
      </c>
      <c r="L591" t="s">
        <v>26</v>
      </c>
      <c r="M591" s="12" t="s">
        <v>18</v>
      </c>
      <c r="N591">
        <v>1</v>
      </c>
      <c r="O591">
        <v>0</v>
      </c>
      <c r="P591" t="s">
        <v>19</v>
      </c>
      <c r="Q591" s="6">
        <v>91.58</v>
      </c>
      <c r="R591" t="str">
        <f t="shared" si="27"/>
        <v>Keji's 5 Star Short let Apartment in Lekki_x000C_</v>
      </c>
      <c r="S591" t="str">
        <f t="shared" si="28"/>
        <v>Keji's 5 Star Short let Apartment in Lekki</v>
      </c>
      <c r="T591">
        <f>Table1[[#This Row],[Adults]]+Table1[[#This Row],[Children]]</f>
        <v>1</v>
      </c>
      <c r="U591">
        <f>_xlfn.DAYS(Table1[[#This Row],[Depart]],Table1[[#This Row],[Arrive]])</f>
        <v>1</v>
      </c>
    </row>
    <row r="592" spans="1:21" x14ac:dyDescent="0.25">
      <c r="A592" t="s">
        <v>398</v>
      </c>
      <c r="B592" t="s">
        <v>399</v>
      </c>
      <c r="C592" t="s">
        <v>1173</v>
      </c>
      <c r="D592" s="1">
        <v>44093</v>
      </c>
      <c r="E592" s="1">
        <v>44094</v>
      </c>
      <c r="F592">
        <f t="shared" si="29"/>
        <v>1</v>
      </c>
      <c r="G592" s="1">
        <v>44007</v>
      </c>
      <c r="H592" s="2">
        <v>0.33333333333333331</v>
      </c>
      <c r="I592" s="3">
        <v>1</v>
      </c>
      <c r="J592" t="s">
        <v>1461</v>
      </c>
      <c r="K592" t="s">
        <v>1461</v>
      </c>
      <c r="L592" t="s">
        <v>26</v>
      </c>
      <c r="M592" s="12" t="s">
        <v>18</v>
      </c>
      <c r="N592">
        <v>4</v>
      </c>
      <c r="O592">
        <v>0</v>
      </c>
      <c r="P592" t="s">
        <v>19</v>
      </c>
      <c r="Q592" s="6">
        <v>107</v>
      </c>
      <c r="R592" t="str">
        <f t="shared" si="27"/>
        <v xml:space="preserve"> The Daniels 5 Star Short Let Apartment in Lekki_x000C_</v>
      </c>
      <c r="S592" t="str">
        <f t="shared" si="28"/>
        <v xml:space="preserve"> The Daniels 5 Star Short Let Apartment in Lekki</v>
      </c>
      <c r="T592">
        <f>Table1[[#This Row],[Adults]]+Table1[[#This Row],[Children]]</f>
        <v>4</v>
      </c>
      <c r="U592">
        <f>_xlfn.DAYS(Table1[[#This Row],[Depart]],Table1[[#This Row],[Arrive]])</f>
        <v>1</v>
      </c>
    </row>
    <row r="593" spans="1:21" x14ac:dyDescent="0.25">
      <c r="A593" t="s">
        <v>651</v>
      </c>
      <c r="B593" t="s">
        <v>652</v>
      </c>
      <c r="C593" t="s">
        <v>1177</v>
      </c>
      <c r="D593" s="1">
        <v>44093</v>
      </c>
      <c r="E593" s="1">
        <v>44094</v>
      </c>
      <c r="F593">
        <f t="shared" si="29"/>
        <v>1</v>
      </c>
      <c r="G593" s="1">
        <v>44065</v>
      </c>
      <c r="H593" s="2">
        <v>0.45833333333333331</v>
      </c>
      <c r="I593" s="2">
        <v>0.41666666666666669</v>
      </c>
      <c r="J593" t="s">
        <v>1663</v>
      </c>
      <c r="K593" t="s">
        <v>1663</v>
      </c>
      <c r="L593" t="s">
        <v>26</v>
      </c>
      <c r="M593" s="12" t="s">
        <v>18</v>
      </c>
      <c r="N593">
        <v>8</v>
      </c>
      <c r="O593">
        <v>0</v>
      </c>
      <c r="P593" t="s">
        <v>19</v>
      </c>
      <c r="Q593" s="6">
        <v>107</v>
      </c>
      <c r="R593" t="str">
        <f t="shared" si="27"/>
        <v>Achikare 's Luxury Home Away from Home_x000C_</v>
      </c>
      <c r="S593" t="str">
        <f t="shared" si="28"/>
        <v>Achikare 's Luxury Home Away from Home</v>
      </c>
      <c r="T593">
        <f>Table1[[#This Row],[Adults]]+Table1[[#This Row],[Children]]</f>
        <v>8</v>
      </c>
      <c r="U593">
        <f>_xlfn.DAYS(Table1[[#This Row],[Depart]],Table1[[#This Row],[Arrive]])</f>
        <v>1</v>
      </c>
    </row>
    <row r="594" spans="1:21" x14ac:dyDescent="0.25">
      <c r="A594" t="s">
        <v>703</v>
      </c>
      <c r="B594" t="s">
        <v>704</v>
      </c>
      <c r="C594" t="s">
        <v>1179</v>
      </c>
      <c r="D594" s="1">
        <v>44093</v>
      </c>
      <c r="E594" s="1">
        <v>44094</v>
      </c>
      <c r="F594">
        <f t="shared" si="29"/>
        <v>1</v>
      </c>
      <c r="G594" s="1">
        <v>44075</v>
      </c>
      <c r="H594" s="2">
        <v>0.33333333333333331</v>
      </c>
      <c r="I594" s="3">
        <v>1</v>
      </c>
      <c r="J594" t="s">
        <v>1712</v>
      </c>
      <c r="K594" t="s">
        <v>1712</v>
      </c>
      <c r="L594" t="s">
        <v>22</v>
      </c>
      <c r="M594" s="12" t="s">
        <v>23</v>
      </c>
      <c r="N594">
        <v>4</v>
      </c>
      <c r="O594">
        <v>0</v>
      </c>
      <c r="P594" t="s">
        <v>19</v>
      </c>
      <c r="Q594" s="6">
        <v>118.25</v>
      </c>
      <c r="R594" t="str">
        <f t="shared" si="27"/>
        <v>Phiola's 5 Star Short Let Apartment in Lekki_x000C_</v>
      </c>
      <c r="S594" t="str">
        <f t="shared" si="28"/>
        <v>Phiola's 5 Star Short Let Apartment in Lekki</v>
      </c>
      <c r="T594">
        <f>Table1[[#This Row],[Adults]]+Table1[[#This Row],[Children]]</f>
        <v>4</v>
      </c>
      <c r="U594">
        <f>_xlfn.DAYS(Table1[[#This Row],[Depart]],Table1[[#This Row],[Arrive]])</f>
        <v>1</v>
      </c>
    </row>
    <row r="595" spans="1:21" x14ac:dyDescent="0.25">
      <c r="A595" t="s">
        <v>697</v>
      </c>
      <c r="B595" t="s">
        <v>698</v>
      </c>
      <c r="C595" t="s">
        <v>1180</v>
      </c>
      <c r="D595" s="1">
        <v>44094</v>
      </c>
      <c r="E595" s="1">
        <v>44098</v>
      </c>
      <c r="F595">
        <f t="shared" si="29"/>
        <v>4</v>
      </c>
      <c r="G595" s="1">
        <v>44075</v>
      </c>
      <c r="H595" s="2">
        <v>0.58333333333333337</v>
      </c>
      <c r="I595" s="2">
        <v>0.45833333333333331</v>
      </c>
      <c r="J595" t="s">
        <v>1743</v>
      </c>
      <c r="K595" t="s">
        <v>1743</v>
      </c>
      <c r="L595" t="s">
        <v>22</v>
      </c>
      <c r="M595" s="12" t="s">
        <v>18</v>
      </c>
      <c r="N595">
        <v>4</v>
      </c>
      <c r="O595">
        <v>0</v>
      </c>
      <c r="P595" t="s">
        <v>19</v>
      </c>
      <c r="Q595" s="6">
        <v>473</v>
      </c>
      <c r="R595" t="str">
        <f t="shared" si="27"/>
        <v>Zoe's 5 Star Short let Apartment in Lekki_x000C_</v>
      </c>
      <c r="S595" t="str">
        <f t="shared" si="28"/>
        <v>Zoe's 5 Star Short let Apartment in Lekki</v>
      </c>
      <c r="T595">
        <f>Table1[[#This Row],[Adults]]+Table1[[#This Row],[Children]]</f>
        <v>4</v>
      </c>
      <c r="U595">
        <f>_xlfn.DAYS(Table1[[#This Row],[Depart]],Table1[[#This Row],[Arrive]])</f>
        <v>4</v>
      </c>
    </row>
    <row r="596" spans="1:21" x14ac:dyDescent="0.25">
      <c r="A596" t="s">
        <v>743</v>
      </c>
      <c r="B596" t="s">
        <v>744</v>
      </c>
      <c r="C596" t="s">
        <v>1173</v>
      </c>
      <c r="D596" s="1">
        <v>44094</v>
      </c>
      <c r="E596" s="1">
        <v>44095</v>
      </c>
      <c r="F596">
        <f t="shared" si="29"/>
        <v>1</v>
      </c>
      <c r="G596" s="1">
        <v>44083</v>
      </c>
      <c r="H596" s="2">
        <v>0.33333333333333331</v>
      </c>
      <c r="I596" s="3">
        <v>1</v>
      </c>
      <c r="J596" t="s">
        <v>1750</v>
      </c>
      <c r="K596" t="s">
        <v>1750</v>
      </c>
      <c r="L596" t="s">
        <v>22</v>
      </c>
      <c r="M596" s="12" t="s">
        <v>23</v>
      </c>
      <c r="N596">
        <v>4</v>
      </c>
      <c r="O596">
        <v>0</v>
      </c>
      <c r="P596" t="s">
        <v>19</v>
      </c>
      <c r="Q596" s="6">
        <v>118.25</v>
      </c>
      <c r="R596" t="str">
        <f t="shared" si="27"/>
        <v xml:space="preserve"> The Daniels 5 Star Short Let Apartment in Lekki_x000C_</v>
      </c>
      <c r="S596" t="str">
        <f t="shared" si="28"/>
        <v xml:space="preserve"> The Daniels 5 Star Short Let Apartment in Lekki</v>
      </c>
      <c r="T596">
        <f>Table1[[#This Row],[Adults]]+Table1[[#This Row],[Children]]</f>
        <v>4</v>
      </c>
      <c r="U596">
        <f>_xlfn.DAYS(Table1[[#This Row],[Depart]],Table1[[#This Row],[Arrive]])</f>
        <v>1</v>
      </c>
    </row>
    <row r="597" spans="1:21" x14ac:dyDescent="0.25">
      <c r="A597" t="s">
        <v>40</v>
      </c>
      <c r="B597" t="s">
        <v>41</v>
      </c>
      <c r="C597" t="s">
        <v>1178</v>
      </c>
      <c r="D597" s="1">
        <v>44094</v>
      </c>
      <c r="E597" s="1">
        <v>44100</v>
      </c>
      <c r="F597">
        <f t="shared" si="29"/>
        <v>6</v>
      </c>
      <c r="G597" s="1">
        <v>44083</v>
      </c>
      <c r="H597" s="2">
        <v>0.58333333333333337</v>
      </c>
      <c r="I597" s="2">
        <v>0.45833333333333331</v>
      </c>
      <c r="J597" t="s">
        <v>1754</v>
      </c>
      <c r="K597" t="s">
        <v>1754</v>
      </c>
      <c r="L597" t="s">
        <v>22</v>
      </c>
      <c r="M597" s="12" t="s">
        <v>23</v>
      </c>
      <c r="N597">
        <v>3</v>
      </c>
      <c r="O597">
        <v>0</v>
      </c>
      <c r="P597" t="s">
        <v>19</v>
      </c>
      <c r="Q597" s="6">
        <v>709.5</v>
      </c>
      <c r="R597" t="str">
        <f t="shared" si="27"/>
        <v>Ope's 5 Star Short Let Apartment in Lekki_x000C_</v>
      </c>
      <c r="S597" t="str">
        <f t="shared" si="28"/>
        <v>Ope's 5 Star Short Let Apartment in Lekki</v>
      </c>
      <c r="T597">
        <f>Table1[[#This Row],[Adults]]+Table1[[#This Row],[Children]]</f>
        <v>3</v>
      </c>
      <c r="U597">
        <f>_xlfn.DAYS(Table1[[#This Row],[Depart]],Table1[[#This Row],[Arrive]])</f>
        <v>6</v>
      </c>
    </row>
    <row r="598" spans="1:21" x14ac:dyDescent="0.25">
      <c r="A598" t="s">
        <v>787</v>
      </c>
      <c r="B598" t="s">
        <v>788</v>
      </c>
      <c r="C598" t="s">
        <v>1179</v>
      </c>
      <c r="D598" s="1">
        <v>44094</v>
      </c>
      <c r="E598" s="1">
        <v>44096</v>
      </c>
      <c r="F598">
        <f t="shared" si="29"/>
        <v>2</v>
      </c>
      <c r="G598" s="1">
        <v>44089</v>
      </c>
      <c r="H598" s="2">
        <v>0.33333333333333331</v>
      </c>
      <c r="I598" s="3">
        <v>1</v>
      </c>
      <c r="J598" t="s">
        <v>1782</v>
      </c>
      <c r="K598" t="s">
        <v>1782</v>
      </c>
      <c r="L598" t="s">
        <v>26</v>
      </c>
      <c r="M598" s="12" t="s">
        <v>18</v>
      </c>
      <c r="N598">
        <v>2</v>
      </c>
      <c r="O598">
        <v>0</v>
      </c>
      <c r="P598" t="s">
        <v>19</v>
      </c>
      <c r="Q598" s="6">
        <v>251</v>
      </c>
      <c r="R598" t="str">
        <f t="shared" si="27"/>
        <v>Phiola's 5 Star Short Let Apartment in Lekki_x000C_</v>
      </c>
      <c r="S598" t="str">
        <f t="shared" si="28"/>
        <v>Phiola's 5 Star Short Let Apartment in Lekki</v>
      </c>
      <c r="T598">
        <f>Table1[[#This Row],[Adults]]+Table1[[#This Row],[Children]]</f>
        <v>2</v>
      </c>
      <c r="U598">
        <f>_xlfn.DAYS(Table1[[#This Row],[Depart]],Table1[[#This Row],[Arrive]])</f>
        <v>2</v>
      </c>
    </row>
    <row r="599" spans="1:21" x14ac:dyDescent="0.25">
      <c r="A599" t="s">
        <v>791</v>
      </c>
      <c r="B599" t="s">
        <v>792</v>
      </c>
      <c r="C599" t="s">
        <v>1179</v>
      </c>
      <c r="D599" s="1">
        <v>44094</v>
      </c>
      <c r="E599" s="1">
        <v>44096</v>
      </c>
      <c r="F599">
        <f t="shared" si="29"/>
        <v>2</v>
      </c>
      <c r="G599" s="1">
        <v>44091</v>
      </c>
      <c r="H599" s="2">
        <v>0.33333333333333331</v>
      </c>
      <c r="I599" s="3">
        <v>1</v>
      </c>
      <c r="J599" t="s">
        <v>1787</v>
      </c>
      <c r="K599" t="s">
        <v>1787</v>
      </c>
      <c r="L599" t="s">
        <v>22</v>
      </c>
      <c r="M599" s="12" t="s">
        <v>23</v>
      </c>
      <c r="N599">
        <v>4</v>
      </c>
      <c r="O599">
        <v>0</v>
      </c>
      <c r="P599" t="s">
        <v>19</v>
      </c>
      <c r="Q599" s="6">
        <v>258</v>
      </c>
      <c r="R599" t="str">
        <f t="shared" si="27"/>
        <v>Phiola's 5 Star Short Let Apartment in Lekki_x000C_</v>
      </c>
      <c r="S599" t="str">
        <f t="shared" si="28"/>
        <v>Phiola's 5 Star Short Let Apartment in Lekki</v>
      </c>
      <c r="T599">
        <f>Table1[[#This Row],[Adults]]+Table1[[#This Row],[Children]]</f>
        <v>4</v>
      </c>
      <c r="U599">
        <f>_xlfn.DAYS(Table1[[#This Row],[Depart]],Table1[[#This Row],[Arrive]])</f>
        <v>2</v>
      </c>
    </row>
    <row r="600" spans="1:21" x14ac:dyDescent="0.25">
      <c r="A600" t="s">
        <v>296</v>
      </c>
      <c r="B600" t="s">
        <v>297</v>
      </c>
      <c r="C600" t="s">
        <v>1175</v>
      </c>
      <c r="D600" s="1">
        <v>44095</v>
      </c>
      <c r="E600" s="1">
        <v>44101</v>
      </c>
      <c r="F600">
        <f t="shared" si="29"/>
        <v>6</v>
      </c>
      <c r="G600" s="1">
        <v>44063</v>
      </c>
      <c r="H600" s="2">
        <v>0.33333333333333331</v>
      </c>
      <c r="I600" s="3">
        <v>1</v>
      </c>
      <c r="J600" t="s">
        <v>1729</v>
      </c>
      <c r="K600" t="s">
        <v>1729</v>
      </c>
      <c r="L600" t="s">
        <v>22</v>
      </c>
      <c r="M600" s="12" t="s">
        <v>18</v>
      </c>
      <c r="N600">
        <v>4</v>
      </c>
      <c r="O600">
        <v>0</v>
      </c>
      <c r="P600" t="s">
        <v>19</v>
      </c>
      <c r="Q600" s="6">
        <v>660</v>
      </c>
      <c r="R600" t="str">
        <f t="shared" si="27"/>
        <v>Keji's 5 Star Short let Apartment in Lekki_x000C_</v>
      </c>
      <c r="S600" t="str">
        <f t="shared" si="28"/>
        <v>Keji's 5 Star Short let Apartment in Lekki</v>
      </c>
      <c r="T600">
        <f>Table1[[#This Row],[Adults]]+Table1[[#This Row],[Children]]</f>
        <v>4</v>
      </c>
      <c r="U600">
        <f>_xlfn.DAYS(Table1[[#This Row],[Depart]],Table1[[#This Row],[Arrive]])</f>
        <v>6</v>
      </c>
    </row>
    <row r="601" spans="1:21" x14ac:dyDescent="0.25">
      <c r="A601" t="s">
        <v>296</v>
      </c>
      <c r="B601" t="s">
        <v>297</v>
      </c>
      <c r="C601" t="s">
        <v>1175</v>
      </c>
      <c r="D601" s="1">
        <v>44095</v>
      </c>
      <c r="E601" s="1">
        <v>44101</v>
      </c>
      <c r="F601">
        <f t="shared" si="29"/>
        <v>6</v>
      </c>
      <c r="G601" s="1">
        <v>44079</v>
      </c>
      <c r="H601" s="2">
        <v>0.33333333333333331</v>
      </c>
      <c r="I601" s="3">
        <v>1</v>
      </c>
      <c r="J601" t="s">
        <v>1730</v>
      </c>
      <c r="K601" t="s">
        <v>1730</v>
      </c>
      <c r="L601" t="s">
        <v>22</v>
      </c>
      <c r="M601" s="12" t="s">
        <v>23</v>
      </c>
      <c r="N601">
        <v>4</v>
      </c>
      <c r="O601">
        <v>0</v>
      </c>
      <c r="P601" t="s">
        <v>19</v>
      </c>
      <c r="Q601" s="6">
        <v>709.5</v>
      </c>
      <c r="R601" t="str">
        <f t="shared" si="27"/>
        <v>Keji's 5 Star Short let Apartment in Lekki_x000C_</v>
      </c>
      <c r="S601" t="str">
        <f t="shared" si="28"/>
        <v>Keji's 5 Star Short let Apartment in Lekki</v>
      </c>
      <c r="T601">
        <f>Table1[[#This Row],[Adults]]+Table1[[#This Row],[Children]]</f>
        <v>4</v>
      </c>
      <c r="U601">
        <f>_xlfn.DAYS(Table1[[#This Row],[Depart]],Table1[[#This Row],[Arrive]])</f>
        <v>6</v>
      </c>
    </row>
    <row r="602" spans="1:21" x14ac:dyDescent="0.25">
      <c r="A602" t="s">
        <v>567</v>
      </c>
      <c r="B602" t="s">
        <v>568</v>
      </c>
      <c r="C602" t="s">
        <v>1180</v>
      </c>
      <c r="D602" s="1">
        <v>44095</v>
      </c>
      <c r="E602" s="1">
        <v>44096</v>
      </c>
      <c r="F602">
        <f t="shared" si="29"/>
        <v>1</v>
      </c>
      <c r="G602" s="1">
        <v>44081</v>
      </c>
      <c r="H602" s="2">
        <v>0.58333333333333337</v>
      </c>
      <c r="I602" s="2">
        <v>0.45833333333333331</v>
      </c>
      <c r="J602" t="s">
        <v>1762</v>
      </c>
      <c r="K602" t="s">
        <v>1762</v>
      </c>
      <c r="L602" t="s">
        <v>22</v>
      </c>
      <c r="M602" s="12" t="s">
        <v>18</v>
      </c>
      <c r="N602">
        <v>4</v>
      </c>
      <c r="O602">
        <v>0</v>
      </c>
      <c r="P602" t="s">
        <v>19</v>
      </c>
      <c r="Q602" s="6">
        <v>118.25</v>
      </c>
      <c r="R602" t="str">
        <f t="shared" si="27"/>
        <v>Zoe's 5 Star Short let Apartment in Lekki_x000C_</v>
      </c>
      <c r="S602" t="str">
        <f t="shared" si="28"/>
        <v>Zoe's 5 Star Short let Apartment in Lekki</v>
      </c>
      <c r="T602">
        <f>Table1[[#This Row],[Adults]]+Table1[[#This Row],[Children]]</f>
        <v>4</v>
      </c>
      <c r="U602">
        <f>_xlfn.DAYS(Table1[[#This Row],[Depart]],Table1[[#This Row],[Arrive]])</f>
        <v>1</v>
      </c>
    </row>
    <row r="603" spans="1:21" x14ac:dyDescent="0.25">
      <c r="A603" t="s">
        <v>567</v>
      </c>
      <c r="B603" t="s">
        <v>568</v>
      </c>
      <c r="C603" t="s">
        <v>1173</v>
      </c>
      <c r="D603" s="1">
        <v>44095</v>
      </c>
      <c r="E603" s="1">
        <v>44096</v>
      </c>
      <c r="F603">
        <f t="shared" si="29"/>
        <v>1</v>
      </c>
      <c r="G603" s="1">
        <v>44094</v>
      </c>
      <c r="H603" s="2">
        <v>0.33333333333333331</v>
      </c>
      <c r="I603" s="3">
        <v>1</v>
      </c>
      <c r="J603" t="s">
        <v>1793</v>
      </c>
      <c r="K603" t="s">
        <v>1793</v>
      </c>
      <c r="L603" t="s">
        <v>22</v>
      </c>
      <c r="M603" s="12" t="s">
        <v>23</v>
      </c>
      <c r="N603">
        <v>4</v>
      </c>
      <c r="O603">
        <v>0</v>
      </c>
      <c r="P603" t="s">
        <v>19</v>
      </c>
      <c r="Q603" s="6">
        <v>129</v>
      </c>
      <c r="R603" t="str">
        <f t="shared" si="27"/>
        <v xml:space="preserve"> The Daniels 5 Star Short Let Apartment in Lekki_x000C_</v>
      </c>
      <c r="S603" t="str">
        <f t="shared" si="28"/>
        <v xml:space="preserve"> The Daniels 5 Star Short Let Apartment in Lekki</v>
      </c>
      <c r="T603">
        <f>Table1[[#This Row],[Adults]]+Table1[[#This Row],[Children]]</f>
        <v>4</v>
      </c>
      <c r="U603">
        <f>_xlfn.DAYS(Table1[[#This Row],[Depart]],Table1[[#This Row],[Arrive]])</f>
        <v>1</v>
      </c>
    </row>
    <row r="604" spans="1:21" x14ac:dyDescent="0.25">
      <c r="A604" t="s">
        <v>757</v>
      </c>
      <c r="B604" t="s">
        <v>758</v>
      </c>
      <c r="C604" t="s">
        <v>1173</v>
      </c>
      <c r="D604" s="1">
        <v>44096</v>
      </c>
      <c r="E604" s="1">
        <v>44097</v>
      </c>
      <c r="F604">
        <f t="shared" si="29"/>
        <v>1</v>
      </c>
      <c r="G604" s="1">
        <v>44084</v>
      </c>
      <c r="H604" s="2">
        <v>0.33333333333333331</v>
      </c>
      <c r="I604" s="3">
        <v>1</v>
      </c>
      <c r="J604" t="s">
        <v>1763</v>
      </c>
      <c r="K604" t="s">
        <v>1763</v>
      </c>
      <c r="L604" t="s">
        <v>22</v>
      </c>
      <c r="M604" s="12" t="s">
        <v>18</v>
      </c>
      <c r="N604">
        <v>5</v>
      </c>
      <c r="O604">
        <v>0</v>
      </c>
      <c r="P604" t="s">
        <v>19</v>
      </c>
      <c r="Q604" s="6">
        <v>118.25</v>
      </c>
      <c r="R604" t="str">
        <f t="shared" si="27"/>
        <v xml:space="preserve"> The Daniels 5 Star Short Let Apartment in Lekki_x000C_</v>
      </c>
      <c r="S604" t="str">
        <f t="shared" si="28"/>
        <v xml:space="preserve"> The Daniels 5 Star Short Let Apartment in Lekki</v>
      </c>
      <c r="T604">
        <f>Table1[[#This Row],[Adults]]+Table1[[#This Row],[Children]]</f>
        <v>5</v>
      </c>
      <c r="U604">
        <f>_xlfn.DAYS(Table1[[#This Row],[Depart]],Table1[[#This Row],[Arrive]])</f>
        <v>1</v>
      </c>
    </row>
    <row r="605" spans="1:21" x14ac:dyDescent="0.25">
      <c r="A605" t="s">
        <v>757</v>
      </c>
      <c r="B605" t="s">
        <v>758</v>
      </c>
      <c r="C605" t="s">
        <v>1179</v>
      </c>
      <c r="D605" s="1">
        <v>44096</v>
      </c>
      <c r="E605" s="1">
        <v>44098</v>
      </c>
      <c r="F605">
        <f t="shared" si="29"/>
        <v>2</v>
      </c>
      <c r="G605" s="1">
        <v>44084</v>
      </c>
      <c r="H605" s="2">
        <v>0.33333333333333331</v>
      </c>
      <c r="I605" s="3">
        <v>1</v>
      </c>
      <c r="J605" t="s">
        <v>1764</v>
      </c>
      <c r="K605" t="s">
        <v>1764</v>
      </c>
      <c r="L605" t="s">
        <v>22</v>
      </c>
      <c r="M605" s="12" t="s">
        <v>23</v>
      </c>
      <c r="N605">
        <v>6</v>
      </c>
      <c r="O605">
        <v>0</v>
      </c>
      <c r="P605" t="s">
        <v>19</v>
      </c>
      <c r="Q605" s="6">
        <v>236.5</v>
      </c>
      <c r="R605" t="str">
        <f t="shared" si="27"/>
        <v>Phiola's 5 Star Short Let Apartment in Lekki_x000C_</v>
      </c>
      <c r="S605" t="str">
        <f t="shared" si="28"/>
        <v>Phiola's 5 Star Short Let Apartment in Lekki</v>
      </c>
      <c r="T605">
        <f>Table1[[#This Row],[Adults]]+Table1[[#This Row],[Children]]</f>
        <v>6</v>
      </c>
      <c r="U605">
        <f>_xlfn.DAYS(Table1[[#This Row],[Depart]],Table1[[#This Row],[Arrive]])</f>
        <v>2</v>
      </c>
    </row>
    <row r="606" spans="1:21" x14ac:dyDescent="0.25">
      <c r="A606" t="s">
        <v>512</v>
      </c>
      <c r="B606" t="s">
        <v>513</v>
      </c>
      <c r="C606" t="s">
        <v>1173</v>
      </c>
      <c r="D606" s="1">
        <v>44096</v>
      </c>
      <c r="E606" s="1">
        <v>44097</v>
      </c>
      <c r="F606">
        <f t="shared" si="29"/>
        <v>1</v>
      </c>
      <c r="G606" s="1">
        <v>44086</v>
      </c>
      <c r="H606" s="2">
        <v>0.33333333333333331</v>
      </c>
      <c r="I606" s="3">
        <v>1</v>
      </c>
      <c r="J606" t="s">
        <v>1776</v>
      </c>
      <c r="K606" t="s">
        <v>1776</v>
      </c>
      <c r="L606" t="s">
        <v>22</v>
      </c>
      <c r="M606" s="12" t="s">
        <v>18</v>
      </c>
      <c r="N606">
        <v>4</v>
      </c>
      <c r="O606">
        <v>0</v>
      </c>
      <c r="P606" t="s">
        <v>19</v>
      </c>
      <c r="Q606" s="6">
        <v>118.25</v>
      </c>
      <c r="R606" t="str">
        <f t="shared" si="27"/>
        <v xml:space="preserve"> The Daniels 5 Star Short Let Apartment in Lekki_x000C_</v>
      </c>
      <c r="S606" t="str">
        <f t="shared" si="28"/>
        <v xml:space="preserve"> The Daniels 5 Star Short Let Apartment in Lekki</v>
      </c>
      <c r="T606">
        <f>Table1[[#This Row],[Adults]]+Table1[[#This Row],[Children]]</f>
        <v>4</v>
      </c>
      <c r="U606">
        <f>_xlfn.DAYS(Table1[[#This Row],[Depart]],Table1[[#This Row],[Arrive]])</f>
        <v>1</v>
      </c>
    </row>
    <row r="607" spans="1:21" x14ac:dyDescent="0.25">
      <c r="A607" t="s">
        <v>350</v>
      </c>
      <c r="B607" t="s">
        <v>351</v>
      </c>
      <c r="C607" t="s">
        <v>1173</v>
      </c>
      <c r="D607" s="1">
        <v>44098</v>
      </c>
      <c r="E607" s="1">
        <v>44108</v>
      </c>
      <c r="F607">
        <f t="shared" si="29"/>
        <v>10</v>
      </c>
      <c r="G607" s="1">
        <v>44000</v>
      </c>
      <c r="H607" s="2">
        <v>0.33333333333333331</v>
      </c>
      <c r="I607" s="3">
        <v>1</v>
      </c>
      <c r="J607" t="s">
        <v>1434</v>
      </c>
      <c r="K607" t="s">
        <v>1434</v>
      </c>
      <c r="L607" t="s">
        <v>26</v>
      </c>
      <c r="M607" s="12" t="s">
        <v>18</v>
      </c>
      <c r="N607">
        <v>1</v>
      </c>
      <c r="O607">
        <v>0</v>
      </c>
      <c r="P607" t="s">
        <v>19</v>
      </c>
      <c r="Q607" s="6">
        <v>1029</v>
      </c>
      <c r="R607" t="str">
        <f t="shared" si="27"/>
        <v xml:space="preserve"> The Daniels 5 Star Short Let Apartment in Lekki_x000C_</v>
      </c>
      <c r="S607" t="str">
        <f t="shared" si="28"/>
        <v xml:space="preserve"> The Daniels 5 Star Short Let Apartment in Lekki</v>
      </c>
      <c r="T607">
        <f>Table1[[#This Row],[Adults]]+Table1[[#This Row],[Children]]</f>
        <v>1</v>
      </c>
      <c r="U607">
        <f>_xlfn.DAYS(Table1[[#This Row],[Depart]],Table1[[#This Row],[Arrive]])</f>
        <v>10</v>
      </c>
    </row>
    <row r="608" spans="1:21" x14ac:dyDescent="0.25">
      <c r="A608" t="s">
        <v>617</v>
      </c>
      <c r="B608" t="s">
        <v>618</v>
      </c>
      <c r="C608" t="s">
        <v>1179</v>
      </c>
      <c r="D608" s="1">
        <v>44098</v>
      </c>
      <c r="E608" s="1">
        <v>44099</v>
      </c>
      <c r="F608">
        <f t="shared" si="29"/>
        <v>1</v>
      </c>
      <c r="G608" s="1">
        <v>44096</v>
      </c>
      <c r="H608" s="2">
        <v>0.33333333333333331</v>
      </c>
      <c r="I608" s="3">
        <v>1</v>
      </c>
      <c r="J608" t="s">
        <v>1801</v>
      </c>
      <c r="K608" t="s">
        <v>1801</v>
      </c>
      <c r="L608" t="s">
        <v>22</v>
      </c>
      <c r="M608" s="12" t="s">
        <v>23</v>
      </c>
      <c r="N608">
        <v>10</v>
      </c>
      <c r="O608">
        <v>0</v>
      </c>
      <c r="P608" t="s">
        <v>19</v>
      </c>
      <c r="Q608" s="6">
        <v>215</v>
      </c>
      <c r="R608" t="str">
        <f t="shared" si="27"/>
        <v>Phiola's 5 Star Short Let Apartment in Lekki_x000C_</v>
      </c>
      <c r="S608" t="str">
        <f t="shared" si="28"/>
        <v>Phiola's 5 Star Short Let Apartment in Lekki</v>
      </c>
      <c r="T608">
        <f>Table1[[#This Row],[Adults]]+Table1[[#This Row],[Children]]</f>
        <v>10</v>
      </c>
      <c r="U608">
        <f>_xlfn.DAYS(Table1[[#This Row],[Depart]],Table1[[#This Row],[Arrive]])</f>
        <v>1</v>
      </c>
    </row>
    <row r="609" spans="1:21" x14ac:dyDescent="0.25">
      <c r="A609" t="s">
        <v>811</v>
      </c>
      <c r="B609" t="s">
        <v>812</v>
      </c>
      <c r="C609" t="s">
        <v>1173</v>
      </c>
      <c r="D609" s="1">
        <v>44098</v>
      </c>
      <c r="E609" s="1">
        <v>44099</v>
      </c>
      <c r="F609">
        <f t="shared" si="29"/>
        <v>1</v>
      </c>
      <c r="G609" s="1">
        <v>44096</v>
      </c>
      <c r="H609" s="2">
        <v>0.33333333333333331</v>
      </c>
      <c r="I609" s="3">
        <v>1</v>
      </c>
      <c r="J609" t="s">
        <v>1807</v>
      </c>
      <c r="K609" t="s">
        <v>1807</v>
      </c>
      <c r="L609" t="s">
        <v>22</v>
      </c>
      <c r="M609" s="12" t="s">
        <v>23</v>
      </c>
      <c r="N609">
        <v>3</v>
      </c>
      <c r="O609">
        <v>0</v>
      </c>
      <c r="P609" t="s">
        <v>19</v>
      </c>
      <c r="Q609" s="6">
        <v>129</v>
      </c>
      <c r="R609" t="str">
        <f t="shared" si="27"/>
        <v xml:space="preserve"> The Daniels 5 Star Short Let Apartment in Lekki_x000C_</v>
      </c>
      <c r="S609" t="str">
        <f t="shared" si="28"/>
        <v xml:space="preserve"> The Daniels 5 Star Short Let Apartment in Lekki</v>
      </c>
      <c r="T609">
        <f>Table1[[#This Row],[Adults]]+Table1[[#This Row],[Children]]</f>
        <v>3</v>
      </c>
      <c r="U609">
        <f>_xlfn.DAYS(Table1[[#This Row],[Depart]],Table1[[#This Row],[Arrive]])</f>
        <v>1</v>
      </c>
    </row>
    <row r="610" spans="1:21" x14ac:dyDescent="0.25">
      <c r="A610" t="s">
        <v>663</v>
      </c>
      <c r="B610" t="s">
        <v>664</v>
      </c>
      <c r="C610" t="s">
        <v>1180</v>
      </c>
      <c r="D610" s="1">
        <v>44099</v>
      </c>
      <c r="E610" s="1">
        <v>44103</v>
      </c>
      <c r="F610">
        <f t="shared" si="29"/>
        <v>4</v>
      </c>
      <c r="G610" s="1">
        <v>44067</v>
      </c>
      <c r="H610" s="2">
        <v>0.58333333333333337</v>
      </c>
      <c r="I610" s="2">
        <v>0.45833333333333331</v>
      </c>
      <c r="J610" t="s">
        <v>1670</v>
      </c>
      <c r="K610" t="s">
        <v>1670</v>
      </c>
      <c r="L610" t="s">
        <v>22</v>
      </c>
      <c r="M610" s="12" t="s">
        <v>23</v>
      </c>
      <c r="N610">
        <v>6</v>
      </c>
      <c r="O610">
        <v>0</v>
      </c>
      <c r="P610" t="s">
        <v>19</v>
      </c>
      <c r="Q610" s="6">
        <v>473</v>
      </c>
      <c r="R610" t="str">
        <f t="shared" si="27"/>
        <v>Zoe's 5 Star Short let Apartment in Lekki_x000C_</v>
      </c>
      <c r="S610" t="str">
        <f t="shared" si="28"/>
        <v>Zoe's 5 Star Short let Apartment in Lekki</v>
      </c>
      <c r="T610">
        <f>Table1[[#This Row],[Adults]]+Table1[[#This Row],[Children]]</f>
        <v>6</v>
      </c>
      <c r="U610">
        <f>_xlfn.DAYS(Table1[[#This Row],[Depart]],Table1[[#This Row],[Arrive]])</f>
        <v>4</v>
      </c>
    </row>
    <row r="611" spans="1:21" x14ac:dyDescent="0.25">
      <c r="A611" t="s">
        <v>695</v>
      </c>
      <c r="B611" t="s">
        <v>696</v>
      </c>
      <c r="C611" t="s">
        <v>1173</v>
      </c>
      <c r="D611" s="1">
        <v>44099</v>
      </c>
      <c r="E611" s="1">
        <v>44101</v>
      </c>
      <c r="F611">
        <f t="shared" si="29"/>
        <v>2</v>
      </c>
      <c r="G611" s="1">
        <v>44075</v>
      </c>
      <c r="H611" s="2">
        <v>0.33333333333333331</v>
      </c>
      <c r="I611" s="3">
        <v>1</v>
      </c>
      <c r="J611" t="s">
        <v>1704</v>
      </c>
      <c r="K611" t="s">
        <v>1704</v>
      </c>
      <c r="L611" t="s">
        <v>22</v>
      </c>
      <c r="M611" s="12" t="s">
        <v>23</v>
      </c>
      <c r="N611">
        <v>6</v>
      </c>
      <c r="O611">
        <v>0</v>
      </c>
      <c r="P611" t="s">
        <v>19</v>
      </c>
      <c r="Q611" s="6">
        <v>236.5</v>
      </c>
      <c r="R611" t="str">
        <f t="shared" si="27"/>
        <v xml:space="preserve"> The Daniels 5 Star Short Let Apartment in Lekki_x000C_</v>
      </c>
      <c r="S611" t="str">
        <f t="shared" si="28"/>
        <v xml:space="preserve"> The Daniels 5 Star Short Let Apartment in Lekki</v>
      </c>
      <c r="T611">
        <f>Table1[[#This Row],[Adults]]+Table1[[#This Row],[Children]]</f>
        <v>6</v>
      </c>
      <c r="U611">
        <f>_xlfn.DAYS(Table1[[#This Row],[Depart]],Table1[[#This Row],[Arrive]])</f>
        <v>2</v>
      </c>
    </row>
    <row r="612" spans="1:21" x14ac:dyDescent="0.25">
      <c r="A612" t="s">
        <v>695</v>
      </c>
      <c r="B612" t="s">
        <v>696</v>
      </c>
      <c r="C612" t="s">
        <v>1179</v>
      </c>
      <c r="D612" s="1">
        <v>44099</v>
      </c>
      <c r="E612" s="1">
        <v>44101</v>
      </c>
      <c r="F612">
        <f t="shared" si="29"/>
        <v>2</v>
      </c>
      <c r="G612" s="1">
        <v>44075</v>
      </c>
      <c r="H612" s="2">
        <v>0.33333333333333331</v>
      </c>
      <c r="I612" s="3">
        <v>1</v>
      </c>
      <c r="J612" t="s">
        <v>1705</v>
      </c>
      <c r="K612" t="s">
        <v>1705</v>
      </c>
      <c r="L612" t="s">
        <v>22</v>
      </c>
      <c r="M612" s="12" t="s">
        <v>18</v>
      </c>
      <c r="N612">
        <v>6</v>
      </c>
      <c r="O612">
        <v>0</v>
      </c>
      <c r="P612" t="s">
        <v>19</v>
      </c>
      <c r="Q612" s="6">
        <v>236.5</v>
      </c>
      <c r="R612" t="str">
        <f t="shared" si="27"/>
        <v>Phiola's 5 Star Short Let Apartment in Lekki_x000C_</v>
      </c>
      <c r="S612" t="str">
        <f t="shared" si="28"/>
        <v>Phiola's 5 Star Short Let Apartment in Lekki</v>
      </c>
      <c r="T612">
        <f>Table1[[#This Row],[Adults]]+Table1[[#This Row],[Children]]</f>
        <v>6</v>
      </c>
      <c r="U612">
        <f>_xlfn.DAYS(Table1[[#This Row],[Depart]],Table1[[#This Row],[Arrive]])</f>
        <v>2</v>
      </c>
    </row>
    <row r="613" spans="1:21" x14ac:dyDescent="0.25">
      <c r="A613" t="s">
        <v>809</v>
      </c>
      <c r="B613" t="s">
        <v>810</v>
      </c>
      <c r="C613" t="s">
        <v>1176</v>
      </c>
      <c r="D613" s="1">
        <v>44099</v>
      </c>
      <c r="E613" s="1">
        <v>44104</v>
      </c>
      <c r="F613">
        <f t="shared" si="29"/>
        <v>5</v>
      </c>
      <c r="G613" s="1">
        <v>44083</v>
      </c>
      <c r="H613" s="2">
        <v>0.58333333333333337</v>
      </c>
      <c r="I613" s="2">
        <v>0.45833333333333331</v>
      </c>
      <c r="J613" t="s">
        <v>1805</v>
      </c>
      <c r="K613" t="s">
        <v>1805</v>
      </c>
      <c r="L613" t="s">
        <v>22</v>
      </c>
      <c r="M613" s="12" t="s">
        <v>23</v>
      </c>
      <c r="N613">
        <v>6</v>
      </c>
      <c r="O613">
        <v>0</v>
      </c>
      <c r="P613" t="s">
        <v>19</v>
      </c>
      <c r="Q613" s="6">
        <v>940.62</v>
      </c>
      <c r="R613" t="str">
        <f t="shared" si="27"/>
        <v>Tiara's Luxury Home Away From Home_x000C_</v>
      </c>
      <c r="S613" t="str">
        <f t="shared" si="28"/>
        <v>Tiara's Luxury Home Away From Home</v>
      </c>
      <c r="T613">
        <f>Table1[[#This Row],[Adults]]+Table1[[#This Row],[Children]]</f>
        <v>6</v>
      </c>
      <c r="U613">
        <f>_xlfn.DAYS(Table1[[#This Row],[Depart]],Table1[[#This Row],[Arrive]])</f>
        <v>5</v>
      </c>
    </row>
    <row r="614" spans="1:21" x14ac:dyDescent="0.25">
      <c r="A614" t="s">
        <v>284</v>
      </c>
      <c r="B614" t="s">
        <v>285</v>
      </c>
      <c r="C614" t="s">
        <v>1179</v>
      </c>
      <c r="D614" s="1">
        <v>44100</v>
      </c>
      <c r="E614" s="1">
        <v>44103</v>
      </c>
      <c r="F614">
        <f t="shared" si="29"/>
        <v>3</v>
      </c>
      <c r="G614" s="1">
        <v>44070</v>
      </c>
      <c r="H614" s="2">
        <v>0.33333333333333331</v>
      </c>
      <c r="I614" s="3">
        <v>1</v>
      </c>
      <c r="J614" t="s">
        <v>1691</v>
      </c>
      <c r="K614" t="s">
        <v>1691</v>
      </c>
      <c r="L614" t="s">
        <v>22</v>
      </c>
      <c r="M614" s="12" t="s">
        <v>18</v>
      </c>
      <c r="N614">
        <v>4</v>
      </c>
      <c r="O614">
        <v>0</v>
      </c>
      <c r="P614" t="s">
        <v>19</v>
      </c>
      <c r="Q614" s="6">
        <v>354.75</v>
      </c>
      <c r="R614" t="str">
        <f t="shared" si="27"/>
        <v>Phiola's 5 Star Short Let Apartment in Lekki_x000C_</v>
      </c>
      <c r="S614" t="str">
        <f t="shared" si="28"/>
        <v>Phiola's 5 Star Short Let Apartment in Lekki</v>
      </c>
      <c r="T614">
        <f>Table1[[#This Row],[Adults]]+Table1[[#This Row],[Children]]</f>
        <v>4</v>
      </c>
      <c r="U614">
        <f>_xlfn.DAYS(Table1[[#This Row],[Depart]],Table1[[#This Row],[Arrive]])</f>
        <v>3</v>
      </c>
    </row>
    <row r="615" spans="1:21" x14ac:dyDescent="0.25">
      <c r="A615" t="s">
        <v>284</v>
      </c>
      <c r="B615" t="s">
        <v>285</v>
      </c>
      <c r="C615" t="s">
        <v>1178</v>
      </c>
      <c r="D615" s="1">
        <v>44100</v>
      </c>
      <c r="E615" s="1">
        <v>44103</v>
      </c>
      <c r="F615">
        <f t="shared" si="29"/>
        <v>3</v>
      </c>
      <c r="G615" s="1">
        <v>44073</v>
      </c>
      <c r="H615" s="2">
        <v>0.58333333333333337</v>
      </c>
      <c r="I615" s="2">
        <v>0.45833333333333331</v>
      </c>
      <c r="J615" t="s">
        <v>1692</v>
      </c>
      <c r="K615" t="s">
        <v>1692</v>
      </c>
      <c r="L615" t="s">
        <v>22</v>
      </c>
      <c r="M615" s="12" t="s">
        <v>23</v>
      </c>
      <c r="N615">
        <v>6</v>
      </c>
      <c r="O615">
        <v>0</v>
      </c>
      <c r="P615" t="s">
        <v>19</v>
      </c>
      <c r="Q615" s="6">
        <v>354.75</v>
      </c>
      <c r="R615" t="str">
        <f t="shared" si="27"/>
        <v>Ope's 5 Star Short Let Apartment in Lekki_x000C_</v>
      </c>
      <c r="S615" t="str">
        <f t="shared" si="28"/>
        <v>Ope's 5 Star Short Let Apartment in Lekki</v>
      </c>
      <c r="T615">
        <f>Table1[[#This Row],[Adults]]+Table1[[#This Row],[Children]]</f>
        <v>6</v>
      </c>
      <c r="U615">
        <f>_xlfn.DAYS(Table1[[#This Row],[Depart]],Table1[[#This Row],[Arrive]])</f>
        <v>3</v>
      </c>
    </row>
    <row r="616" spans="1:21" x14ac:dyDescent="0.25">
      <c r="A616" t="s">
        <v>236</v>
      </c>
      <c r="B616" t="s">
        <v>237</v>
      </c>
      <c r="C616" t="s">
        <v>1179</v>
      </c>
      <c r="D616" s="1">
        <v>44101</v>
      </c>
      <c r="E616" s="1">
        <v>44104</v>
      </c>
      <c r="F616">
        <f t="shared" si="29"/>
        <v>3</v>
      </c>
      <c r="G616" s="1">
        <v>43970</v>
      </c>
      <c r="H616" s="2">
        <v>0.33333333333333331</v>
      </c>
      <c r="I616" s="3">
        <v>1</v>
      </c>
      <c r="J616" t="s">
        <v>1349</v>
      </c>
      <c r="K616" t="s">
        <v>1349</v>
      </c>
      <c r="L616" t="s">
        <v>26</v>
      </c>
      <c r="M616" s="12" t="s">
        <v>18</v>
      </c>
      <c r="N616">
        <v>1</v>
      </c>
      <c r="O616">
        <v>0</v>
      </c>
      <c r="P616" t="s">
        <v>19</v>
      </c>
      <c r="Q616" s="6">
        <v>338</v>
      </c>
      <c r="R616" t="str">
        <f t="shared" si="27"/>
        <v>Phiola's 5 Star Short Let Apartment in Lekki_x000C_</v>
      </c>
      <c r="S616" t="str">
        <f t="shared" si="28"/>
        <v>Phiola's 5 Star Short Let Apartment in Lekki</v>
      </c>
      <c r="T616">
        <f>Table1[[#This Row],[Adults]]+Table1[[#This Row],[Children]]</f>
        <v>1</v>
      </c>
      <c r="U616">
        <f>_xlfn.DAYS(Table1[[#This Row],[Depart]],Table1[[#This Row],[Arrive]])</f>
        <v>3</v>
      </c>
    </row>
    <row r="617" spans="1:21" x14ac:dyDescent="0.25">
      <c r="A617" t="s">
        <v>296</v>
      </c>
      <c r="B617" t="s">
        <v>297</v>
      </c>
      <c r="C617" t="s">
        <v>1175</v>
      </c>
      <c r="D617" s="1">
        <v>44101</v>
      </c>
      <c r="E617" s="1">
        <v>44104</v>
      </c>
      <c r="F617">
        <f t="shared" si="29"/>
        <v>3</v>
      </c>
      <c r="G617" s="1">
        <v>44079</v>
      </c>
      <c r="H617" s="2">
        <v>0.33333333333333331</v>
      </c>
      <c r="I617" s="3">
        <v>1</v>
      </c>
      <c r="J617" t="s">
        <v>1731</v>
      </c>
      <c r="K617" t="s">
        <v>1731</v>
      </c>
      <c r="L617" t="s">
        <v>22</v>
      </c>
      <c r="M617" s="12" t="s">
        <v>18</v>
      </c>
      <c r="N617">
        <v>4</v>
      </c>
      <c r="O617">
        <v>0</v>
      </c>
      <c r="P617" t="s">
        <v>19</v>
      </c>
      <c r="Q617" s="6">
        <v>354.75</v>
      </c>
      <c r="R617" t="str">
        <f t="shared" si="27"/>
        <v>Keji's 5 Star Short let Apartment in Lekki_x000C_</v>
      </c>
      <c r="S617" t="str">
        <f t="shared" si="28"/>
        <v>Keji's 5 Star Short let Apartment in Lekki</v>
      </c>
      <c r="T617">
        <f>Table1[[#This Row],[Adults]]+Table1[[#This Row],[Children]]</f>
        <v>4</v>
      </c>
      <c r="U617">
        <f>_xlfn.DAYS(Table1[[#This Row],[Depart]],Table1[[#This Row],[Arrive]])</f>
        <v>3</v>
      </c>
    </row>
    <row r="618" spans="1:21" x14ac:dyDescent="0.25">
      <c r="A618" t="s">
        <v>815</v>
      </c>
      <c r="B618" t="s">
        <v>816</v>
      </c>
      <c r="C618" t="s">
        <v>1179</v>
      </c>
      <c r="D618" s="1">
        <v>44101</v>
      </c>
      <c r="E618" s="1">
        <v>44106</v>
      </c>
      <c r="F618">
        <f t="shared" si="29"/>
        <v>5</v>
      </c>
      <c r="G618" s="1">
        <v>44084</v>
      </c>
      <c r="H618" s="2">
        <v>0.33333333333333331</v>
      </c>
      <c r="I618" s="3">
        <v>1</v>
      </c>
      <c r="J618" t="s">
        <v>1809</v>
      </c>
      <c r="K618" t="s">
        <v>1809</v>
      </c>
      <c r="L618" t="s">
        <v>22</v>
      </c>
      <c r="M618" s="12" t="s">
        <v>23</v>
      </c>
      <c r="N618">
        <v>3</v>
      </c>
      <c r="O618">
        <v>0</v>
      </c>
      <c r="P618" t="s">
        <v>19</v>
      </c>
      <c r="Q618" s="6">
        <v>591.25</v>
      </c>
      <c r="R618" t="str">
        <f t="shared" si="27"/>
        <v>Phiola's 5 Star Short Let Apartment in Lekki_x000C_</v>
      </c>
      <c r="S618" t="str">
        <f t="shared" si="28"/>
        <v>Phiola's 5 Star Short Let Apartment in Lekki</v>
      </c>
      <c r="T618">
        <f>Table1[[#This Row],[Adults]]+Table1[[#This Row],[Children]]</f>
        <v>3</v>
      </c>
      <c r="U618">
        <f>_xlfn.DAYS(Table1[[#This Row],[Depart]],Table1[[#This Row],[Arrive]])</f>
        <v>5</v>
      </c>
    </row>
    <row r="619" spans="1:21" x14ac:dyDescent="0.25">
      <c r="A619" t="s">
        <v>761</v>
      </c>
      <c r="B619" t="s">
        <v>762</v>
      </c>
      <c r="C619" t="s">
        <v>1178</v>
      </c>
      <c r="D619" s="1">
        <v>44103</v>
      </c>
      <c r="E619" s="1">
        <v>44106</v>
      </c>
      <c r="F619">
        <f t="shared" si="29"/>
        <v>3</v>
      </c>
      <c r="G619" s="1">
        <v>44084</v>
      </c>
      <c r="H619" s="2">
        <v>0.58333333333333337</v>
      </c>
      <c r="I619" s="2">
        <v>0.45833333333333331</v>
      </c>
      <c r="J619" t="s">
        <v>1766</v>
      </c>
      <c r="K619" t="s">
        <v>1766</v>
      </c>
      <c r="L619" t="s">
        <v>26</v>
      </c>
      <c r="M619" s="12" t="s">
        <v>18</v>
      </c>
      <c r="N619">
        <v>1</v>
      </c>
      <c r="O619">
        <v>0</v>
      </c>
      <c r="P619" t="s">
        <v>19</v>
      </c>
      <c r="Q619" s="6">
        <v>324</v>
      </c>
      <c r="R619" t="str">
        <f t="shared" si="27"/>
        <v>Ope's 5 Star Short Let Apartment in Lekki_x000C_</v>
      </c>
      <c r="S619" t="str">
        <f t="shared" si="28"/>
        <v>Ope's 5 Star Short Let Apartment in Lekki</v>
      </c>
      <c r="T619">
        <f>Table1[[#This Row],[Adults]]+Table1[[#This Row],[Children]]</f>
        <v>1</v>
      </c>
      <c r="U619">
        <f>_xlfn.DAYS(Table1[[#This Row],[Depart]],Table1[[#This Row],[Arrive]])</f>
        <v>3</v>
      </c>
    </row>
    <row r="620" spans="1:21" x14ac:dyDescent="0.25">
      <c r="A620" t="s">
        <v>805</v>
      </c>
      <c r="B620" t="s">
        <v>806</v>
      </c>
      <c r="C620" t="s">
        <v>1180</v>
      </c>
      <c r="D620" s="1">
        <v>44103</v>
      </c>
      <c r="E620" s="1">
        <v>44105</v>
      </c>
      <c r="F620">
        <f t="shared" si="29"/>
        <v>2</v>
      </c>
      <c r="G620" s="1">
        <v>44096</v>
      </c>
      <c r="H620" s="2">
        <v>0.58333333333333337</v>
      </c>
      <c r="I620" s="2">
        <v>0.45833333333333331</v>
      </c>
      <c r="J620" t="s">
        <v>1800</v>
      </c>
      <c r="K620" t="s">
        <v>1800</v>
      </c>
      <c r="L620" t="s">
        <v>22</v>
      </c>
      <c r="M620" s="12" t="s">
        <v>23</v>
      </c>
      <c r="N620">
        <v>4</v>
      </c>
      <c r="O620">
        <v>0</v>
      </c>
      <c r="P620" t="s">
        <v>19</v>
      </c>
      <c r="Q620" s="6">
        <v>258</v>
      </c>
      <c r="R620" t="str">
        <f t="shared" si="27"/>
        <v>Zoe's 5 Star Short let Apartment in Lekki_x000C_</v>
      </c>
      <c r="S620" t="str">
        <f t="shared" si="28"/>
        <v>Zoe's 5 Star Short let Apartment in Lekki</v>
      </c>
      <c r="T620">
        <f>Table1[[#This Row],[Adults]]+Table1[[#This Row],[Children]]</f>
        <v>4</v>
      </c>
      <c r="U620">
        <f>_xlfn.DAYS(Table1[[#This Row],[Depart]],Table1[[#This Row],[Arrive]])</f>
        <v>2</v>
      </c>
    </row>
    <row r="621" spans="1:21" x14ac:dyDescent="0.25">
      <c r="A621" t="s">
        <v>31</v>
      </c>
      <c r="B621" t="s">
        <v>32</v>
      </c>
      <c r="C621" t="s">
        <v>1173</v>
      </c>
      <c r="D621" s="1">
        <v>44103</v>
      </c>
      <c r="E621" s="1">
        <v>44105</v>
      </c>
      <c r="F621">
        <f t="shared" si="29"/>
        <v>2</v>
      </c>
      <c r="G621" s="1">
        <v>44097</v>
      </c>
      <c r="H621" s="2">
        <v>0.33333333333333331</v>
      </c>
      <c r="I621" s="3">
        <v>1</v>
      </c>
      <c r="J621" t="s">
        <v>1806</v>
      </c>
      <c r="K621" t="s">
        <v>1806</v>
      </c>
      <c r="L621" t="s">
        <v>22</v>
      </c>
      <c r="M621" s="12" t="s">
        <v>23</v>
      </c>
      <c r="N621">
        <v>3</v>
      </c>
      <c r="O621">
        <v>0</v>
      </c>
      <c r="P621" t="s">
        <v>19</v>
      </c>
      <c r="Q621" s="6">
        <v>258</v>
      </c>
      <c r="R621" t="str">
        <f t="shared" si="27"/>
        <v xml:space="preserve"> The Daniels 5 Star Short Let Apartment in Lekki_x000C_</v>
      </c>
      <c r="S621" t="str">
        <f t="shared" si="28"/>
        <v xml:space="preserve"> The Daniels 5 Star Short Let Apartment in Lekki</v>
      </c>
      <c r="T621">
        <f>Table1[[#This Row],[Adults]]+Table1[[#This Row],[Children]]</f>
        <v>3</v>
      </c>
      <c r="U621">
        <f>_xlfn.DAYS(Table1[[#This Row],[Depart]],Table1[[#This Row],[Arrive]])</f>
        <v>2</v>
      </c>
    </row>
    <row r="622" spans="1:21" x14ac:dyDescent="0.25">
      <c r="A622" t="s">
        <v>771</v>
      </c>
      <c r="B622" t="s">
        <v>772</v>
      </c>
      <c r="C622" t="s">
        <v>1177</v>
      </c>
      <c r="D622" s="1">
        <v>44105</v>
      </c>
      <c r="E622" s="1">
        <v>44107</v>
      </c>
      <c r="F622">
        <f t="shared" si="29"/>
        <v>2</v>
      </c>
      <c r="G622" s="1">
        <v>44085</v>
      </c>
      <c r="H622" s="2">
        <v>0.45833333333333331</v>
      </c>
      <c r="I622" s="2">
        <v>0.41666666666666669</v>
      </c>
      <c r="J622" t="s">
        <v>1771</v>
      </c>
      <c r="K622" t="s">
        <v>1771</v>
      </c>
      <c r="L622" t="s">
        <v>26</v>
      </c>
      <c r="M622" s="12" t="s">
        <v>18</v>
      </c>
      <c r="N622">
        <v>3</v>
      </c>
      <c r="O622">
        <v>0</v>
      </c>
      <c r="P622" t="s">
        <v>19</v>
      </c>
      <c r="Q622" s="6">
        <v>247</v>
      </c>
      <c r="R622" t="str">
        <f t="shared" si="27"/>
        <v>Achikare 's Luxury Home Away from Home_x000C_</v>
      </c>
      <c r="S622" t="str">
        <f t="shared" si="28"/>
        <v>Achikare 's Luxury Home Away from Home</v>
      </c>
      <c r="T622">
        <f>Table1[[#This Row],[Adults]]+Table1[[#This Row],[Children]]</f>
        <v>3</v>
      </c>
      <c r="U622">
        <f>_xlfn.DAYS(Table1[[#This Row],[Depart]],Table1[[#This Row],[Arrive]])</f>
        <v>2</v>
      </c>
    </row>
    <row r="623" spans="1:21" x14ac:dyDescent="0.25">
      <c r="A623" t="s">
        <v>825</v>
      </c>
      <c r="B623" t="s">
        <v>826</v>
      </c>
      <c r="C623" t="s">
        <v>1178</v>
      </c>
      <c r="D623" s="1">
        <v>44105</v>
      </c>
      <c r="E623" s="1">
        <v>44106</v>
      </c>
      <c r="F623">
        <f t="shared" si="29"/>
        <v>1</v>
      </c>
      <c r="G623" s="1">
        <v>44098</v>
      </c>
      <c r="H623" s="2">
        <v>0.58333333333333337</v>
      </c>
      <c r="I623" s="2">
        <v>0.45833333333333331</v>
      </c>
      <c r="J623" t="s">
        <v>1814</v>
      </c>
      <c r="K623" t="s">
        <v>1814</v>
      </c>
      <c r="L623" t="s">
        <v>22</v>
      </c>
      <c r="M623" s="12" t="s">
        <v>23</v>
      </c>
      <c r="N623">
        <v>4</v>
      </c>
      <c r="O623">
        <v>0</v>
      </c>
      <c r="P623" t="s">
        <v>19</v>
      </c>
      <c r="Q623" s="6">
        <v>129</v>
      </c>
      <c r="R623" t="str">
        <f t="shared" si="27"/>
        <v>Ope's 5 Star Short Let Apartment in Lekki_x000C_</v>
      </c>
      <c r="S623" t="str">
        <f t="shared" si="28"/>
        <v>Ope's 5 Star Short Let Apartment in Lekki</v>
      </c>
      <c r="T623">
        <f>Table1[[#This Row],[Adults]]+Table1[[#This Row],[Children]]</f>
        <v>4</v>
      </c>
      <c r="U623">
        <f>_xlfn.DAYS(Table1[[#This Row],[Depart]],Table1[[#This Row],[Arrive]])</f>
        <v>1</v>
      </c>
    </row>
    <row r="624" spans="1:21" x14ac:dyDescent="0.25">
      <c r="A624" t="s">
        <v>831</v>
      </c>
      <c r="B624" s="5" t="s">
        <v>832</v>
      </c>
      <c r="C624" t="s">
        <v>1180</v>
      </c>
      <c r="D624" s="1">
        <v>44105</v>
      </c>
      <c r="E624" s="1">
        <v>44107</v>
      </c>
      <c r="F624">
        <f t="shared" si="29"/>
        <v>2</v>
      </c>
      <c r="G624" s="1">
        <v>44105</v>
      </c>
      <c r="H624" s="2">
        <v>0.58333333333333337</v>
      </c>
      <c r="I624" s="2">
        <v>0.45833333333333331</v>
      </c>
      <c r="J624" t="s">
        <v>1821</v>
      </c>
      <c r="K624" t="s">
        <v>1821</v>
      </c>
      <c r="L624" t="s">
        <v>22</v>
      </c>
      <c r="M624" s="12" t="s">
        <v>18</v>
      </c>
      <c r="N624">
        <v>4</v>
      </c>
      <c r="O624">
        <v>0</v>
      </c>
      <c r="P624" t="s">
        <v>19</v>
      </c>
      <c r="Q624" s="6">
        <v>258</v>
      </c>
      <c r="R624" t="str">
        <f t="shared" si="27"/>
        <v>Zoe's 5 Star Short let Apartment in Lekki_x000C_</v>
      </c>
      <c r="S624" t="str">
        <f t="shared" si="28"/>
        <v>Zoe's 5 Star Short let Apartment in Lekki</v>
      </c>
      <c r="T624">
        <f>Table1[[#This Row],[Adults]]+Table1[[#This Row],[Children]]</f>
        <v>4</v>
      </c>
      <c r="U624">
        <f>_xlfn.DAYS(Table1[[#This Row],[Depart]],Table1[[#This Row],[Arrive]])</f>
        <v>2</v>
      </c>
    </row>
    <row r="625" spans="1:21" x14ac:dyDescent="0.25">
      <c r="A625" t="s">
        <v>831</v>
      </c>
      <c r="B625" t="s">
        <v>832</v>
      </c>
      <c r="C625" t="s">
        <v>1180</v>
      </c>
      <c r="D625" s="1">
        <v>44105</v>
      </c>
      <c r="E625" s="1">
        <v>44107</v>
      </c>
      <c r="F625">
        <f t="shared" si="29"/>
        <v>2</v>
      </c>
      <c r="G625" s="1">
        <v>44105</v>
      </c>
      <c r="H625" s="2">
        <v>0.58333333333333337</v>
      </c>
      <c r="I625" s="2">
        <v>0.45833333333333331</v>
      </c>
      <c r="J625" t="s">
        <v>1822</v>
      </c>
      <c r="K625" t="s">
        <v>1822</v>
      </c>
      <c r="L625" t="s">
        <v>26</v>
      </c>
      <c r="M625" s="12" t="s">
        <v>23</v>
      </c>
      <c r="N625">
        <v>4</v>
      </c>
      <c r="O625">
        <v>0</v>
      </c>
      <c r="P625" t="s">
        <v>19</v>
      </c>
      <c r="Q625" s="6">
        <v>258</v>
      </c>
      <c r="R625" t="str">
        <f t="shared" si="27"/>
        <v>Zoe's 5 Star Short let Apartment in Lekki_x000C_</v>
      </c>
      <c r="S625" t="str">
        <f t="shared" si="28"/>
        <v>Zoe's 5 Star Short let Apartment in Lekki</v>
      </c>
      <c r="T625">
        <f>Table1[[#This Row],[Adults]]+Table1[[#This Row],[Children]]</f>
        <v>4</v>
      </c>
      <c r="U625">
        <f>_xlfn.DAYS(Table1[[#This Row],[Depart]],Table1[[#This Row],[Arrive]])</f>
        <v>2</v>
      </c>
    </row>
    <row r="626" spans="1:21" x14ac:dyDescent="0.25">
      <c r="A626" t="s">
        <v>813</v>
      </c>
      <c r="B626" t="s">
        <v>814</v>
      </c>
      <c r="C626" t="s">
        <v>1179</v>
      </c>
      <c r="D626" s="1">
        <v>44106</v>
      </c>
      <c r="E626" s="1">
        <v>44107</v>
      </c>
      <c r="F626">
        <f t="shared" si="29"/>
        <v>1</v>
      </c>
      <c r="G626" s="1">
        <v>44099</v>
      </c>
      <c r="H626" s="2">
        <v>0.33333333333333331</v>
      </c>
      <c r="I626" s="3">
        <v>1</v>
      </c>
      <c r="J626" t="s">
        <v>1808</v>
      </c>
      <c r="K626" t="s">
        <v>1808</v>
      </c>
      <c r="L626" t="s">
        <v>22</v>
      </c>
      <c r="M626" s="12" t="s">
        <v>23</v>
      </c>
      <c r="N626">
        <v>6</v>
      </c>
      <c r="O626">
        <v>0</v>
      </c>
      <c r="P626" t="s">
        <v>19</v>
      </c>
      <c r="Q626" s="6">
        <v>129</v>
      </c>
      <c r="R626" t="str">
        <f t="shared" si="27"/>
        <v>Phiola's 5 Star Short Let Apartment in Lekki_x000C_</v>
      </c>
      <c r="S626" t="str">
        <f t="shared" si="28"/>
        <v>Phiola's 5 Star Short Let Apartment in Lekki</v>
      </c>
      <c r="T626">
        <f>Table1[[#This Row],[Adults]]+Table1[[#This Row],[Children]]</f>
        <v>6</v>
      </c>
      <c r="U626">
        <f>_xlfn.DAYS(Table1[[#This Row],[Depart]],Table1[[#This Row],[Arrive]])</f>
        <v>1</v>
      </c>
    </row>
    <row r="627" spans="1:21" x14ac:dyDescent="0.25">
      <c r="A627" t="s">
        <v>821</v>
      </c>
      <c r="B627" t="s">
        <v>822</v>
      </c>
      <c r="C627" t="s">
        <v>1175</v>
      </c>
      <c r="D627" s="1">
        <v>44106</v>
      </c>
      <c r="E627" s="1">
        <v>44108</v>
      </c>
      <c r="F627">
        <f t="shared" si="29"/>
        <v>2</v>
      </c>
      <c r="G627" s="1">
        <v>44076</v>
      </c>
      <c r="H627" s="2">
        <v>0.33333333333333331</v>
      </c>
      <c r="I627" s="3">
        <v>1</v>
      </c>
      <c r="J627" t="s">
        <v>1812</v>
      </c>
      <c r="K627" t="s">
        <v>1812</v>
      </c>
      <c r="L627" t="s">
        <v>22</v>
      </c>
      <c r="M627" s="12" t="s">
        <v>23</v>
      </c>
      <c r="N627">
        <v>4</v>
      </c>
      <c r="O627">
        <v>0</v>
      </c>
      <c r="P627" t="s">
        <v>19</v>
      </c>
      <c r="Q627" s="6">
        <v>258</v>
      </c>
      <c r="R627" t="str">
        <f t="shared" si="27"/>
        <v>Keji's 5 Star Short let Apartment in Lekki_x000C_</v>
      </c>
      <c r="S627" t="str">
        <f t="shared" si="28"/>
        <v>Keji's 5 Star Short let Apartment in Lekki</v>
      </c>
      <c r="T627">
        <f>Table1[[#This Row],[Adults]]+Table1[[#This Row],[Children]]</f>
        <v>4</v>
      </c>
      <c r="U627">
        <f>_xlfn.DAYS(Table1[[#This Row],[Depart]],Table1[[#This Row],[Arrive]])</f>
        <v>2</v>
      </c>
    </row>
    <row r="628" spans="1:21" x14ac:dyDescent="0.25">
      <c r="A628" t="s">
        <v>589</v>
      </c>
      <c r="B628" t="s">
        <v>590</v>
      </c>
      <c r="C628" t="s">
        <v>1176</v>
      </c>
      <c r="D628" s="1">
        <v>44106</v>
      </c>
      <c r="E628" s="1">
        <v>44108</v>
      </c>
      <c r="F628">
        <f t="shared" si="29"/>
        <v>2</v>
      </c>
      <c r="G628" s="1">
        <v>44094</v>
      </c>
      <c r="H628" s="2">
        <v>0.58333333333333337</v>
      </c>
      <c r="I628" s="2">
        <v>0.45833333333333331</v>
      </c>
      <c r="J628" t="s">
        <v>1826</v>
      </c>
      <c r="K628" t="s">
        <v>1826</v>
      </c>
      <c r="L628" t="s">
        <v>22</v>
      </c>
      <c r="M628" s="12" t="s">
        <v>23</v>
      </c>
      <c r="N628">
        <v>5</v>
      </c>
      <c r="O628">
        <v>0</v>
      </c>
      <c r="P628" t="s">
        <v>19</v>
      </c>
      <c r="Q628" s="6">
        <v>376.25</v>
      </c>
      <c r="R628" t="str">
        <f t="shared" si="27"/>
        <v>Tiara's Luxury Home Away From Home_x000C_</v>
      </c>
      <c r="S628" t="str">
        <f t="shared" si="28"/>
        <v>Tiara's Luxury Home Away From Home</v>
      </c>
      <c r="T628">
        <f>Table1[[#This Row],[Adults]]+Table1[[#This Row],[Children]]</f>
        <v>5</v>
      </c>
      <c r="U628">
        <f>_xlfn.DAYS(Table1[[#This Row],[Depart]],Table1[[#This Row],[Arrive]])</f>
        <v>2</v>
      </c>
    </row>
    <row r="629" spans="1:21" x14ac:dyDescent="0.25">
      <c r="A629" t="s">
        <v>793</v>
      </c>
      <c r="B629" t="s">
        <v>794</v>
      </c>
      <c r="C629" t="s">
        <v>1179</v>
      </c>
      <c r="D629" s="1">
        <v>44107</v>
      </c>
      <c r="E629" s="1">
        <v>44109</v>
      </c>
      <c r="F629">
        <f t="shared" si="29"/>
        <v>2</v>
      </c>
      <c r="G629" s="1">
        <v>44091</v>
      </c>
      <c r="H629" s="2">
        <v>0.33333333333333331</v>
      </c>
      <c r="I629" s="3">
        <v>1</v>
      </c>
      <c r="J629" t="s">
        <v>1788</v>
      </c>
      <c r="K629" t="s">
        <v>1788</v>
      </c>
      <c r="L629" t="s">
        <v>22</v>
      </c>
      <c r="M629" s="12" t="s">
        <v>23</v>
      </c>
      <c r="N629">
        <v>5</v>
      </c>
      <c r="O629">
        <v>0</v>
      </c>
      <c r="P629" t="s">
        <v>19</v>
      </c>
      <c r="Q629" s="6">
        <v>258</v>
      </c>
      <c r="R629" t="str">
        <f t="shared" si="27"/>
        <v>Phiola's 5 Star Short Let Apartment in Lekki_x000C_</v>
      </c>
      <c r="S629" t="str">
        <f t="shared" si="28"/>
        <v>Phiola's 5 Star Short Let Apartment in Lekki</v>
      </c>
      <c r="T629">
        <f>Table1[[#This Row],[Adults]]+Table1[[#This Row],[Children]]</f>
        <v>5</v>
      </c>
      <c r="U629">
        <f>_xlfn.DAYS(Table1[[#This Row],[Depart]],Table1[[#This Row],[Arrive]])</f>
        <v>2</v>
      </c>
    </row>
    <row r="630" spans="1:21" x14ac:dyDescent="0.25">
      <c r="A630" t="s">
        <v>589</v>
      </c>
      <c r="B630" t="s">
        <v>590</v>
      </c>
      <c r="C630" t="s">
        <v>1177</v>
      </c>
      <c r="D630" s="1">
        <v>44107</v>
      </c>
      <c r="E630" s="1">
        <v>44109</v>
      </c>
      <c r="F630">
        <f t="shared" si="29"/>
        <v>2</v>
      </c>
      <c r="G630" s="1">
        <v>44106</v>
      </c>
      <c r="H630" s="2">
        <v>0.58333333333333337</v>
      </c>
      <c r="I630" s="2">
        <v>0.5</v>
      </c>
      <c r="J630" t="s">
        <v>1825</v>
      </c>
      <c r="K630" t="s">
        <v>1825</v>
      </c>
      <c r="L630" t="s">
        <v>22</v>
      </c>
      <c r="M630" s="12" t="s">
        <v>23</v>
      </c>
      <c r="N630">
        <v>5</v>
      </c>
      <c r="O630">
        <v>0</v>
      </c>
      <c r="P630" t="s">
        <v>19</v>
      </c>
      <c r="Q630" s="6">
        <v>376.25</v>
      </c>
      <c r="R630" t="str">
        <f t="shared" si="27"/>
        <v>Achikare 's Luxury Home Away from Home_x000C_</v>
      </c>
      <c r="S630" t="str">
        <f t="shared" si="28"/>
        <v>Achikare 's Luxury Home Away from Home</v>
      </c>
      <c r="T630">
        <f>Table1[[#This Row],[Adults]]+Table1[[#This Row],[Children]]</f>
        <v>5</v>
      </c>
      <c r="U630">
        <f>_xlfn.DAYS(Table1[[#This Row],[Depart]],Table1[[#This Row],[Arrive]])</f>
        <v>2</v>
      </c>
    </row>
    <row r="631" spans="1:21" x14ac:dyDescent="0.25">
      <c r="A631" t="s">
        <v>416</v>
      </c>
      <c r="B631" t="s">
        <v>417</v>
      </c>
      <c r="C631" t="s">
        <v>1176</v>
      </c>
      <c r="D631" s="1">
        <v>44108</v>
      </c>
      <c r="E631" s="1">
        <v>44119</v>
      </c>
      <c r="F631">
        <f t="shared" si="29"/>
        <v>11</v>
      </c>
      <c r="G631" s="1">
        <v>44097</v>
      </c>
      <c r="H631" s="2">
        <v>0.58333333333333337</v>
      </c>
      <c r="I631" s="2">
        <v>0.45833333333333331</v>
      </c>
      <c r="J631" t="s">
        <v>1802</v>
      </c>
      <c r="K631" t="s">
        <v>1802</v>
      </c>
      <c r="L631" t="s">
        <v>22</v>
      </c>
      <c r="M631" s="12" t="s">
        <v>18</v>
      </c>
      <c r="N631">
        <v>3</v>
      </c>
      <c r="O631">
        <v>0</v>
      </c>
      <c r="P631" t="s">
        <v>19</v>
      </c>
      <c r="Q631" s="6">
        <v>2069.38</v>
      </c>
      <c r="R631" t="str">
        <f t="shared" si="27"/>
        <v>Tiara's Luxury Home Away From Home_x000C_</v>
      </c>
      <c r="S631" t="str">
        <f t="shared" si="28"/>
        <v>Tiara's Luxury Home Away From Home</v>
      </c>
      <c r="T631">
        <f>Table1[[#This Row],[Adults]]+Table1[[#This Row],[Children]]</f>
        <v>3</v>
      </c>
      <c r="U631">
        <f>_xlfn.DAYS(Table1[[#This Row],[Depart]],Table1[[#This Row],[Arrive]])</f>
        <v>11</v>
      </c>
    </row>
    <row r="632" spans="1:21" x14ac:dyDescent="0.25">
      <c r="A632" t="s">
        <v>823</v>
      </c>
      <c r="B632" t="s">
        <v>824</v>
      </c>
      <c r="C632" t="s">
        <v>1178</v>
      </c>
      <c r="D632" s="1">
        <v>44108</v>
      </c>
      <c r="E632" s="1">
        <v>44109</v>
      </c>
      <c r="F632">
        <f t="shared" si="29"/>
        <v>1</v>
      </c>
      <c r="G632" s="1">
        <v>44104</v>
      </c>
      <c r="H632" s="2">
        <v>0.58333333333333337</v>
      </c>
      <c r="I632" s="2">
        <v>0.45833333333333331</v>
      </c>
      <c r="J632" t="s">
        <v>1813</v>
      </c>
      <c r="K632" t="s">
        <v>1813</v>
      </c>
      <c r="L632" t="s">
        <v>22</v>
      </c>
      <c r="M632" s="12" t="s">
        <v>23</v>
      </c>
      <c r="N632">
        <v>4</v>
      </c>
      <c r="O632">
        <v>0</v>
      </c>
      <c r="P632" t="s">
        <v>19</v>
      </c>
      <c r="Q632" s="6">
        <v>129</v>
      </c>
      <c r="R632" t="str">
        <f t="shared" si="27"/>
        <v>Ope's 5 Star Short Let Apartment in Lekki_x000C_</v>
      </c>
      <c r="S632" t="str">
        <f t="shared" si="28"/>
        <v>Ope's 5 Star Short Let Apartment in Lekki</v>
      </c>
      <c r="T632">
        <f>Table1[[#This Row],[Adults]]+Table1[[#This Row],[Children]]</f>
        <v>4</v>
      </c>
      <c r="U632">
        <f>_xlfn.DAYS(Table1[[#This Row],[Depart]],Table1[[#This Row],[Arrive]])</f>
        <v>1</v>
      </c>
    </row>
    <row r="633" spans="1:21" x14ac:dyDescent="0.25">
      <c r="A633" t="s">
        <v>685</v>
      </c>
      <c r="B633" t="s">
        <v>686</v>
      </c>
      <c r="C633" t="s">
        <v>1175</v>
      </c>
      <c r="D633" s="1">
        <v>44108</v>
      </c>
      <c r="E633" s="1">
        <v>44109</v>
      </c>
      <c r="F633">
        <f t="shared" si="29"/>
        <v>1</v>
      </c>
      <c r="G633" s="1">
        <v>44087</v>
      </c>
      <c r="H633" s="2">
        <v>0.33333333333333331</v>
      </c>
      <c r="I633" s="3">
        <v>1</v>
      </c>
      <c r="J633" t="s">
        <v>1817</v>
      </c>
      <c r="K633" t="s">
        <v>1817</v>
      </c>
      <c r="L633" t="s">
        <v>22</v>
      </c>
      <c r="M633" s="12" t="s">
        <v>18</v>
      </c>
      <c r="N633">
        <v>5</v>
      </c>
      <c r="O633">
        <v>0</v>
      </c>
      <c r="P633" t="s">
        <v>19</v>
      </c>
      <c r="Q633" s="6">
        <v>129</v>
      </c>
      <c r="R633" t="str">
        <f t="shared" si="27"/>
        <v>Keji's 5 Star Short let Apartment in Lekki_x000C_</v>
      </c>
      <c r="S633" t="str">
        <f t="shared" si="28"/>
        <v>Keji's 5 Star Short let Apartment in Lekki</v>
      </c>
      <c r="T633">
        <f>Table1[[#This Row],[Adults]]+Table1[[#This Row],[Children]]</f>
        <v>5</v>
      </c>
      <c r="U633">
        <f>_xlfn.DAYS(Table1[[#This Row],[Depart]],Table1[[#This Row],[Arrive]])</f>
        <v>1</v>
      </c>
    </row>
    <row r="634" spans="1:21" x14ac:dyDescent="0.25">
      <c r="A634" t="s">
        <v>841</v>
      </c>
      <c r="B634" t="s">
        <v>842</v>
      </c>
      <c r="C634" t="s">
        <v>1175</v>
      </c>
      <c r="D634" s="1">
        <v>44108</v>
      </c>
      <c r="E634" s="1">
        <v>44109</v>
      </c>
      <c r="F634">
        <f t="shared" si="29"/>
        <v>1</v>
      </c>
      <c r="G634" s="1">
        <v>44106</v>
      </c>
      <c r="H634" s="2">
        <v>0.5</v>
      </c>
      <c r="I634" s="2">
        <v>0.58333333333333337</v>
      </c>
      <c r="J634" t="s">
        <v>1829</v>
      </c>
      <c r="K634" t="s">
        <v>1829</v>
      </c>
      <c r="L634" t="s">
        <v>22</v>
      </c>
      <c r="M634" s="12" t="s">
        <v>23</v>
      </c>
      <c r="N634">
        <v>4</v>
      </c>
      <c r="O634">
        <v>0</v>
      </c>
      <c r="P634" t="s">
        <v>19</v>
      </c>
      <c r="Q634" s="6">
        <v>129</v>
      </c>
      <c r="R634" t="str">
        <f t="shared" si="27"/>
        <v>Keji's 5 Star Short let Apartment in Lekki_x000C_</v>
      </c>
      <c r="S634" t="str">
        <f t="shared" si="28"/>
        <v>Keji's 5 Star Short let Apartment in Lekki</v>
      </c>
      <c r="T634">
        <f>Table1[[#This Row],[Adults]]+Table1[[#This Row],[Children]]</f>
        <v>4</v>
      </c>
      <c r="U634">
        <f>_xlfn.DAYS(Table1[[#This Row],[Depart]],Table1[[#This Row],[Arrive]])</f>
        <v>1</v>
      </c>
    </row>
    <row r="635" spans="1:21" x14ac:dyDescent="0.25">
      <c r="A635" t="s">
        <v>847</v>
      </c>
      <c r="B635" t="s">
        <v>848</v>
      </c>
      <c r="C635" t="s">
        <v>1176</v>
      </c>
      <c r="D635" s="1">
        <v>44108</v>
      </c>
      <c r="E635" s="1">
        <v>44112</v>
      </c>
      <c r="F635">
        <f t="shared" si="29"/>
        <v>4</v>
      </c>
      <c r="G635" s="1">
        <v>44102</v>
      </c>
      <c r="H635" s="2">
        <v>0.58333333333333337</v>
      </c>
      <c r="I635" s="2">
        <v>0.45833333333333331</v>
      </c>
      <c r="J635" t="s">
        <v>1833</v>
      </c>
      <c r="K635" t="s">
        <v>1833</v>
      </c>
      <c r="L635" t="s">
        <v>22</v>
      </c>
      <c r="M635" s="12" t="s">
        <v>23</v>
      </c>
      <c r="N635">
        <v>4</v>
      </c>
      <c r="O635">
        <v>0</v>
      </c>
      <c r="P635" t="s">
        <v>19</v>
      </c>
      <c r="Q635" s="6">
        <v>752.5</v>
      </c>
      <c r="R635" t="str">
        <f t="shared" si="27"/>
        <v>Tiara's Luxury Home Away From Home_x000C_</v>
      </c>
      <c r="S635" t="str">
        <f t="shared" si="28"/>
        <v>Tiara's Luxury Home Away From Home</v>
      </c>
      <c r="T635">
        <f>Table1[[#This Row],[Adults]]+Table1[[#This Row],[Children]]</f>
        <v>4</v>
      </c>
      <c r="U635">
        <f>_xlfn.DAYS(Table1[[#This Row],[Depart]],Table1[[#This Row],[Arrive]])</f>
        <v>4</v>
      </c>
    </row>
    <row r="636" spans="1:21" x14ac:dyDescent="0.25">
      <c r="A636" t="s">
        <v>751</v>
      </c>
      <c r="B636" t="s">
        <v>752</v>
      </c>
      <c r="C636" t="s">
        <v>1178</v>
      </c>
      <c r="D636" s="1">
        <v>44109</v>
      </c>
      <c r="E636" s="1">
        <v>44111</v>
      </c>
      <c r="F636">
        <f t="shared" si="29"/>
        <v>2</v>
      </c>
      <c r="G636" s="1">
        <v>44084</v>
      </c>
      <c r="H636" s="2">
        <v>0.58333333333333337</v>
      </c>
      <c r="I636" s="2">
        <v>0.45833333333333331</v>
      </c>
      <c r="J636" t="s">
        <v>1755</v>
      </c>
      <c r="K636" t="s">
        <v>1755</v>
      </c>
      <c r="L636" t="s">
        <v>22</v>
      </c>
      <c r="M636" s="12" t="s">
        <v>23</v>
      </c>
      <c r="N636">
        <v>4</v>
      </c>
      <c r="O636">
        <v>0</v>
      </c>
      <c r="P636" t="s">
        <v>19</v>
      </c>
      <c r="Q636" s="6">
        <v>236.5</v>
      </c>
      <c r="R636" t="str">
        <f t="shared" si="27"/>
        <v>Ope's 5 Star Short Let Apartment in Lekki_x000C_</v>
      </c>
      <c r="S636" t="str">
        <f t="shared" si="28"/>
        <v>Ope's 5 Star Short Let Apartment in Lekki</v>
      </c>
      <c r="T636">
        <f>Table1[[#This Row],[Adults]]+Table1[[#This Row],[Children]]</f>
        <v>4</v>
      </c>
      <c r="U636">
        <f>_xlfn.DAYS(Table1[[#This Row],[Depart]],Table1[[#This Row],[Arrive]])</f>
        <v>2</v>
      </c>
    </row>
    <row r="637" spans="1:21" x14ac:dyDescent="0.25">
      <c r="A637" t="s">
        <v>667</v>
      </c>
      <c r="B637" t="s">
        <v>668</v>
      </c>
      <c r="C637" t="s">
        <v>1179</v>
      </c>
      <c r="D637" s="1">
        <v>44109</v>
      </c>
      <c r="E637" s="1">
        <v>44113</v>
      </c>
      <c r="F637">
        <f t="shared" si="29"/>
        <v>4</v>
      </c>
      <c r="G637" s="1">
        <v>44091</v>
      </c>
      <c r="H637" s="2">
        <v>0.33333333333333331</v>
      </c>
      <c r="I637" s="3">
        <v>1</v>
      </c>
      <c r="J637" t="s">
        <v>1789</v>
      </c>
      <c r="K637" t="s">
        <v>1789</v>
      </c>
      <c r="L637" t="s">
        <v>22</v>
      </c>
      <c r="M637" s="12" t="s">
        <v>18</v>
      </c>
      <c r="N637">
        <v>3</v>
      </c>
      <c r="O637">
        <v>0</v>
      </c>
      <c r="P637" t="s">
        <v>19</v>
      </c>
      <c r="Q637" s="6">
        <v>516</v>
      </c>
      <c r="R637" t="str">
        <f t="shared" si="27"/>
        <v>Phiola's 5 Star Short Let Apartment in Lekki_x000C_</v>
      </c>
      <c r="S637" t="str">
        <f t="shared" si="28"/>
        <v>Phiola's 5 Star Short Let Apartment in Lekki</v>
      </c>
      <c r="T637">
        <f>Table1[[#This Row],[Adults]]+Table1[[#This Row],[Children]]</f>
        <v>3</v>
      </c>
      <c r="U637">
        <f>_xlfn.DAYS(Table1[[#This Row],[Depart]],Table1[[#This Row],[Arrive]])</f>
        <v>4</v>
      </c>
    </row>
    <row r="638" spans="1:21" x14ac:dyDescent="0.25">
      <c r="A638" t="s">
        <v>807</v>
      </c>
      <c r="B638" t="s">
        <v>808</v>
      </c>
      <c r="C638" t="s">
        <v>1173</v>
      </c>
      <c r="D638" s="1">
        <v>44109</v>
      </c>
      <c r="E638" s="1">
        <v>44111</v>
      </c>
      <c r="F638">
        <f t="shared" si="29"/>
        <v>2</v>
      </c>
      <c r="G638" s="1">
        <v>44097</v>
      </c>
      <c r="H638" s="2">
        <v>0.33333333333333331</v>
      </c>
      <c r="I638" s="3">
        <v>1</v>
      </c>
      <c r="J638" t="s">
        <v>1803</v>
      </c>
      <c r="K638" t="s">
        <v>1803</v>
      </c>
      <c r="L638" t="s">
        <v>26</v>
      </c>
      <c r="M638" s="12" t="s">
        <v>18</v>
      </c>
      <c r="N638">
        <v>1</v>
      </c>
      <c r="O638">
        <v>0</v>
      </c>
      <c r="P638" t="s">
        <v>19</v>
      </c>
      <c r="Q638" s="6">
        <v>235</v>
      </c>
      <c r="R638" t="str">
        <f t="shared" si="27"/>
        <v xml:space="preserve"> The Daniels 5 Star Short Let Apartment in Lekki_x000C_</v>
      </c>
      <c r="S638" t="str">
        <f t="shared" si="28"/>
        <v xml:space="preserve"> The Daniels 5 Star Short Let Apartment in Lekki</v>
      </c>
      <c r="T638">
        <f>Table1[[#This Row],[Adults]]+Table1[[#This Row],[Children]]</f>
        <v>1</v>
      </c>
      <c r="U638">
        <f>_xlfn.DAYS(Table1[[#This Row],[Depart]],Table1[[#This Row],[Arrive]])</f>
        <v>2</v>
      </c>
    </row>
    <row r="639" spans="1:21" x14ac:dyDescent="0.25">
      <c r="A639" t="s">
        <v>807</v>
      </c>
      <c r="B639" t="s">
        <v>808</v>
      </c>
      <c r="C639" t="s">
        <v>1179</v>
      </c>
      <c r="D639" s="1">
        <v>44109</v>
      </c>
      <c r="E639" s="1">
        <v>44111</v>
      </c>
      <c r="F639">
        <f t="shared" si="29"/>
        <v>2</v>
      </c>
      <c r="G639" s="1">
        <v>44097</v>
      </c>
      <c r="H639" s="2">
        <v>0.33333333333333331</v>
      </c>
      <c r="I639" s="3">
        <v>1</v>
      </c>
      <c r="J639" t="s">
        <v>1804</v>
      </c>
      <c r="K639" t="s">
        <v>1804</v>
      </c>
      <c r="L639" t="s">
        <v>26</v>
      </c>
      <c r="M639" s="12" t="s">
        <v>18</v>
      </c>
      <c r="N639">
        <v>1</v>
      </c>
      <c r="O639">
        <v>0</v>
      </c>
      <c r="P639" t="s">
        <v>19</v>
      </c>
      <c r="Q639" s="6">
        <v>255</v>
      </c>
      <c r="R639" t="str">
        <f t="shared" si="27"/>
        <v>Phiola's 5 Star Short Let Apartment in Lekki_x000C_</v>
      </c>
      <c r="S639" t="str">
        <f t="shared" si="28"/>
        <v>Phiola's 5 Star Short Let Apartment in Lekki</v>
      </c>
      <c r="T639">
        <f>Table1[[#This Row],[Adults]]+Table1[[#This Row],[Children]]</f>
        <v>1</v>
      </c>
      <c r="U639">
        <f>_xlfn.DAYS(Table1[[#This Row],[Depart]],Table1[[#This Row],[Arrive]])</f>
        <v>2</v>
      </c>
    </row>
    <row r="640" spans="1:21" x14ac:dyDescent="0.25">
      <c r="A640" t="s">
        <v>817</v>
      </c>
      <c r="B640" t="s">
        <v>818</v>
      </c>
      <c r="C640" t="s">
        <v>1173</v>
      </c>
      <c r="D640" s="1">
        <v>44109</v>
      </c>
      <c r="E640" s="1">
        <v>44120</v>
      </c>
      <c r="F640">
        <f t="shared" si="29"/>
        <v>11</v>
      </c>
      <c r="G640" s="1">
        <v>44101</v>
      </c>
      <c r="H640" s="2">
        <v>0.33333333333333331</v>
      </c>
      <c r="I640" s="3">
        <v>1</v>
      </c>
      <c r="J640" t="s">
        <v>1810</v>
      </c>
      <c r="K640" t="s">
        <v>1810</v>
      </c>
      <c r="L640" t="s">
        <v>26</v>
      </c>
      <c r="M640" s="12" t="s">
        <v>18</v>
      </c>
      <c r="N640">
        <v>2</v>
      </c>
      <c r="O640">
        <v>0</v>
      </c>
      <c r="P640" t="s">
        <v>19</v>
      </c>
      <c r="Q640" s="6">
        <v>1268</v>
      </c>
      <c r="R640" t="str">
        <f t="shared" si="27"/>
        <v xml:space="preserve"> The Daniels 5 Star Short Let Apartment in Lekki_x000C_</v>
      </c>
      <c r="S640" t="str">
        <f t="shared" si="28"/>
        <v xml:space="preserve"> The Daniels 5 Star Short Let Apartment in Lekki</v>
      </c>
      <c r="T640">
        <f>Table1[[#This Row],[Adults]]+Table1[[#This Row],[Children]]</f>
        <v>2</v>
      </c>
      <c r="U640">
        <f>_xlfn.DAYS(Table1[[#This Row],[Depart]],Table1[[#This Row],[Arrive]])</f>
        <v>11</v>
      </c>
    </row>
    <row r="641" spans="1:21" x14ac:dyDescent="0.25">
      <c r="A641" t="s">
        <v>478</v>
      </c>
      <c r="B641" t="s">
        <v>479</v>
      </c>
      <c r="C641" t="s">
        <v>1175</v>
      </c>
      <c r="D641" s="1">
        <v>44109</v>
      </c>
      <c r="E641" s="1">
        <v>44111</v>
      </c>
      <c r="F641">
        <f t="shared" si="29"/>
        <v>2</v>
      </c>
      <c r="G641" s="1">
        <v>44077</v>
      </c>
      <c r="H641" s="2">
        <v>0.33333333333333331</v>
      </c>
      <c r="I641" s="3">
        <v>1</v>
      </c>
      <c r="J641" t="s">
        <v>1834</v>
      </c>
      <c r="K641" t="s">
        <v>1834</v>
      </c>
      <c r="L641" t="s">
        <v>22</v>
      </c>
      <c r="M641" s="12" t="s">
        <v>23</v>
      </c>
      <c r="N641">
        <v>4</v>
      </c>
      <c r="O641">
        <v>0</v>
      </c>
      <c r="P641" t="s">
        <v>19</v>
      </c>
      <c r="Q641" s="6">
        <v>258</v>
      </c>
      <c r="R641" t="str">
        <f t="shared" si="27"/>
        <v>Keji's 5 Star Short let Apartment in Lekki_x000C_</v>
      </c>
      <c r="S641" t="str">
        <f t="shared" si="28"/>
        <v>Keji's 5 Star Short let Apartment in Lekki</v>
      </c>
      <c r="T641">
        <f>Table1[[#This Row],[Adults]]+Table1[[#This Row],[Children]]</f>
        <v>4</v>
      </c>
      <c r="U641">
        <f>_xlfn.DAYS(Table1[[#This Row],[Depart]],Table1[[#This Row],[Arrive]])</f>
        <v>2</v>
      </c>
    </row>
    <row r="642" spans="1:21" x14ac:dyDescent="0.25">
      <c r="A642" t="s">
        <v>416</v>
      </c>
      <c r="B642" t="s">
        <v>417</v>
      </c>
      <c r="C642" t="s">
        <v>1177</v>
      </c>
      <c r="D642" s="1">
        <v>44109</v>
      </c>
      <c r="E642" s="1">
        <v>44113</v>
      </c>
      <c r="F642">
        <f t="shared" si="29"/>
        <v>4</v>
      </c>
      <c r="G642" s="1">
        <v>44077</v>
      </c>
      <c r="H642" s="2">
        <v>0.58333333333333337</v>
      </c>
      <c r="I642" s="2">
        <v>0.5</v>
      </c>
      <c r="J642" t="s">
        <v>1836</v>
      </c>
      <c r="K642" t="s">
        <v>1836</v>
      </c>
      <c r="L642" t="s">
        <v>22</v>
      </c>
      <c r="M642" s="12" t="s">
        <v>18</v>
      </c>
      <c r="N642">
        <v>4</v>
      </c>
      <c r="O642">
        <v>0</v>
      </c>
      <c r="P642" t="s">
        <v>19</v>
      </c>
      <c r="Q642" s="6">
        <v>752.5</v>
      </c>
      <c r="R642" t="str">
        <f t="shared" ref="R642:R705" si="30">SUBSTITUTE(C:C,"?","'")</f>
        <v>Achikare 's Luxury Home Away from Home_x000C_</v>
      </c>
      <c r="S642" t="str">
        <f t="shared" ref="S642:S705" si="31">CLEAN(R:R)</f>
        <v>Achikare 's Luxury Home Away from Home</v>
      </c>
      <c r="T642">
        <f>Table1[[#This Row],[Adults]]+Table1[[#This Row],[Children]]</f>
        <v>4</v>
      </c>
      <c r="U642">
        <f>_xlfn.DAYS(Table1[[#This Row],[Depart]],Table1[[#This Row],[Arrive]])</f>
        <v>4</v>
      </c>
    </row>
    <row r="643" spans="1:21" x14ac:dyDescent="0.25">
      <c r="A643" t="s">
        <v>857</v>
      </c>
      <c r="B643" t="s">
        <v>858</v>
      </c>
      <c r="C643" t="s">
        <v>1179</v>
      </c>
      <c r="D643" s="1">
        <v>44109</v>
      </c>
      <c r="E643" s="1">
        <v>44110</v>
      </c>
      <c r="F643">
        <f t="shared" ref="F643:F706" si="32">_xlfn.DAYS(E643,D643)</f>
        <v>1</v>
      </c>
      <c r="G643" s="1">
        <v>44110</v>
      </c>
      <c r="H643" s="2">
        <v>0.33333333333333331</v>
      </c>
      <c r="I643" s="3">
        <v>1</v>
      </c>
      <c r="J643" t="s">
        <v>1842</v>
      </c>
      <c r="K643" t="s">
        <v>1842</v>
      </c>
      <c r="L643" t="s">
        <v>22</v>
      </c>
      <c r="M643" s="12" t="s">
        <v>23</v>
      </c>
      <c r="N643">
        <v>2</v>
      </c>
      <c r="O643">
        <v>0</v>
      </c>
      <c r="P643" t="s">
        <v>19</v>
      </c>
      <c r="Q643" s="6">
        <v>129</v>
      </c>
      <c r="R643" t="str">
        <f t="shared" si="30"/>
        <v>Phiola's 5 Star Short Let Apartment in Lekki_x000C_</v>
      </c>
      <c r="S643" t="str">
        <f t="shared" si="31"/>
        <v>Phiola's 5 Star Short Let Apartment in Lekki</v>
      </c>
      <c r="T643">
        <f>Table1[[#This Row],[Adults]]+Table1[[#This Row],[Children]]</f>
        <v>2</v>
      </c>
      <c r="U643">
        <f>_xlfn.DAYS(Table1[[#This Row],[Depart]],Table1[[#This Row],[Arrive]])</f>
        <v>1</v>
      </c>
    </row>
    <row r="644" spans="1:21" x14ac:dyDescent="0.25">
      <c r="A644" t="s">
        <v>863</v>
      </c>
      <c r="B644" t="s">
        <v>864</v>
      </c>
      <c r="C644" t="s">
        <v>1177</v>
      </c>
      <c r="D644" s="1">
        <v>44110</v>
      </c>
      <c r="E644" s="1">
        <v>44113</v>
      </c>
      <c r="F644">
        <f t="shared" si="32"/>
        <v>3</v>
      </c>
      <c r="G644" s="1">
        <v>44109</v>
      </c>
      <c r="H644" s="2">
        <v>0.58333333333333337</v>
      </c>
      <c r="I644" s="2">
        <v>0.5</v>
      </c>
      <c r="J644" t="s">
        <v>1848</v>
      </c>
      <c r="K644" t="s">
        <v>1848</v>
      </c>
      <c r="L644" t="s">
        <v>22</v>
      </c>
      <c r="M644" s="12" t="s">
        <v>23</v>
      </c>
      <c r="N644">
        <v>6</v>
      </c>
      <c r="O644">
        <v>0</v>
      </c>
      <c r="P644" t="s">
        <v>19</v>
      </c>
      <c r="Q644" s="6">
        <v>564.38</v>
      </c>
      <c r="R644" t="str">
        <f t="shared" si="30"/>
        <v>Achikare 's Luxury Home Away from Home_x000C_</v>
      </c>
      <c r="S644" t="str">
        <f t="shared" si="31"/>
        <v>Achikare 's Luxury Home Away from Home</v>
      </c>
      <c r="T644">
        <f>Table1[[#This Row],[Adults]]+Table1[[#This Row],[Children]]</f>
        <v>6</v>
      </c>
      <c r="U644">
        <f>_xlfn.DAYS(Table1[[#This Row],[Depart]],Table1[[#This Row],[Arrive]])</f>
        <v>3</v>
      </c>
    </row>
    <row r="645" spans="1:21" x14ac:dyDescent="0.25">
      <c r="A645" t="s">
        <v>865</v>
      </c>
      <c r="B645" t="s">
        <v>866</v>
      </c>
      <c r="C645" t="s">
        <v>1173</v>
      </c>
      <c r="D645" s="1">
        <v>44110</v>
      </c>
      <c r="E645" s="1">
        <v>44111</v>
      </c>
      <c r="F645">
        <f t="shared" si="32"/>
        <v>1</v>
      </c>
      <c r="G645" s="1">
        <v>44104</v>
      </c>
      <c r="H645" s="2">
        <v>0.33333333333333331</v>
      </c>
      <c r="I645" s="3">
        <v>1</v>
      </c>
      <c r="J645" t="s">
        <v>1849</v>
      </c>
      <c r="K645" t="s">
        <v>1849</v>
      </c>
      <c r="L645" t="s">
        <v>22</v>
      </c>
      <c r="M645" s="12" t="s">
        <v>23</v>
      </c>
      <c r="N645">
        <v>6</v>
      </c>
      <c r="O645">
        <v>0</v>
      </c>
      <c r="P645" t="s">
        <v>19</v>
      </c>
      <c r="Q645" s="6">
        <v>129</v>
      </c>
      <c r="R645" t="str">
        <f t="shared" si="30"/>
        <v xml:space="preserve"> The Daniels 5 Star Short Let Apartment in Lekki_x000C_</v>
      </c>
      <c r="S645" t="str">
        <f t="shared" si="31"/>
        <v xml:space="preserve"> The Daniels 5 Star Short Let Apartment in Lekki</v>
      </c>
      <c r="T645">
        <f>Table1[[#This Row],[Adults]]+Table1[[#This Row],[Children]]</f>
        <v>6</v>
      </c>
      <c r="U645">
        <f>_xlfn.DAYS(Table1[[#This Row],[Depart]],Table1[[#This Row],[Arrive]])</f>
        <v>1</v>
      </c>
    </row>
    <row r="646" spans="1:21" x14ac:dyDescent="0.25">
      <c r="A646" t="s">
        <v>673</v>
      </c>
      <c r="B646" t="s">
        <v>674</v>
      </c>
      <c r="C646" t="s">
        <v>1175</v>
      </c>
      <c r="D646" s="1">
        <v>44111</v>
      </c>
      <c r="E646" s="1">
        <v>44117</v>
      </c>
      <c r="F646">
        <f t="shared" si="32"/>
        <v>6</v>
      </c>
      <c r="G646" s="1">
        <v>44070</v>
      </c>
      <c r="H646" s="2">
        <v>0.33333333333333331</v>
      </c>
      <c r="I646" s="3">
        <v>1</v>
      </c>
      <c r="J646" t="s">
        <v>1677</v>
      </c>
      <c r="K646" t="s">
        <v>1677</v>
      </c>
      <c r="L646" t="s">
        <v>22</v>
      </c>
      <c r="M646" s="12" t="s">
        <v>23</v>
      </c>
      <c r="N646">
        <v>6</v>
      </c>
      <c r="O646">
        <v>0</v>
      </c>
      <c r="P646" t="s">
        <v>19</v>
      </c>
      <c r="Q646" s="6">
        <v>709.5</v>
      </c>
      <c r="R646" t="str">
        <f t="shared" si="30"/>
        <v>Keji's 5 Star Short let Apartment in Lekki_x000C_</v>
      </c>
      <c r="S646" t="str">
        <f t="shared" si="31"/>
        <v>Keji's 5 Star Short let Apartment in Lekki</v>
      </c>
      <c r="T646">
        <f>Table1[[#This Row],[Adults]]+Table1[[#This Row],[Children]]</f>
        <v>6</v>
      </c>
      <c r="U646">
        <f>_xlfn.DAYS(Table1[[#This Row],[Depart]],Table1[[#This Row],[Arrive]])</f>
        <v>6</v>
      </c>
    </row>
    <row r="647" spans="1:21" x14ac:dyDescent="0.25">
      <c r="A647" t="s">
        <v>827</v>
      </c>
      <c r="B647" t="s">
        <v>828</v>
      </c>
      <c r="C647" t="s">
        <v>1177</v>
      </c>
      <c r="D647" s="1">
        <v>44111</v>
      </c>
      <c r="E647" s="1">
        <v>44112</v>
      </c>
      <c r="F647">
        <f t="shared" si="32"/>
        <v>1</v>
      </c>
      <c r="G647" s="1">
        <v>44103</v>
      </c>
      <c r="H647" s="2">
        <v>0.58333333333333337</v>
      </c>
      <c r="I647" s="2">
        <v>0.5</v>
      </c>
      <c r="J647" t="s">
        <v>1815</v>
      </c>
      <c r="K647" t="s">
        <v>1815</v>
      </c>
      <c r="L647" t="s">
        <v>26</v>
      </c>
      <c r="M647" s="12" t="s">
        <v>18</v>
      </c>
      <c r="N647">
        <v>1</v>
      </c>
      <c r="O647">
        <v>0</v>
      </c>
      <c r="P647" t="s">
        <v>19</v>
      </c>
      <c r="Q647" s="6">
        <v>192</v>
      </c>
      <c r="R647" t="str">
        <f t="shared" si="30"/>
        <v>Achikare 's Luxury Home Away from Home_x000C_</v>
      </c>
      <c r="S647" t="str">
        <f t="shared" si="31"/>
        <v>Achikare 's Luxury Home Away from Home</v>
      </c>
      <c r="T647">
        <f>Table1[[#This Row],[Adults]]+Table1[[#This Row],[Children]]</f>
        <v>1</v>
      </c>
      <c r="U647">
        <f>_xlfn.DAYS(Table1[[#This Row],[Depart]],Table1[[#This Row],[Arrive]])</f>
        <v>1</v>
      </c>
    </row>
    <row r="648" spans="1:21" x14ac:dyDescent="0.25">
      <c r="A648" t="s">
        <v>589</v>
      </c>
      <c r="B648" t="s">
        <v>590</v>
      </c>
      <c r="C648" t="s">
        <v>1178</v>
      </c>
      <c r="D648" s="1">
        <v>44111</v>
      </c>
      <c r="E648" s="1">
        <v>44113</v>
      </c>
      <c r="F648">
        <f t="shared" si="32"/>
        <v>2</v>
      </c>
      <c r="G648" s="1">
        <v>44110</v>
      </c>
      <c r="H648" s="2">
        <v>0.58333333333333337</v>
      </c>
      <c r="I648" s="2">
        <v>0.45833333333333331</v>
      </c>
      <c r="J648" t="s">
        <v>1847</v>
      </c>
      <c r="K648" t="s">
        <v>1847</v>
      </c>
      <c r="L648" t="s">
        <v>22</v>
      </c>
      <c r="M648" s="12" t="s">
        <v>23</v>
      </c>
      <c r="N648">
        <v>5</v>
      </c>
      <c r="O648">
        <v>0</v>
      </c>
      <c r="P648" t="s">
        <v>19</v>
      </c>
      <c r="Q648" s="6">
        <v>258</v>
      </c>
      <c r="R648" t="str">
        <f t="shared" si="30"/>
        <v>Ope's 5 Star Short Let Apartment in Lekki_x000C_</v>
      </c>
      <c r="S648" t="str">
        <f t="shared" si="31"/>
        <v>Ope's 5 Star Short Let Apartment in Lekki</v>
      </c>
      <c r="T648">
        <f>Table1[[#This Row],[Adults]]+Table1[[#This Row],[Children]]</f>
        <v>5</v>
      </c>
      <c r="U648">
        <f>_xlfn.DAYS(Table1[[#This Row],[Depart]],Table1[[#This Row],[Arrive]])</f>
        <v>2</v>
      </c>
    </row>
    <row r="649" spans="1:21" x14ac:dyDescent="0.25">
      <c r="A649" t="s">
        <v>827</v>
      </c>
      <c r="B649" t="s">
        <v>828</v>
      </c>
      <c r="C649" t="s">
        <v>1178</v>
      </c>
      <c r="D649" s="1">
        <v>44112</v>
      </c>
      <c r="E649" s="1">
        <v>44114</v>
      </c>
      <c r="F649">
        <f t="shared" si="32"/>
        <v>2</v>
      </c>
      <c r="G649" s="1">
        <v>44106</v>
      </c>
      <c r="H649" s="2">
        <v>0.58333333333333337</v>
      </c>
      <c r="I649" s="2">
        <v>0.45833333333333331</v>
      </c>
      <c r="J649" t="s">
        <v>1828</v>
      </c>
      <c r="K649" t="s">
        <v>1828</v>
      </c>
      <c r="L649" t="s">
        <v>26</v>
      </c>
      <c r="M649" s="12" t="s">
        <v>18</v>
      </c>
      <c r="N649">
        <v>1</v>
      </c>
      <c r="O649">
        <v>0</v>
      </c>
      <c r="P649" t="s">
        <v>19</v>
      </c>
      <c r="Q649" s="6">
        <v>235</v>
      </c>
      <c r="R649" t="str">
        <f t="shared" si="30"/>
        <v>Ope's 5 Star Short Let Apartment in Lekki_x000C_</v>
      </c>
      <c r="S649" t="str">
        <f t="shared" si="31"/>
        <v>Ope's 5 Star Short Let Apartment in Lekki</v>
      </c>
      <c r="T649">
        <f>Table1[[#This Row],[Adults]]+Table1[[#This Row],[Children]]</f>
        <v>1</v>
      </c>
      <c r="U649">
        <f>_xlfn.DAYS(Table1[[#This Row],[Depart]],Table1[[#This Row],[Arrive]])</f>
        <v>2</v>
      </c>
    </row>
    <row r="650" spans="1:21" x14ac:dyDescent="0.25">
      <c r="A650" t="s">
        <v>859</v>
      </c>
      <c r="B650" t="s">
        <v>860</v>
      </c>
      <c r="C650" t="s">
        <v>1176</v>
      </c>
      <c r="D650" s="1">
        <v>44112</v>
      </c>
      <c r="E650" s="1">
        <v>44117</v>
      </c>
      <c r="F650">
        <f t="shared" si="32"/>
        <v>5</v>
      </c>
      <c r="G650" s="1">
        <v>44107</v>
      </c>
      <c r="H650" s="2">
        <v>0.58333333333333337</v>
      </c>
      <c r="I650" s="2">
        <v>0.45833333333333331</v>
      </c>
      <c r="J650" t="s">
        <v>1844</v>
      </c>
      <c r="K650" t="s">
        <v>1844</v>
      </c>
      <c r="L650" t="s">
        <v>22</v>
      </c>
      <c r="M650" s="12" t="s">
        <v>23</v>
      </c>
      <c r="N650">
        <v>6</v>
      </c>
      <c r="O650">
        <v>0</v>
      </c>
      <c r="P650" t="s">
        <v>19</v>
      </c>
      <c r="Q650" s="6">
        <v>940.62</v>
      </c>
      <c r="R650" t="str">
        <f t="shared" si="30"/>
        <v>Tiara's Luxury Home Away From Home_x000C_</v>
      </c>
      <c r="S650" t="str">
        <f t="shared" si="31"/>
        <v>Tiara's Luxury Home Away From Home</v>
      </c>
      <c r="T650">
        <f>Table1[[#This Row],[Adults]]+Table1[[#This Row],[Children]]</f>
        <v>6</v>
      </c>
      <c r="U650">
        <f>_xlfn.DAYS(Table1[[#This Row],[Depart]],Table1[[#This Row],[Arrive]])</f>
        <v>5</v>
      </c>
    </row>
    <row r="651" spans="1:21" x14ac:dyDescent="0.25">
      <c r="A651" t="s">
        <v>785</v>
      </c>
      <c r="B651" t="s">
        <v>786</v>
      </c>
      <c r="C651" t="s">
        <v>1173</v>
      </c>
      <c r="D651" s="1">
        <v>44112</v>
      </c>
      <c r="E651" s="1">
        <v>44113</v>
      </c>
      <c r="F651">
        <f t="shared" si="32"/>
        <v>1</v>
      </c>
      <c r="G651" s="1">
        <v>44111</v>
      </c>
      <c r="H651" s="2">
        <v>0.33333333333333331</v>
      </c>
      <c r="I651" s="3">
        <v>1</v>
      </c>
      <c r="J651" t="s">
        <v>1851</v>
      </c>
      <c r="K651" t="s">
        <v>1851</v>
      </c>
      <c r="L651" t="s">
        <v>22</v>
      </c>
      <c r="M651" s="12" t="s">
        <v>23</v>
      </c>
      <c r="N651">
        <v>4</v>
      </c>
      <c r="O651">
        <v>0</v>
      </c>
      <c r="P651" t="s">
        <v>19</v>
      </c>
      <c r="Q651" s="6">
        <v>129</v>
      </c>
      <c r="R651" t="str">
        <f t="shared" si="30"/>
        <v xml:space="preserve"> The Daniels 5 Star Short Let Apartment in Lekki_x000C_</v>
      </c>
      <c r="S651" t="str">
        <f t="shared" si="31"/>
        <v xml:space="preserve"> The Daniels 5 Star Short Let Apartment in Lekki</v>
      </c>
      <c r="T651">
        <f>Table1[[#This Row],[Adults]]+Table1[[#This Row],[Children]]</f>
        <v>4</v>
      </c>
      <c r="U651">
        <f>_xlfn.DAYS(Table1[[#This Row],[Depart]],Table1[[#This Row],[Arrive]])</f>
        <v>1</v>
      </c>
    </row>
    <row r="652" spans="1:21" x14ac:dyDescent="0.25">
      <c r="A652" t="s">
        <v>973</v>
      </c>
      <c r="B652" t="s">
        <v>974</v>
      </c>
      <c r="C652" t="s">
        <v>1179</v>
      </c>
      <c r="D652" s="1">
        <v>44112</v>
      </c>
      <c r="E652" s="1">
        <v>44113</v>
      </c>
      <c r="F652">
        <f t="shared" si="32"/>
        <v>1</v>
      </c>
      <c r="G652" s="1">
        <v>44106</v>
      </c>
      <c r="H652" s="2">
        <v>0.33333333333333331</v>
      </c>
      <c r="I652" s="3">
        <v>1</v>
      </c>
      <c r="J652" t="s">
        <v>1958</v>
      </c>
      <c r="K652" t="s">
        <v>1958</v>
      </c>
      <c r="L652" t="s">
        <v>22</v>
      </c>
      <c r="M652" s="12" t="s">
        <v>23</v>
      </c>
      <c r="N652">
        <v>3</v>
      </c>
      <c r="O652">
        <v>0</v>
      </c>
      <c r="P652" t="s">
        <v>19</v>
      </c>
      <c r="Q652" s="6">
        <v>129</v>
      </c>
      <c r="R652" t="str">
        <f t="shared" si="30"/>
        <v>Phiola's 5 Star Short Let Apartment in Lekki_x000C_</v>
      </c>
      <c r="S652" t="str">
        <f t="shared" si="31"/>
        <v>Phiola's 5 Star Short Let Apartment in Lekki</v>
      </c>
      <c r="T652">
        <f>Table1[[#This Row],[Adults]]+Table1[[#This Row],[Children]]</f>
        <v>3</v>
      </c>
      <c r="U652">
        <f>_xlfn.DAYS(Table1[[#This Row],[Depart]],Table1[[#This Row],[Arrive]])</f>
        <v>1</v>
      </c>
    </row>
    <row r="653" spans="1:21" x14ac:dyDescent="0.25">
      <c r="A653" t="s">
        <v>731</v>
      </c>
      <c r="B653" t="s">
        <v>732</v>
      </c>
      <c r="C653" t="s">
        <v>1176</v>
      </c>
      <c r="D653" s="1">
        <v>44113</v>
      </c>
      <c r="E653" s="1">
        <v>44123</v>
      </c>
      <c r="F653">
        <f t="shared" si="32"/>
        <v>10</v>
      </c>
      <c r="G653" s="1">
        <v>44081</v>
      </c>
      <c r="H653" s="2">
        <v>0.58333333333333337</v>
      </c>
      <c r="I653" s="2">
        <v>0.45833333333333331</v>
      </c>
      <c r="J653" t="s">
        <v>1741</v>
      </c>
      <c r="K653" t="s">
        <v>1741</v>
      </c>
      <c r="L653" t="s">
        <v>26</v>
      </c>
      <c r="M653" s="12" t="s">
        <v>18</v>
      </c>
      <c r="N653">
        <v>1</v>
      </c>
      <c r="O653">
        <v>0</v>
      </c>
      <c r="P653" t="s">
        <v>19</v>
      </c>
      <c r="Q653" s="6">
        <v>1111</v>
      </c>
      <c r="R653" t="str">
        <f t="shared" si="30"/>
        <v>Tiara's Luxury Home Away From Home_x000C_</v>
      </c>
      <c r="S653" t="str">
        <f t="shared" si="31"/>
        <v>Tiara's Luxury Home Away From Home</v>
      </c>
      <c r="T653">
        <f>Table1[[#This Row],[Adults]]+Table1[[#This Row],[Children]]</f>
        <v>1</v>
      </c>
      <c r="U653">
        <f>_xlfn.DAYS(Table1[[#This Row],[Depart]],Table1[[#This Row],[Arrive]])</f>
        <v>10</v>
      </c>
    </row>
    <row r="654" spans="1:21" x14ac:dyDescent="0.25">
      <c r="A654" t="s">
        <v>731</v>
      </c>
      <c r="B654" t="s">
        <v>732</v>
      </c>
      <c r="C654" t="s">
        <v>1178</v>
      </c>
      <c r="D654" s="1">
        <v>44113</v>
      </c>
      <c r="E654" s="1">
        <v>44123</v>
      </c>
      <c r="F654">
        <f t="shared" si="32"/>
        <v>10</v>
      </c>
      <c r="G654" s="1">
        <v>44081</v>
      </c>
      <c r="H654" s="2">
        <v>0.58333333333333337</v>
      </c>
      <c r="I654" s="2">
        <v>0.45833333333333331</v>
      </c>
      <c r="J654" t="s">
        <v>1742</v>
      </c>
      <c r="K654" t="s">
        <v>1742</v>
      </c>
      <c r="L654" t="s">
        <v>26</v>
      </c>
      <c r="M654" s="12" t="s">
        <v>18</v>
      </c>
      <c r="N654">
        <v>1</v>
      </c>
      <c r="O654">
        <v>0</v>
      </c>
      <c r="P654" t="s">
        <v>19</v>
      </c>
      <c r="Q654" s="6">
        <v>1015</v>
      </c>
      <c r="R654" t="str">
        <f t="shared" si="30"/>
        <v>Ope's 5 Star Short Let Apartment in Lekki_x000C_</v>
      </c>
      <c r="S654" t="str">
        <f t="shared" si="31"/>
        <v>Ope's 5 Star Short Let Apartment in Lekki</v>
      </c>
      <c r="T654">
        <f>Table1[[#This Row],[Adults]]+Table1[[#This Row],[Children]]</f>
        <v>1</v>
      </c>
      <c r="U654">
        <f>_xlfn.DAYS(Table1[[#This Row],[Depart]],Table1[[#This Row],[Arrive]])</f>
        <v>10</v>
      </c>
    </row>
    <row r="655" spans="1:21" x14ac:dyDescent="0.25">
      <c r="A655" t="s">
        <v>753</v>
      </c>
      <c r="B655" t="s">
        <v>754</v>
      </c>
      <c r="C655" t="s">
        <v>1179</v>
      </c>
      <c r="D655" s="1">
        <v>44113</v>
      </c>
      <c r="E655" s="1">
        <v>44115</v>
      </c>
      <c r="F655">
        <f t="shared" si="32"/>
        <v>2</v>
      </c>
      <c r="G655" s="1">
        <v>44079</v>
      </c>
      <c r="H655" s="2">
        <v>0.33333333333333331</v>
      </c>
      <c r="I655" s="3">
        <v>1</v>
      </c>
      <c r="J655" t="s">
        <v>1758</v>
      </c>
      <c r="K655" t="s">
        <v>1758</v>
      </c>
      <c r="L655" t="s">
        <v>22</v>
      </c>
      <c r="M655" s="12" t="s">
        <v>18</v>
      </c>
      <c r="N655">
        <v>5</v>
      </c>
      <c r="O655">
        <v>0</v>
      </c>
      <c r="P655" t="s">
        <v>19</v>
      </c>
      <c r="Q655" s="6">
        <v>236.5</v>
      </c>
      <c r="R655" t="str">
        <f t="shared" si="30"/>
        <v>Phiola's 5 Star Short Let Apartment in Lekki_x000C_</v>
      </c>
      <c r="S655" t="str">
        <f t="shared" si="31"/>
        <v>Phiola's 5 Star Short Let Apartment in Lekki</v>
      </c>
      <c r="T655">
        <f>Table1[[#This Row],[Adults]]+Table1[[#This Row],[Children]]</f>
        <v>5</v>
      </c>
      <c r="U655">
        <f>_xlfn.DAYS(Table1[[#This Row],[Depart]],Table1[[#This Row],[Arrive]])</f>
        <v>2</v>
      </c>
    </row>
    <row r="656" spans="1:21" x14ac:dyDescent="0.25">
      <c r="A656" t="s">
        <v>753</v>
      </c>
      <c r="B656" t="s">
        <v>754</v>
      </c>
      <c r="C656" t="s">
        <v>1179</v>
      </c>
      <c r="D656" s="1">
        <v>44113</v>
      </c>
      <c r="E656" s="1">
        <v>44115</v>
      </c>
      <c r="F656">
        <f t="shared" si="32"/>
        <v>2</v>
      </c>
      <c r="G656" s="1">
        <v>44079</v>
      </c>
      <c r="H656" s="2">
        <v>0.33333333333333331</v>
      </c>
      <c r="I656" s="3">
        <v>1</v>
      </c>
      <c r="J656" t="s">
        <v>1759</v>
      </c>
      <c r="K656" t="s">
        <v>1759</v>
      </c>
      <c r="L656" t="s">
        <v>22</v>
      </c>
      <c r="M656" s="12" t="s">
        <v>18</v>
      </c>
      <c r="N656">
        <v>5</v>
      </c>
      <c r="O656">
        <v>0</v>
      </c>
      <c r="P656" t="s">
        <v>19</v>
      </c>
      <c r="Q656" s="6">
        <v>236.5</v>
      </c>
      <c r="R656" t="str">
        <f t="shared" si="30"/>
        <v>Phiola's 5 Star Short Let Apartment in Lekki_x000C_</v>
      </c>
      <c r="S656" t="str">
        <f t="shared" si="31"/>
        <v>Phiola's 5 Star Short Let Apartment in Lekki</v>
      </c>
      <c r="T656">
        <f>Table1[[#This Row],[Adults]]+Table1[[#This Row],[Children]]</f>
        <v>5</v>
      </c>
      <c r="U656">
        <f>_xlfn.DAYS(Table1[[#This Row],[Depart]],Table1[[#This Row],[Arrive]])</f>
        <v>2</v>
      </c>
    </row>
    <row r="657" spans="1:21" x14ac:dyDescent="0.25">
      <c r="A657" t="s">
        <v>753</v>
      </c>
      <c r="B657" t="s">
        <v>754</v>
      </c>
      <c r="C657" t="s">
        <v>1179</v>
      </c>
      <c r="D657" s="1">
        <v>44113</v>
      </c>
      <c r="E657" s="1">
        <v>44115</v>
      </c>
      <c r="F657">
        <f t="shared" si="32"/>
        <v>2</v>
      </c>
      <c r="G657" s="1">
        <v>44084</v>
      </c>
      <c r="H657" s="2">
        <v>0.33333333333333331</v>
      </c>
      <c r="I657" s="3">
        <v>1</v>
      </c>
      <c r="J657" t="s">
        <v>1784</v>
      </c>
      <c r="K657" t="s">
        <v>1784</v>
      </c>
      <c r="L657" t="s">
        <v>22</v>
      </c>
      <c r="M657" s="12" t="s">
        <v>18</v>
      </c>
      <c r="N657">
        <v>5</v>
      </c>
      <c r="O657">
        <v>0</v>
      </c>
      <c r="P657" t="s">
        <v>19</v>
      </c>
      <c r="Q657" s="6">
        <v>236.5</v>
      </c>
      <c r="R657" t="str">
        <f t="shared" si="30"/>
        <v>Phiola's 5 Star Short Let Apartment in Lekki_x000C_</v>
      </c>
      <c r="S657" t="str">
        <f t="shared" si="31"/>
        <v>Phiola's 5 Star Short Let Apartment in Lekki</v>
      </c>
      <c r="T657">
        <f>Table1[[#This Row],[Adults]]+Table1[[#This Row],[Children]]</f>
        <v>5</v>
      </c>
      <c r="U657">
        <f>_xlfn.DAYS(Table1[[#This Row],[Depart]],Table1[[#This Row],[Arrive]])</f>
        <v>2</v>
      </c>
    </row>
    <row r="658" spans="1:21" x14ac:dyDescent="0.25">
      <c r="A658" t="s">
        <v>819</v>
      </c>
      <c r="B658" t="s">
        <v>820</v>
      </c>
      <c r="C658" t="s">
        <v>1173</v>
      </c>
      <c r="D658" s="1">
        <v>44113</v>
      </c>
      <c r="E658" s="1">
        <v>44115</v>
      </c>
      <c r="F658">
        <f t="shared" si="32"/>
        <v>2</v>
      </c>
      <c r="G658" s="1">
        <v>44102</v>
      </c>
      <c r="H658" s="2">
        <v>0.33333333333333331</v>
      </c>
      <c r="I658" s="3">
        <v>1</v>
      </c>
      <c r="J658" t="s">
        <v>1811</v>
      </c>
      <c r="K658" t="s">
        <v>1811</v>
      </c>
      <c r="L658" t="s">
        <v>22</v>
      </c>
      <c r="M658" s="12" t="s">
        <v>23</v>
      </c>
      <c r="N658">
        <v>4</v>
      </c>
      <c r="O658">
        <v>0</v>
      </c>
      <c r="P658" t="s">
        <v>19</v>
      </c>
      <c r="Q658" s="6">
        <v>258</v>
      </c>
      <c r="R658" t="str">
        <f t="shared" si="30"/>
        <v xml:space="preserve"> The Daniels 5 Star Short Let Apartment in Lekki_x000C_</v>
      </c>
      <c r="S658" t="str">
        <f t="shared" si="31"/>
        <v xml:space="preserve"> The Daniels 5 Star Short Let Apartment in Lekki</v>
      </c>
      <c r="T658">
        <f>Table1[[#This Row],[Adults]]+Table1[[#This Row],[Children]]</f>
        <v>4</v>
      </c>
      <c r="U658">
        <f>_xlfn.DAYS(Table1[[#This Row],[Depart]],Table1[[#This Row],[Arrive]])</f>
        <v>2</v>
      </c>
    </row>
    <row r="659" spans="1:21" x14ac:dyDescent="0.25">
      <c r="A659" t="s">
        <v>142</v>
      </c>
      <c r="B659" t="s">
        <v>143</v>
      </c>
      <c r="C659" t="s">
        <v>1179</v>
      </c>
      <c r="D659" s="1">
        <v>44113</v>
      </c>
      <c r="E659" s="1">
        <v>44124</v>
      </c>
      <c r="F659">
        <f t="shared" si="32"/>
        <v>11</v>
      </c>
      <c r="G659" s="1">
        <v>44084</v>
      </c>
      <c r="H659" s="2">
        <v>0.33333333333333331</v>
      </c>
      <c r="I659" s="3">
        <v>1</v>
      </c>
      <c r="J659" t="s">
        <v>1819</v>
      </c>
      <c r="K659" t="s">
        <v>1819</v>
      </c>
      <c r="L659" t="s">
        <v>22</v>
      </c>
      <c r="M659" s="12" t="s">
        <v>18</v>
      </c>
      <c r="N659">
        <v>5</v>
      </c>
      <c r="O659">
        <v>0</v>
      </c>
      <c r="P659" t="s">
        <v>19</v>
      </c>
      <c r="Q659" s="6">
        <v>1419</v>
      </c>
      <c r="R659" t="str">
        <f t="shared" si="30"/>
        <v>Phiola's 5 Star Short Let Apartment in Lekki_x000C_</v>
      </c>
      <c r="S659" t="str">
        <f t="shared" si="31"/>
        <v>Phiola's 5 Star Short Let Apartment in Lekki</v>
      </c>
      <c r="T659">
        <f>Table1[[#This Row],[Adults]]+Table1[[#This Row],[Children]]</f>
        <v>5</v>
      </c>
      <c r="U659">
        <f>_xlfn.DAYS(Table1[[#This Row],[Depart]],Table1[[#This Row],[Arrive]])</f>
        <v>11</v>
      </c>
    </row>
    <row r="660" spans="1:21" x14ac:dyDescent="0.25">
      <c r="A660" t="s">
        <v>835</v>
      </c>
      <c r="B660" t="s">
        <v>836</v>
      </c>
      <c r="C660" t="s">
        <v>1177</v>
      </c>
      <c r="D660" s="1">
        <v>44113</v>
      </c>
      <c r="E660" s="1">
        <v>44115</v>
      </c>
      <c r="F660">
        <f t="shared" si="32"/>
        <v>2</v>
      </c>
      <c r="G660" s="1">
        <v>44102</v>
      </c>
      <c r="H660" s="2">
        <v>0.58333333333333337</v>
      </c>
      <c r="I660" s="2">
        <v>0.5</v>
      </c>
      <c r="J660" t="s">
        <v>1823</v>
      </c>
      <c r="K660" t="s">
        <v>1823</v>
      </c>
      <c r="L660" t="s">
        <v>22</v>
      </c>
      <c r="M660" s="12" t="s">
        <v>23</v>
      </c>
      <c r="N660">
        <v>4</v>
      </c>
      <c r="O660">
        <v>0</v>
      </c>
      <c r="P660" t="s">
        <v>19</v>
      </c>
      <c r="Q660" s="6">
        <v>376.25</v>
      </c>
      <c r="R660" t="str">
        <f t="shared" si="30"/>
        <v>Achikare 's Luxury Home Away from Home_x000C_</v>
      </c>
      <c r="S660" t="str">
        <f t="shared" si="31"/>
        <v>Achikare 's Luxury Home Away from Home</v>
      </c>
      <c r="T660">
        <f>Table1[[#This Row],[Adults]]+Table1[[#This Row],[Children]]</f>
        <v>4</v>
      </c>
      <c r="U660">
        <f>_xlfn.DAYS(Table1[[#This Row],[Depart]],Table1[[#This Row],[Arrive]])</f>
        <v>2</v>
      </c>
    </row>
    <row r="661" spans="1:21" x14ac:dyDescent="0.25">
      <c r="A661" t="s">
        <v>583</v>
      </c>
      <c r="B661" t="s">
        <v>584</v>
      </c>
      <c r="C661" t="s">
        <v>1178</v>
      </c>
      <c r="D661" s="1">
        <v>44113</v>
      </c>
      <c r="E661" s="1">
        <v>44114</v>
      </c>
      <c r="F661">
        <f t="shared" si="32"/>
        <v>1</v>
      </c>
      <c r="G661" s="1">
        <v>44107</v>
      </c>
      <c r="H661" s="2">
        <v>0.58333333333333337</v>
      </c>
      <c r="I661" s="2">
        <v>0.45833333333333331</v>
      </c>
      <c r="J661" s="4" t="s">
        <v>1845</v>
      </c>
      <c r="K661" s="4" t="s">
        <v>1845</v>
      </c>
      <c r="L661" t="s">
        <v>22</v>
      </c>
      <c r="M661" s="12" t="s">
        <v>18</v>
      </c>
      <c r="N661">
        <v>2</v>
      </c>
      <c r="O661">
        <v>0</v>
      </c>
      <c r="P661" t="s">
        <v>19</v>
      </c>
      <c r="Q661" s="6">
        <v>129</v>
      </c>
      <c r="R661" t="str">
        <f t="shared" si="30"/>
        <v>Ope's 5 Star Short Let Apartment in Lekki_x000C_</v>
      </c>
      <c r="S661" t="str">
        <f t="shared" si="31"/>
        <v>Ope's 5 Star Short Let Apartment in Lekki</v>
      </c>
      <c r="T661">
        <f>Table1[[#This Row],[Adults]]+Table1[[#This Row],[Children]]</f>
        <v>2</v>
      </c>
      <c r="U661">
        <f>_xlfn.DAYS(Table1[[#This Row],[Depart]],Table1[[#This Row],[Arrive]])</f>
        <v>1</v>
      </c>
    </row>
    <row r="662" spans="1:21" x14ac:dyDescent="0.25">
      <c r="A662" t="s">
        <v>861</v>
      </c>
      <c r="B662" t="s">
        <v>862</v>
      </c>
      <c r="C662" t="s">
        <v>1178</v>
      </c>
      <c r="D662" s="1">
        <v>44113</v>
      </c>
      <c r="E662" s="1">
        <v>44115</v>
      </c>
      <c r="F662">
        <f t="shared" si="32"/>
        <v>2</v>
      </c>
      <c r="G662" s="1">
        <v>44110</v>
      </c>
      <c r="H662" s="2">
        <v>0.58333333333333337</v>
      </c>
      <c r="I662" s="2">
        <v>0.45833333333333331</v>
      </c>
      <c r="J662" t="s">
        <v>1846</v>
      </c>
      <c r="K662" t="s">
        <v>1846</v>
      </c>
      <c r="L662" t="s">
        <v>22</v>
      </c>
      <c r="M662" s="12" t="s">
        <v>23</v>
      </c>
      <c r="N662">
        <v>4</v>
      </c>
      <c r="O662">
        <v>0</v>
      </c>
      <c r="P662" t="s">
        <v>19</v>
      </c>
      <c r="Q662" s="6">
        <v>258</v>
      </c>
      <c r="R662" t="str">
        <f t="shared" si="30"/>
        <v>Ope's 5 Star Short Let Apartment in Lekki_x000C_</v>
      </c>
      <c r="S662" t="str">
        <f t="shared" si="31"/>
        <v>Ope's 5 Star Short Let Apartment in Lekki</v>
      </c>
      <c r="T662">
        <f>Table1[[#This Row],[Adults]]+Table1[[#This Row],[Children]]</f>
        <v>4</v>
      </c>
      <c r="U662">
        <f>_xlfn.DAYS(Table1[[#This Row],[Depart]],Table1[[#This Row],[Arrive]])</f>
        <v>2</v>
      </c>
    </row>
    <row r="663" spans="1:21" x14ac:dyDescent="0.25">
      <c r="A663" t="s">
        <v>875</v>
      </c>
      <c r="B663" t="s">
        <v>876</v>
      </c>
      <c r="C663" t="s">
        <v>1179</v>
      </c>
      <c r="D663" s="1">
        <v>44113</v>
      </c>
      <c r="E663" s="1">
        <v>44118</v>
      </c>
      <c r="F663">
        <f t="shared" si="32"/>
        <v>5</v>
      </c>
      <c r="G663" s="1">
        <v>44106</v>
      </c>
      <c r="H663" s="2">
        <v>0.33333333333333331</v>
      </c>
      <c r="I663" s="3">
        <v>1</v>
      </c>
      <c r="J663" t="s">
        <v>1857</v>
      </c>
      <c r="K663" t="s">
        <v>1857</v>
      </c>
      <c r="L663" t="s">
        <v>22</v>
      </c>
      <c r="M663" s="12" t="s">
        <v>23</v>
      </c>
      <c r="N663">
        <v>4</v>
      </c>
      <c r="O663">
        <v>0</v>
      </c>
      <c r="P663" t="s">
        <v>19</v>
      </c>
      <c r="Q663" s="6">
        <v>645</v>
      </c>
      <c r="R663" t="str">
        <f t="shared" si="30"/>
        <v>Phiola's 5 Star Short Let Apartment in Lekki_x000C_</v>
      </c>
      <c r="S663" t="str">
        <f t="shared" si="31"/>
        <v>Phiola's 5 Star Short Let Apartment in Lekki</v>
      </c>
      <c r="T663">
        <f>Table1[[#This Row],[Adults]]+Table1[[#This Row],[Children]]</f>
        <v>4</v>
      </c>
      <c r="U663">
        <f>_xlfn.DAYS(Table1[[#This Row],[Depart]],Table1[[#This Row],[Arrive]])</f>
        <v>5</v>
      </c>
    </row>
    <row r="664" spans="1:21" x14ac:dyDescent="0.25">
      <c r="A664" t="s">
        <v>735</v>
      </c>
      <c r="B664" t="s">
        <v>736</v>
      </c>
      <c r="C664" t="s">
        <v>1176</v>
      </c>
      <c r="D664" s="1">
        <v>44114</v>
      </c>
      <c r="E664" s="1">
        <v>44122</v>
      </c>
      <c r="F664">
        <f t="shared" si="32"/>
        <v>8</v>
      </c>
      <c r="G664" s="1">
        <v>44082</v>
      </c>
      <c r="H664" s="2">
        <v>0.58333333333333337</v>
      </c>
      <c r="I664" s="2">
        <v>0.45833333333333331</v>
      </c>
      <c r="J664" t="s">
        <v>1745</v>
      </c>
      <c r="K664" t="s">
        <v>1745</v>
      </c>
      <c r="L664" t="s">
        <v>26</v>
      </c>
      <c r="M664" s="12" t="s">
        <v>18</v>
      </c>
      <c r="N664">
        <v>4</v>
      </c>
      <c r="O664">
        <v>0</v>
      </c>
      <c r="P664" t="s">
        <v>19</v>
      </c>
      <c r="Q664" s="6">
        <v>889</v>
      </c>
      <c r="R664" t="str">
        <f t="shared" si="30"/>
        <v>Tiara's Luxury Home Away From Home_x000C_</v>
      </c>
      <c r="S664" t="str">
        <f t="shared" si="31"/>
        <v>Tiara's Luxury Home Away From Home</v>
      </c>
      <c r="T664">
        <f>Table1[[#This Row],[Adults]]+Table1[[#This Row],[Children]]</f>
        <v>4</v>
      </c>
      <c r="U664">
        <f>_xlfn.DAYS(Table1[[#This Row],[Depart]],Table1[[#This Row],[Arrive]])</f>
        <v>8</v>
      </c>
    </row>
    <row r="665" spans="1:21" x14ac:dyDescent="0.25">
      <c r="A665" t="s">
        <v>837</v>
      </c>
      <c r="B665" t="s">
        <v>838</v>
      </c>
      <c r="C665" t="s">
        <v>1173</v>
      </c>
      <c r="D665" s="1">
        <v>44115</v>
      </c>
      <c r="E665" s="1">
        <v>44117</v>
      </c>
      <c r="F665">
        <f t="shared" si="32"/>
        <v>2</v>
      </c>
      <c r="G665" s="1">
        <v>44106</v>
      </c>
      <c r="H665" s="2">
        <v>0.33333333333333331</v>
      </c>
      <c r="I665" s="3">
        <v>1</v>
      </c>
      <c r="J665" t="s">
        <v>1824</v>
      </c>
      <c r="K665" t="s">
        <v>1824</v>
      </c>
      <c r="L665" t="s">
        <v>26</v>
      </c>
      <c r="M665" s="12" t="s">
        <v>18</v>
      </c>
      <c r="N665">
        <v>1</v>
      </c>
      <c r="O665">
        <v>0</v>
      </c>
      <c r="P665" t="s">
        <v>19</v>
      </c>
      <c r="Q665" s="6">
        <v>235</v>
      </c>
      <c r="R665" t="str">
        <f t="shared" si="30"/>
        <v xml:space="preserve"> The Daniels 5 Star Short Let Apartment in Lekki_x000C_</v>
      </c>
      <c r="S665" t="str">
        <f t="shared" si="31"/>
        <v xml:space="preserve"> The Daniels 5 Star Short Let Apartment in Lekki</v>
      </c>
      <c r="T665">
        <f>Table1[[#This Row],[Adults]]+Table1[[#This Row],[Children]]</f>
        <v>1</v>
      </c>
      <c r="U665">
        <f>_xlfn.DAYS(Table1[[#This Row],[Depart]],Table1[[#This Row],[Arrive]])</f>
        <v>2</v>
      </c>
    </row>
    <row r="666" spans="1:21" x14ac:dyDescent="0.25">
      <c r="A666" t="s">
        <v>879</v>
      </c>
      <c r="B666" t="s">
        <v>880</v>
      </c>
      <c r="C666" t="s">
        <v>1177</v>
      </c>
      <c r="D666" s="1">
        <v>44115</v>
      </c>
      <c r="E666" s="1">
        <v>44116</v>
      </c>
      <c r="F666">
        <f t="shared" si="32"/>
        <v>1</v>
      </c>
      <c r="G666" s="1">
        <v>44115</v>
      </c>
      <c r="H666" s="2">
        <v>0.58333333333333337</v>
      </c>
      <c r="I666" s="2">
        <v>0.5</v>
      </c>
      <c r="J666" t="s">
        <v>1860</v>
      </c>
      <c r="K666" t="s">
        <v>1860</v>
      </c>
      <c r="L666" t="s">
        <v>22</v>
      </c>
      <c r="M666" s="12" t="s">
        <v>18</v>
      </c>
      <c r="N666">
        <v>4</v>
      </c>
      <c r="O666">
        <v>0</v>
      </c>
      <c r="P666" t="s">
        <v>19</v>
      </c>
      <c r="Q666" s="6">
        <v>188.12</v>
      </c>
      <c r="R666" t="str">
        <f t="shared" si="30"/>
        <v>Achikare 's Luxury Home Away from Home_x000C_</v>
      </c>
      <c r="S666" t="str">
        <f t="shared" si="31"/>
        <v>Achikare 's Luxury Home Away from Home</v>
      </c>
      <c r="T666">
        <f>Table1[[#This Row],[Adults]]+Table1[[#This Row],[Children]]</f>
        <v>4</v>
      </c>
      <c r="U666">
        <f>_xlfn.DAYS(Table1[[#This Row],[Depart]],Table1[[#This Row],[Arrive]])</f>
        <v>1</v>
      </c>
    </row>
    <row r="667" spans="1:21" x14ac:dyDescent="0.25">
      <c r="A667" t="s">
        <v>835</v>
      </c>
      <c r="B667" t="s">
        <v>836</v>
      </c>
      <c r="C667" t="s">
        <v>1177</v>
      </c>
      <c r="D667" s="1">
        <v>44116</v>
      </c>
      <c r="E667" s="1">
        <v>44118</v>
      </c>
      <c r="F667">
        <f t="shared" si="32"/>
        <v>2</v>
      </c>
      <c r="G667" s="1">
        <v>44106</v>
      </c>
      <c r="H667" s="2">
        <v>0.58333333333333337</v>
      </c>
      <c r="I667" s="2">
        <v>0.5</v>
      </c>
      <c r="J667" t="s">
        <v>1835</v>
      </c>
      <c r="K667" t="s">
        <v>1835</v>
      </c>
      <c r="L667" t="s">
        <v>22</v>
      </c>
      <c r="M667" s="12" t="s">
        <v>18</v>
      </c>
      <c r="N667">
        <v>6</v>
      </c>
      <c r="O667">
        <v>0</v>
      </c>
      <c r="P667" t="s">
        <v>19</v>
      </c>
      <c r="Q667" s="6">
        <v>213.93</v>
      </c>
      <c r="R667" t="str">
        <f t="shared" si="30"/>
        <v>Achikare 's Luxury Home Away from Home_x000C_</v>
      </c>
      <c r="S667" t="str">
        <f t="shared" si="31"/>
        <v>Achikare 's Luxury Home Away from Home</v>
      </c>
      <c r="T667">
        <f>Table1[[#This Row],[Adults]]+Table1[[#This Row],[Children]]</f>
        <v>6</v>
      </c>
      <c r="U667">
        <f>_xlfn.DAYS(Table1[[#This Row],[Depart]],Table1[[#This Row],[Arrive]])</f>
        <v>2</v>
      </c>
    </row>
    <row r="668" spans="1:21" x14ac:dyDescent="0.25">
      <c r="A668" t="s">
        <v>867</v>
      </c>
      <c r="B668" t="s">
        <v>868</v>
      </c>
      <c r="C668" t="s">
        <v>1173</v>
      </c>
      <c r="D668" s="1">
        <v>44116</v>
      </c>
      <c r="E668" s="1">
        <v>44119</v>
      </c>
      <c r="F668">
        <f t="shared" si="32"/>
        <v>3</v>
      </c>
      <c r="G668" s="1">
        <v>44110</v>
      </c>
      <c r="H668" s="2">
        <v>0.33333333333333331</v>
      </c>
      <c r="I668" s="3">
        <v>1</v>
      </c>
      <c r="J668" t="s">
        <v>1850</v>
      </c>
      <c r="K668" t="s">
        <v>1850</v>
      </c>
      <c r="L668" t="s">
        <v>22</v>
      </c>
      <c r="M668" s="12" t="s">
        <v>23</v>
      </c>
      <c r="N668">
        <v>4</v>
      </c>
      <c r="O668">
        <v>0</v>
      </c>
      <c r="P668" t="s">
        <v>19</v>
      </c>
      <c r="Q668" s="6">
        <v>387</v>
      </c>
      <c r="R668" t="str">
        <f t="shared" si="30"/>
        <v xml:space="preserve"> The Daniels 5 Star Short Let Apartment in Lekki_x000C_</v>
      </c>
      <c r="S668" t="str">
        <f t="shared" si="31"/>
        <v xml:space="preserve"> The Daniels 5 Star Short Let Apartment in Lekki</v>
      </c>
      <c r="T668">
        <f>Table1[[#This Row],[Adults]]+Table1[[#This Row],[Children]]</f>
        <v>4</v>
      </c>
      <c r="U668">
        <f>_xlfn.DAYS(Table1[[#This Row],[Depart]],Table1[[#This Row],[Arrive]])</f>
        <v>3</v>
      </c>
    </row>
    <row r="669" spans="1:21" x14ac:dyDescent="0.25">
      <c r="A669" t="s">
        <v>829</v>
      </c>
      <c r="B669" t="s">
        <v>830</v>
      </c>
      <c r="C669" t="s">
        <v>1178</v>
      </c>
      <c r="D669" s="1">
        <v>44117</v>
      </c>
      <c r="E669" s="1">
        <v>44119</v>
      </c>
      <c r="F669">
        <f t="shared" si="32"/>
        <v>2</v>
      </c>
      <c r="G669" s="1">
        <v>44105</v>
      </c>
      <c r="H669" s="2">
        <v>0.58333333333333337</v>
      </c>
      <c r="I669" s="2">
        <v>0.45833333333333331</v>
      </c>
      <c r="J669" t="s">
        <v>1816</v>
      </c>
      <c r="K669" t="s">
        <v>1816</v>
      </c>
      <c r="L669" t="s">
        <v>22</v>
      </c>
      <c r="M669" s="12" t="s">
        <v>23</v>
      </c>
      <c r="N669">
        <v>6</v>
      </c>
      <c r="O669">
        <v>0</v>
      </c>
      <c r="P669" t="s">
        <v>19</v>
      </c>
      <c r="Q669" s="6">
        <v>258</v>
      </c>
      <c r="R669" t="str">
        <f t="shared" si="30"/>
        <v>Ope's 5 Star Short Let Apartment in Lekki_x000C_</v>
      </c>
      <c r="S669" t="str">
        <f t="shared" si="31"/>
        <v>Ope's 5 Star Short Let Apartment in Lekki</v>
      </c>
      <c r="T669">
        <f>Table1[[#This Row],[Adults]]+Table1[[#This Row],[Children]]</f>
        <v>6</v>
      </c>
      <c r="U669">
        <f>_xlfn.DAYS(Table1[[#This Row],[Depart]],Table1[[#This Row],[Arrive]])</f>
        <v>2</v>
      </c>
    </row>
    <row r="670" spans="1:21" x14ac:dyDescent="0.25">
      <c r="A670" t="s">
        <v>871</v>
      </c>
      <c r="B670" t="s">
        <v>872</v>
      </c>
      <c r="C670" t="s">
        <v>1175</v>
      </c>
      <c r="D670" s="1">
        <v>44117</v>
      </c>
      <c r="E670" s="1">
        <v>44118</v>
      </c>
      <c r="F670">
        <f t="shared" si="32"/>
        <v>1</v>
      </c>
      <c r="G670" s="1">
        <v>44114</v>
      </c>
      <c r="H670" s="2">
        <v>0.5</v>
      </c>
      <c r="I670" s="2">
        <v>0.58333333333333337</v>
      </c>
      <c r="J670" t="s">
        <v>1853</v>
      </c>
      <c r="K670" t="s">
        <v>1853</v>
      </c>
      <c r="L670" t="s">
        <v>22</v>
      </c>
      <c r="M670" s="12" t="s">
        <v>18</v>
      </c>
      <c r="N670">
        <v>1</v>
      </c>
      <c r="O670">
        <v>0</v>
      </c>
      <c r="P670" t="s">
        <v>19</v>
      </c>
      <c r="Q670" s="6">
        <v>130000</v>
      </c>
      <c r="R670" t="str">
        <f t="shared" si="30"/>
        <v>Keji's 5 Star Short let Apartment in Lekki_x000C_</v>
      </c>
      <c r="S670" t="str">
        <f t="shared" si="31"/>
        <v>Keji's 5 Star Short let Apartment in Lekki</v>
      </c>
      <c r="T670">
        <f>Table1[[#This Row],[Adults]]+Table1[[#This Row],[Children]]</f>
        <v>1</v>
      </c>
      <c r="U670">
        <f>_xlfn.DAYS(Table1[[#This Row],[Depart]],Table1[[#This Row],[Arrive]])</f>
        <v>1</v>
      </c>
    </row>
    <row r="671" spans="1:21" x14ac:dyDescent="0.25">
      <c r="A671" t="s">
        <v>589</v>
      </c>
      <c r="B671" t="s">
        <v>590</v>
      </c>
      <c r="C671" t="s">
        <v>1176</v>
      </c>
      <c r="D671" s="1">
        <v>44117</v>
      </c>
      <c r="E671" s="1">
        <v>44118</v>
      </c>
      <c r="F671">
        <f t="shared" si="32"/>
        <v>1</v>
      </c>
      <c r="G671" s="1">
        <v>44117</v>
      </c>
      <c r="H671" s="2">
        <v>0.58333333333333337</v>
      </c>
      <c r="I671" s="2">
        <v>0.45833333333333331</v>
      </c>
      <c r="J671" t="s">
        <v>1865</v>
      </c>
      <c r="K671" t="s">
        <v>1865</v>
      </c>
      <c r="L671" t="s">
        <v>22</v>
      </c>
      <c r="M671" s="12" t="s">
        <v>23</v>
      </c>
      <c r="N671">
        <v>5</v>
      </c>
      <c r="O671">
        <v>0</v>
      </c>
      <c r="P671" t="s">
        <v>19</v>
      </c>
      <c r="Q671" s="6">
        <v>188.12</v>
      </c>
      <c r="R671" t="str">
        <f t="shared" si="30"/>
        <v>Tiara's Luxury Home Away From Home_x000C_</v>
      </c>
      <c r="S671" t="str">
        <f t="shared" si="31"/>
        <v>Tiara's Luxury Home Away From Home</v>
      </c>
      <c r="T671">
        <f>Table1[[#This Row],[Adults]]+Table1[[#This Row],[Children]]</f>
        <v>5</v>
      </c>
      <c r="U671">
        <f>_xlfn.DAYS(Table1[[#This Row],[Depart]],Table1[[#This Row],[Arrive]])</f>
        <v>1</v>
      </c>
    </row>
    <row r="672" spans="1:21" x14ac:dyDescent="0.25">
      <c r="A672" t="s">
        <v>589</v>
      </c>
      <c r="B672" t="s">
        <v>590</v>
      </c>
      <c r="C672" t="s">
        <v>1176</v>
      </c>
      <c r="D672" s="1">
        <v>44117</v>
      </c>
      <c r="E672" s="1">
        <v>44118</v>
      </c>
      <c r="F672">
        <f t="shared" si="32"/>
        <v>1</v>
      </c>
      <c r="G672" s="1">
        <v>44117</v>
      </c>
      <c r="H672" s="2">
        <v>0.58333333333333337</v>
      </c>
      <c r="I672" s="2">
        <v>0.45833333333333331</v>
      </c>
      <c r="J672" t="s">
        <v>1866</v>
      </c>
      <c r="K672" t="s">
        <v>1866</v>
      </c>
      <c r="L672" t="s">
        <v>22</v>
      </c>
      <c r="M672" s="12" t="s">
        <v>23</v>
      </c>
      <c r="N672">
        <v>6</v>
      </c>
      <c r="O672">
        <v>0</v>
      </c>
      <c r="P672" t="s">
        <v>19</v>
      </c>
      <c r="Q672" s="6">
        <v>188.13</v>
      </c>
      <c r="R672" t="str">
        <f t="shared" si="30"/>
        <v>Tiara's Luxury Home Away From Home_x000C_</v>
      </c>
      <c r="S672" t="str">
        <f t="shared" si="31"/>
        <v>Tiara's Luxury Home Away From Home</v>
      </c>
      <c r="T672">
        <f>Table1[[#This Row],[Adults]]+Table1[[#This Row],[Children]]</f>
        <v>6</v>
      </c>
      <c r="U672">
        <f>_xlfn.DAYS(Table1[[#This Row],[Depart]],Table1[[#This Row],[Arrive]])</f>
        <v>1</v>
      </c>
    </row>
    <row r="673" spans="1:21" x14ac:dyDescent="0.25">
      <c r="A673" t="s">
        <v>903</v>
      </c>
      <c r="B673" t="s">
        <v>904</v>
      </c>
      <c r="C673" t="s">
        <v>1175</v>
      </c>
      <c r="D673" s="1">
        <v>44117</v>
      </c>
      <c r="E673" s="1">
        <v>44122</v>
      </c>
      <c r="F673">
        <f t="shared" si="32"/>
        <v>5</v>
      </c>
      <c r="G673" s="1">
        <v>44117</v>
      </c>
      <c r="H673" s="2">
        <v>0.5</v>
      </c>
      <c r="I673" s="2">
        <v>0.58333333333333337</v>
      </c>
      <c r="J673" t="s">
        <v>1880</v>
      </c>
      <c r="K673" t="s">
        <v>1880</v>
      </c>
      <c r="L673" t="s">
        <v>22</v>
      </c>
      <c r="M673" s="12" t="s">
        <v>23</v>
      </c>
      <c r="N673">
        <v>4</v>
      </c>
      <c r="O673">
        <v>0</v>
      </c>
      <c r="P673" t="s">
        <v>19</v>
      </c>
      <c r="Q673" s="6">
        <v>645</v>
      </c>
      <c r="R673" t="str">
        <f t="shared" si="30"/>
        <v>Keji's 5 Star Short let Apartment in Lekki_x000C_</v>
      </c>
      <c r="S673" t="str">
        <f t="shared" si="31"/>
        <v>Keji's 5 Star Short let Apartment in Lekki</v>
      </c>
      <c r="T673">
        <f>Table1[[#This Row],[Adults]]+Table1[[#This Row],[Children]]</f>
        <v>4</v>
      </c>
      <c r="U673">
        <f>_xlfn.DAYS(Table1[[#This Row],[Depart]],Table1[[#This Row],[Arrive]])</f>
        <v>5</v>
      </c>
    </row>
    <row r="674" spans="1:21" x14ac:dyDescent="0.25">
      <c r="A674" t="s">
        <v>673</v>
      </c>
      <c r="B674" t="s">
        <v>674</v>
      </c>
      <c r="C674" t="s">
        <v>1179</v>
      </c>
      <c r="D674" s="1">
        <v>44118</v>
      </c>
      <c r="E674" s="1">
        <v>44120</v>
      </c>
      <c r="F674">
        <f t="shared" si="32"/>
        <v>2</v>
      </c>
      <c r="G674" s="1">
        <v>44111</v>
      </c>
      <c r="H674" s="2">
        <v>0.33333333333333331</v>
      </c>
      <c r="I674" s="3">
        <v>1</v>
      </c>
      <c r="J674" t="s">
        <v>1858</v>
      </c>
      <c r="K674" t="s">
        <v>1858</v>
      </c>
      <c r="L674" t="s">
        <v>22</v>
      </c>
      <c r="M674" s="12" t="s">
        <v>18</v>
      </c>
      <c r="N674">
        <v>3</v>
      </c>
      <c r="O674">
        <v>0</v>
      </c>
      <c r="P674" t="s">
        <v>19</v>
      </c>
      <c r="Q674" s="6">
        <v>258</v>
      </c>
      <c r="R674" t="str">
        <f t="shared" si="30"/>
        <v>Phiola's 5 Star Short Let Apartment in Lekki_x000C_</v>
      </c>
      <c r="S674" t="str">
        <f t="shared" si="31"/>
        <v>Phiola's 5 Star Short Let Apartment in Lekki</v>
      </c>
      <c r="T674">
        <f>Table1[[#This Row],[Adults]]+Table1[[#This Row],[Children]]</f>
        <v>3</v>
      </c>
      <c r="U674">
        <f>_xlfn.DAYS(Table1[[#This Row],[Depart]],Table1[[#This Row],[Arrive]])</f>
        <v>2</v>
      </c>
    </row>
    <row r="675" spans="1:21" x14ac:dyDescent="0.25">
      <c r="A675" t="s">
        <v>877</v>
      </c>
      <c r="B675" t="s">
        <v>878</v>
      </c>
      <c r="C675" t="s">
        <v>1176</v>
      </c>
      <c r="D675" s="1">
        <v>44118</v>
      </c>
      <c r="E675" s="1">
        <v>44119</v>
      </c>
      <c r="F675">
        <f t="shared" si="32"/>
        <v>1</v>
      </c>
      <c r="G675" s="1">
        <v>44115</v>
      </c>
      <c r="H675" s="2">
        <v>0.58333333333333337</v>
      </c>
      <c r="I675" s="2">
        <v>0.45833333333333331</v>
      </c>
      <c r="J675" t="s">
        <v>1859</v>
      </c>
      <c r="K675" t="s">
        <v>1859</v>
      </c>
      <c r="L675" t="s">
        <v>22</v>
      </c>
      <c r="M675" s="12" t="s">
        <v>23</v>
      </c>
      <c r="N675">
        <v>5</v>
      </c>
      <c r="O675">
        <v>0</v>
      </c>
      <c r="P675" t="s">
        <v>19</v>
      </c>
      <c r="Q675" s="6">
        <v>188.13</v>
      </c>
      <c r="R675" t="str">
        <f t="shared" si="30"/>
        <v>Tiara's Luxury Home Away From Home_x000C_</v>
      </c>
      <c r="S675" t="str">
        <f t="shared" si="31"/>
        <v>Tiara's Luxury Home Away From Home</v>
      </c>
      <c r="T675">
        <f>Table1[[#This Row],[Adults]]+Table1[[#This Row],[Children]]</f>
        <v>5</v>
      </c>
      <c r="U675">
        <f>_xlfn.DAYS(Table1[[#This Row],[Depart]],Table1[[#This Row],[Arrive]])</f>
        <v>1</v>
      </c>
    </row>
    <row r="676" spans="1:21" x14ac:dyDescent="0.25">
      <c r="A676" t="s">
        <v>899</v>
      </c>
      <c r="B676" t="s">
        <v>900</v>
      </c>
      <c r="C676" t="s">
        <v>1179</v>
      </c>
      <c r="D676" s="1">
        <v>44118</v>
      </c>
      <c r="E676" s="1">
        <v>44120</v>
      </c>
      <c r="F676">
        <f t="shared" si="32"/>
        <v>2</v>
      </c>
      <c r="G676" s="1">
        <v>44118</v>
      </c>
      <c r="H676" s="2">
        <v>0.33333333333333331</v>
      </c>
      <c r="I676" s="3">
        <v>1</v>
      </c>
      <c r="J676" t="s">
        <v>1876</v>
      </c>
      <c r="K676" t="s">
        <v>1876</v>
      </c>
      <c r="L676" t="s">
        <v>22</v>
      </c>
      <c r="M676" s="12" t="s">
        <v>23</v>
      </c>
      <c r="N676">
        <v>4</v>
      </c>
      <c r="O676">
        <v>0</v>
      </c>
      <c r="P676" t="s">
        <v>19</v>
      </c>
      <c r="Q676" s="6">
        <v>258</v>
      </c>
      <c r="R676" t="str">
        <f t="shared" si="30"/>
        <v>Phiola's 5 Star Short Let Apartment in Lekki_x000C_</v>
      </c>
      <c r="S676" t="str">
        <f t="shared" si="31"/>
        <v>Phiola's 5 Star Short Let Apartment in Lekki</v>
      </c>
      <c r="T676">
        <f>Table1[[#This Row],[Adults]]+Table1[[#This Row],[Children]]</f>
        <v>4</v>
      </c>
      <c r="U676">
        <f>_xlfn.DAYS(Table1[[#This Row],[Depart]],Table1[[#This Row],[Arrive]])</f>
        <v>2</v>
      </c>
    </row>
    <row r="677" spans="1:21" x14ac:dyDescent="0.25">
      <c r="A677" t="s">
        <v>891</v>
      </c>
      <c r="B677" t="s">
        <v>892</v>
      </c>
      <c r="C677" t="s">
        <v>1175</v>
      </c>
      <c r="D677" s="1">
        <v>44119</v>
      </c>
      <c r="E677" s="1">
        <v>44124</v>
      </c>
      <c r="F677">
        <f t="shared" si="32"/>
        <v>5</v>
      </c>
      <c r="G677" s="1">
        <v>44118</v>
      </c>
      <c r="H677" s="2">
        <v>0.5</v>
      </c>
      <c r="I677" s="2">
        <v>0.58333333333333337</v>
      </c>
      <c r="J677" t="s">
        <v>1870</v>
      </c>
      <c r="K677" t="s">
        <v>1870</v>
      </c>
      <c r="L677" t="s">
        <v>22</v>
      </c>
      <c r="M677" s="12" t="s">
        <v>18</v>
      </c>
      <c r="N677">
        <v>5</v>
      </c>
      <c r="O677">
        <v>0</v>
      </c>
      <c r="P677" t="s">
        <v>19</v>
      </c>
      <c r="Q677" s="6">
        <v>650000</v>
      </c>
      <c r="R677" t="str">
        <f t="shared" si="30"/>
        <v>Keji's 5 Star Short let Apartment in Lekki_x000C_</v>
      </c>
      <c r="S677" t="str">
        <f t="shared" si="31"/>
        <v>Keji's 5 Star Short let Apartment in Lekki</v>
      </c>
      <c r="T677">
        <f>Table1[[#This Row],[Adults]]+Table1[[#This Row],[Children]]</f>
        <v>5</v>
      </c>
      <c r="U677">
        <f>_xlfn.DAYS(Table1[[#This Row],[Depart]],Table1[[#This Row],[Arrive]])</f>
        <v>5</v>
      </c>
    </row>
    <row r="678" spans="1:21" x14ac:dyDescent="0.25">
      <c r="A678" t="s">
        <v>1007</v>
      </c>
      <c r="B678" t="s">
        <v>1008</v>
      </c>
      <c r="C678" t="s">
        <v>1177</v>
      </c>
      <c r="D678" s="1">
        <v>44119</v>
      </c>
      <c r="E678" s="1">
        <v>44140</v>
      </c>
      <c r="F678">
        <f t="shared" si="32"/>
        <v>21</v>
      </c>
      <c r="G678" s="1">
        <v>44102</v>
      </c>
      <c r="H678" s="2">
        <v>0.58333333333333337</v>
      </c>
      <c r="I678" s="2">
        <v>0.5</v>
      </c>
      <c r="J678" t="s">
        <v>1995</v>
      </c>
      <c r="K678" t="s">
        <v>1995</v>
      </c>
      <c r="L678" t="s">
        <v>22</v>
      </c>
      <c r="M678" s="12" t="s">
        <v>23</v>
      </c>
      <c r="N678">
        <v>4</v>
      </c>
      <c r="O678">
        <v>0</v>
      </c>
      <c r="P678" t="s">
        <v>19</v>
      </c>
      <c r="Q678" s="6">
        <v>4492.43</v>
      </c>
      <c r="R678" t="str">
        <f t="shared" si="30"/>
        <v>Achikare 's Luxury Home Away from Home_x000C_</v>
      </c>
      <c r="S678" t="str">
        <f t="shared" si="31"/>
        <v>Achikare 's Luxury Home Away from Home</v>
      </c>
      <c r="T678">
        <f>Table1[[#This Row],[Adults]]+Table1[[#This Row],[Children]]</f>
        <v>4</v>
      </c>
      <c r="U678">
        <f>_xlfn.DAYS(Table1[[#This Row],[Depart]],Table1[[#This Row],[Arrive]])</f>
        <v>21</v>
      </c>
    </row>
    <row r="679" spans="1:21" x14ac:dyDescent="0.25">
      <c r="A679" t="s">
        <v>765</v>
      </c>
      <c r="B679" t="s">
        <v>766</v>
      </c>
      <c r="C679" t="s">
        <v>1178</v>
      </c>
      <c r="D679" s="1">
        <v>44120</v>
      </c>
      <c r="E679" s="1">
        <v>44127</v>
      </c>
      <c r="F679">
        <f t="shared" si="32"/>
        <v>7</v>
      </c>
      <c r="G679" s="1">
        <v>44085</v>
      </c>
      <c r="H679" s="2">
        <v>0.58333333333333337</v>
      </c>
      <c r="I679" s="2">
        <v>0.45833333333333331</v>
      </c>
      <c r="J679" t="s">
        <v>1768</v>
      </c>
      <c r="K679" t="s">
        <v>1768</v>
      </c>
      <c r="L679" t="s">
        <v>26</v>
      </c>
      <c r="M679" s="12" t="s">
        <v>18</v>
      </c>
      <c r="N679">
        <v>1</v>
      </c>
      <c r="O679">
        <v>0</v>
      </c>
      <c r="P679" t="s">
        <v>19</v>
      </c>
      <c r="Q679" s="6">
        <v>711</v>
      </c>
      <c r="R679" t="str">
        <f t="shared" si="30"/>
        <v>Ope's 5 Star Short Let Apartment in Lekki_x000C_</v>
      </c>
      <c r="S679" t="str">
        <f t="shared" si="31"/>
        <v>Ope's 5 Star Short Let Apartment in Lekki</v>
      </c>
      <c r="T679">
        <f>Table1[[#This Row],[Adults]]+Table1[[#This Row],[Children]]</f>
        <v>1</v>
      </c>
      <c r="U679">
        <f>_xlfn.DAYS(Table1[[#This Row],[Depart]],Table1[[#This Row],[Arrive]])</f>
        <v>7</v>
      </c>
    </row>
    <row r="680" spans="1:21" x14ac:dyDescent="0.25">
      <c r="A680" t="s">
        <v>795</v>
      </c>
      <c r="B680" t="s">
        <v>796</v>
      </c>
      <c r="C680" t="s">
        <v>1173</v>
      </c>
      <c r="D680" s="1">
        <v>44120</v>
      </c>
      <c r="E680" s="1">
        <v>44121</v>
      </c>
      <c r="F680">
        <f t="shared" si="32"/>
        <v>1</v>
      </c>
      <c r="G680" s="1">
        <v>44092</v>
      </c>
      <c r="H680" s="2">
        <v>0.33333333333333331</v>
      </c>
      <c r="I680" s="3">
        <v>1</v>
      </c>
      <c r="J680" t="s">
        <v>1790</v>
      </c>
      <c r="K680" t="s">
        <v>1790</v>
      </c>
      <c r="L680" t="s">
        <v>22</v>
      </c>
      <c r="M680" s="12" t="s">
        <v>23</v>
      </c>
      <c r="N680">
        <v>4</v>
      </c>
      <c r="O680">
        <v>0</v>
      </c>
      <c r="P680" t="s">
        <v>19</v>
      </c>
      <c r="Q680" s="6">
        <v>129</v>
      </c>
      <c r="R680" t="str">
        <f t="shared" si="30"/>
        <v xml:space="preserve"> The Daniels 5 Star Short Let Apartment in Lekki_x000C_</v>
      </c>
      <c r="S680" t="str">
        <f t="shared" si="31"/>
        <v xml:space="preserve"> The Daniels 5 Star Short Let Apartment in Lekki</v>
      </c>
      <c r="T680">
        <f>Table1[[#This Row],[Adults]]+Table1[[#This Row],[Children]]</f>
        <v>4</v>
      </c>
      <c r="U680">
        <f>_xlfn.DAYS(Table1[[#This Row],[Depart]],Table1[[#This Row],[Arrive]])</f>
        <v>1</v>
      </c>
    </row>
    <row r="681" spans="1:21" x14ac:dyDescent="0.25">
      <c r="A681" t="s">
        <v>795</v>
      </c>
      <c r="B681" t="s">
        <v>796</v>
      </c>
      <c r="C681" t="s">
        <v>1173</v>
      </c>
      <c r="D681" s="1">
        <v>44120</v>
      </c>
      <c r="E681" s="1">
        <v>44121</v>
      </c>
      <c r="F681">
        <f t="shared" si="32"/>
        <v>1</v>
      </c>
      <c r="G681" s="1">
        <v>44092</v>
      </c>
      <c r="H681" s="2">
        <v>0.33333333333333331</v>
      </c>
      <c r="I681" s="3">
        <v>1</v>
      </c>
      <c r="J681" t="s">
        <v>1792</v>
      </c>
      <c r="K681" t="s">
        <v>1792</v>
      </c>
      <c r="L681" t="s">
        <v>22</v>
      </c>
      <c r="M681" s="12" t="s">
        <v>18</v>
      </c>
      <c r="N681">
        <v>1</v>
      </c>
      <c r="O681">
        <v>0</v>
      </c>
      <c r="P681" t="s">
        <v>19</v>
      </c>
      <c r="Q681" s="6">
        <v>129</v>
      </c>
      <c r="R681" t="str">
        <f t="shared" si="30"/>
        <v xml:space="preserve"> The Daniels 5 Star Short Let Apartment in Lekki_x000C_</v>
      </c>
      <c r="S681" t="str">
        <f t="shared" si="31"/>
        <v xml:space="preserve"> The Daniels 5 Star Short Let Apartment in Lekki</v>
      </c>
      <c r="T681">
        <f>Table1[[#This Row],[Adults]]+Table1[[#This Row],[Children]]</f>
        <v>1</v>
      </c>
      <c r="U681">
        <f>_xlfn.DAYS(Table1[[#This Row],[Depart]],Table1[[#This Row],[Arrive]])</f>
        <v>1</v>
      </c>
    </row>
    <row r="682" spans="1:21" x14ac:dyDescent="0.25">
      <c r="A682" t="s">
        <v>607</v>
      </c>
      <c r="B682" t="s">
        <v>608</v>
      </c>
      <c r="C682" t="s">
        <v>1178</v>
      </c>
      <c r="D682" s="1">
        <v>44120</v>
      </c>
      <c r="E682" s="1">
        <v>44122</v>
      </c>
      <c r="F682">
        <f t="shared" si="32"/>
        <v>2</v>
      </c>
      <c r="G682" s="1">
        <v>44095</v>
      </c>
      <c r="H682" s="2">
        <v>0.58333333333333337</v>
      </c>
      <c r="I682" s="2">
        <v>0.45833333333333331</v>
      </c>
      <c r="J682" t="s">
        <v>1798</v>
      </c>
      <c r="K682" t="s">
        <v>1798</v>
      </c>
      <c r="L682" t="s">
        <v>22</v>
      </c>
      <c r="M682" s="12" t="s">
        <v>18</v>
      </c>
      <c r="N682">
        <v>3</v>
      </c>
      <c r="O682">
        <v>0</v>
      </c>
      <c r="P682" t="s">
        <v>19</v>
      </c>
      <c r="Q682" s="6">
        <v>258</v>
      </c>
      <c r="R682" t="str">
        <f t="shared" si="30"/>
        <v>Ope's 5 Star Short Let Apartment in Lekki_x000C_</v>
      </c>
      <c r="S682" t="str">
        <f t="shared" si="31"/>
        <v>Ope's 5 Star Short Let Apartment in Lekki</v>
      </c>
      <c r="T682">
        <f>Table1[[#This Row],[Adults]]+Table1[[#This Row],[Children]]</f>
        <v>3</v>
      </c>
      <c r="U682">
        <f>_xlfn.DAYS(Table1[[#This Row],[Depart]],Table1[[#This Row],[Arrive]])</f>
        <v>2</v>
      </c>
    </row>
    <row r="683" spans="1:21" x14ac:dyDescent="0.25">
      <c r="A683" t="s">
        <v>851</v>
      </c>
      <c r="B683" t="s">
        <v>852</v>
      </c>
      <c r="C683" t="s">
        <v>1178</v>
      </c>
      <c r="D683" s="1">
        <v>44120</v>
      </c>
      <c r="E683" s="1">
        <v>44122</v>
      </c>
      <c r="F683">
        <f t="shared" si="32"/>
        <v>2</v>
      </c>
      <c r="G683" s="1">
        <v>44109</v>
      </c>
      <c r="H683" s="2">
        <v>0.58333333333333337</v>
      </c>
      <c r="I683" s="2">
        <v>0.45833333333333331</v>
      </c>
      <c r="J683" t="s">
        <v>1839</v>
      </c>
      <c r="K683" t="s">
        <v>1839</v>
      </c>
      <c r="L683" t="s">
        <v>22</v>
      </c>
      <c r="M683" s="12" t="s">
        <v>23</v>
      </c>
      <c r="N683">
        <v>4</v>
      </c>
      <c r="O683">
        <v>0</v>
      </c>
      <c r="P683" t="s">
        <v>19</v>
      </c>
      <c r="Q683" s="6">
        <v>258</v>
      </c>
      <c r="R683" t="str">
        <f t="shared" si="30"/>
        <v>Ope's 5 Star Short Let Apartment in Lekki_x000C_</v>
      </c>
      <c r="S683" t="str">
        <f t="shared" si="31"/>
        <v>Ope's 5 Star Short Let Apartment in Lekki</v>
      </c>
      <c r="T683">
        <f>Table1[[#This Row],[Adults]]+Table1[[#This Row],[Children]]</f>
        <v>4</v>
      </c>
      <c r="U683">
        <f>_xlfn.DAYS(Table1[[#This Row],[Depart]],Table1[[#This Row],[Arrive]])</f>
        <v>2</v>
      </c>
    </row>
    <row r="684" spans="1:21" x14ac:dyDescent="0.25">
      <c r="A684" t="s">
        <v>853</v>
      </c>
      <c r="B684" t="s">
        <v>854</v>
      </c>
      <c r="C684" t="s">
        <v>1179</v>
      </c>
      <c r="D684" s="1">
        <v>44120</v>
      </c>
      <c r="E684" s="1">
        <v>44123</v>
      </c>
      <c r="F684">
        <f t="shared" si="32"/>
        <v>3</v>
      </c>
      <c r="G684" s="1">
        <v>44109</v>
      </c>
      <c r="H684" s="2">
        <v>0.33333333333333331</v>
      </c>
      <c r="I684" s="3">
        <v>1</v>
      </c>
      <c r="J684" t="s">
        <v>1840</v>
      </c>
      <c r="K684" t="s">
        <v>1840</v>
      </c>
      <c r="L684" t="s">
        <v>22</v>
      </c>
      <c r="M684" s="12" t="s">
        <v>23</v>
      </c>
      <c r="N684">
        <v>4</v>
      </c>
      <c r="O684">
        <v>0</v>
      </c>
      <c r="P684" t="s">
        <v>19</v>
      </c>
      <c r="Q684" s="6">
        <v>387</v>
      </c>
      <c r="R684" t="str">
        <f t="shared" si="30"/>
        <v>Phiola's 5 Star Short Let Apartment in Lekki_x000C_</v>
      </c>
      <c r="S684" t="str">
        <f t="shared" si="31"/>
        <v>Phiola's 5 Star Short Let Apartment in Lekki</v>
      </c>
      <c r="T684">
        <f>Table1[[#This Row],[Adults]]+Table1[[#This Row],[Children]]</f>
        <v>4</v>
      </c>
      <c r="U684">
        <f>_xlfn.DAYS(Table1[[#This Row],[Depart]],Table1[[#This Row],[Arrive]])</f>
        <v>3</v>
      </c>
    </row>
    <row r="685" spans="1:21" x14ac:dyDescent="0.25">
      <c r="A685" t="s">
        <v>569</v>
      </c>
      <c r="B685" t="s">
        <v>570</v>
      </c>
      <c r="C685" t="s">
        <v>1176</v>
      </c>
      <c r="D685" s="1">
        <v>44120</v>
      </c>
      <c r="E685" s="1">
        <v>44123</v>
      </c>
      <c r="F685">
        <f t="shared" si="32"/>
        <v>3</v>
      </c>
      <c r="G685" s="1">
        <v>44111</v>
      </c>
      <c r="H685" s="2">
        <v>0.58333333333333337</v>
      </c>
      <c r="I685" s="2">
        <v>0.45833333333333331</v>
      </c>
      <c r="J685" t="s">
        <v>1868</v>
      </c>
      <c r="K685" t="s">
        <v>1868</v>
      </c>
      <c r="L685" t="s">
        <v>22</v>
      </c>
      <c r="M685" s="12" t="s">
        <v>18</v>
      </c>
      <c r="N685">
        <v>2</v>
      </c>
      <c r="O685">
        <v>0</v>
      </c>
      <c r="P685" t="s">
        <v>19</v>
      </c>
      <c r="Q685" s="6">
        <v>564.38</v>
      </c>
      <c r="R685" t="str">
        <f t="shared" si="30"/>
        <v>Tiara's Luxury Home Away From Home_x000C_</v>
      </c>
      <c r="S685" t="str">
        <f t="shared" si="31"/>
        <v>Tiara's Luxury Home Away From Home</v>
      </c>
      <c r="T685">
        <f>Table1[[#This Row],[Adults]]+Table1[[#This Row],[Children]]</f>
        <v>2</v>
      </c>
      <c r="U685">
        <f>_xlfn.DAYS(Table1[[#This Row],[Depart]],Table1[[#This Row],[Arrive]])</f>
        <v>3</v>
      </c>
    </row>
    <row r="686" spans="1:21" x14ac:dyDescent="0.25">
      <c r="A686" t="s">
        <v>891</v>
      </c>
      <c r="B686" t="s">
        <v>892</v>
      </c>
      <c r="C686" t="s">
        <v>1175</v>
      </c>
      <c r="D686" s="1">
        <v>44120</v>
      </c>
      <c r="E686" s="1">
        <v>44126</v>
      </c>
      <c r="F686">
        <f t="shared" si="32"/>
        <v>6</v>
      </c>
      <c r="G686" s="1">
        <v>44118</v>
      </c>
      <c r="H686" s="2">
        <v>0.5</v>
      </c>
      <c r="I686" s="2">
        <v>0.58333333333333337</v>
      </c>
      <c r="J686" t="s">
        <v>1869</v>
      </c>
      <c r="K686" t="s">
        <v>1869</v>
      </c>
      <c r="L686" t="s">
        <v>22</v>
      </c>
      <c r="M686" s="12" t="s">
        <v>18</v>
      </c>
      <c r="N686">
        <v>9</v>
      </c>
      <c r="O686">
        <v>0</v>
      </c>
      <c r="P686" t="s">
        <v>19</v>
      </c>
      <c r="Q686" s="6">
        <v>780000</v>
      </c>
      <c r="R686" t="str">
        <f t="shared" si="30"/>
        <v>Keji's 5 Star Short let Apartment in Lekki_x000C_</v>
      </c>
      <c r="S686" t="str">
        <f t="shared" si="31"/>
        <v>Keji's 5 Star Short let Apartment in Lekki</v>
      </c>
      <c r="T686">
        <f>Table1[[#This Row],[Adults]]+Table1[[#This Row],[Children]]</f>
        <v>9</v>
      </c>
      <c r="U686">
        <f>_xlfn.DAYS(Table1[[#This Row],[Depart]],Table1[[#This Row],[Arrive]])</f>
        <v>6</v>
      </c>
    </row>
    <row r="687" spans="1:21" x14ac:dyDescent="0.25">
      <c r="A687" t="s">
        <v>296</v>
      </c>
      <c r="B687" t="s">
        <v>297</v>
      </c>
      <c r="C687" t="s">
        <v>1175</v>
      </c>
      <c r="D687" s="1">
        <v>44120</v>
      </c>
      <c r="E687" s="1">
        <v>44122</v>
      </c>
      <c r="F687">
        <f t="shared" si="32"/>
        <v>2</v>
      </c>
      <c r="G687" s="1">
        <v>44079</v>
      </c>
      <c r="H687" s="2">
        <v>0.5</v>
      </c>
      <c r="I687" s="3">
        <v>1</v>
      </c>
      <c r="J687" t="s">
        <v>1879</v>
      </c>
      <c r="K687" t="s">
        <v>1879</v>
      </c>
      <c r="L687" t="s">
        <v>22</v>
      </c>
      <c r="M687" s="12" t="s">
        <v>18</v>
      </c>
      <c r="N687">
        <v>5</v>
      </c>
      <c r="O687">
        <v>0</v>
      </c>
      <c r="P687" t="s">
        <v>19</v>
      </c>
      <c r="Q687" s="6">
        <v>258</v>
      </c>
      <c r="R687" t="str">
        <f t="shared" si="30"/>
        <v>Keji's 5 Star Short let Apartment in Lekki_x000C_</v>
      </c>
      <c r="S687" t="str">
        <f t="shared" si="31"/>
        <v>Keji's 5 Star Short let Apartment in Lekki</v>
      </c>
      <c r="T687">
        <f>Table1[[#This Row],[Adults]]+Table1[[#This Row],[Children]]</f>
        <v>5</v>
      </c>
      <c r="U687">
        <f>_xlfn.DAYS(Table1[[#This Row],[Depart]],Table1[[#This Row],[Arrive]])</f>
        <v>2</v>
      </c>
    </row>
    <row r="688" spans="1:21" x14ac:dyDescent="0.25">
      <c r="A688" t="s">
        <v>907</v>
      </c>
      <c r="B688" t="s">
        <v>908</v>
      </c>
      <c r="C688" t="s">
        <v>1178</v>
      </c>
      <c r="D688" s="1">
        <v>44120</v>
      </c>
      <c r="E688" s="1">
        <v>44122</v>
      </c>
      <c r="F688">
        <f t="shared" si="32"/>
        <v>2</v>
      </c>
      <c r="G688" s="1">
        <v>44108</v>
      </c>
      <c r="H688" s="2">
        <v>0.58333333333333337</v>
      </c>
      <c r="I688" s="2">
        <v>0.45833333333333331</v>
      </c>
      <c r="J688" t="s">
        <v>1883</v>
      </c>
      <c r="K688" t="s">
        <v>1883</v>
      </c>
      <c r="L688" t="s">
        <v>26</v>
      </c>
      <c r="M688" s="12" t="s">
        <v>18</v>
      </c>
      <c r="N688">
        <v>6</v>
      </c>
      <c r="O688">
        <v>0</v>
      </c>
      <c r="P688" t="s">
        <v>19</v>
      </c>
      <c r="Q688" s="6">
        <v>235</v>
      </c>
      <c r="R688" t="str">
        <f t="shared" si="30"/>
        <v>Ope's 5 Star Short Let Apartment in Lekki_x000C_</v>
      </c>
      <c r="S688" t="str">
        <f t="shared" si="31"/>
        <v>Ope's 5 Star Short Let Apartment in Lekki</v>
      </c>
      <c r="T688">
        <f>Table1[[#This Row],[Adults]]+Table1[[#This Row],[Children]]</f>
        <v>6</v>
      </c>
      <c r="U688">
        <f>_xlfn.DAYS(Table1[[#This Row],[Depart]],Table1[[#This Row],[Arrive]])</f>
        <v>2</v>
      </c>
    </row>
    <row r="689" spans="1:21" x14ac:dyDescent="0.25">
      <c r="A689" t="s">
        <v>891</v>
      </c>
      <c r="B689" t="s">
        <v>892</v>
      </c>
      <c r="C689" t="s">
        <v>1176</v>
      </c>
      <c r="D689" s="1">
        <v>44120</v>
      </c>
      <c r="E689" s="1">
        <v>44130</v>
      </c>
      <c r="F689">
        <f t="shared" si="32"/>
        <v>10</v>
      </c>
      <c r="G689" s="1">
        <v>44118</v>
      </c>
      <c r="H689" s="2">
        <v>0.58333333333333337</v>
      </c>
      <c r="I689" s="2">
        <v>0.45833333333333331</v>
      </c>
      <c r="J689" t="s">
        <v>1909</v>
      </c>
      <c r="K689" t="s">
        <v>1909</v>
      </c>
      <c r="L689" t="s">
        <v>22</v>
      </c>
      <c r="M689" s="12" t="s">
        <v>23</v>
      </c>
      <c r="N689">
        <v>4</v>
      </c>
      <c r="O689">
        <v>0</v>
      </c>
      <c r="P689" t="s">
        <v>19</v>
      </c>
      <c r="Q689" s="6">
        <v>2139.25</v>
      </c>
      <c r="R689" t="str">
        <f t="shared" si="30"/>
        <v>Tiara's Luxury Home Away From Home_x000C_</v>
      </c>
      <c r="S689" t="str">
        <f t="shared" si="31"/>
        <v>Tiara's Luxury Home Away From Home</v>
      </c>
      <c r="T689">
        <f>Table1[[#This Row],[Adults]]+Table1[[#This Row],[Children]]</f>
        <v>4</v>
      </c>
      <c r="U689">
        <f>_xlfn.DAYS(Table1[[#This Row],[Depart]],Table1[[#This Row],[Arrive]])</f>
        <v>10</v>
      </c>
    </row>
    <row r="690" spans="1:21" x14ac:dyDescent="0.25">
      <c r="A690" t="s">
        <v>340</v>
      </c>
      <c r="B690" t="s">
        <v>341</v>
      </c>
      <c r="C690" t="s">
        <v>1175</v>
      </c>
      <c r="D690" s="1">
        <v>44121</v>
      </c>
      <c r="E690" s="1">
        <v>44125</v>
      </c>
      <c r="F690">
        <f t="shared" si="32"/>
        <v>4</v>
      </c>
      <c r="G690" s="1">
        <v>43996</v>
      </c>
      <c r="H690" s="2">
        <v>0.33333333333333331</v>
      </c>
      <c r="I690" s="3">
        <v>1</v>
      </c>
      <c r="J690" t="s">
        <v>1426</v>
      </c>
      <c r="K690" t="s">
        <v>1426</v>
      </c>
      <c r="L690" t="s">
        <v>26</v>
      </c>
      <c r="M690" s="12" t="s">
        <v>18</v>
      </c>
      <c r="N690">
        <v>3</v>
      </c>
      <c r="O690">
        <v>0</v>
      </c>
      <c r="P690" t="s">
        <v>19</v>
      </c>
      <c r="Q690" s="6">
        <v>425</v>
      </c>
      <c r="R690" t="str">
        <f t="shared" si="30"/>
        <v>Keji's 5 Star Short let Apartment in Lekki_x000C_</v>
      </c>
      <c r="S690" t="str">
        <f t="shared" si="31"/>
        <v>Keji's 5 Star Short let Apartment in Lekki</v>
      </c>
      <c r="T690">
        <f>Table1[[#This Row],[Adults]]+Table1[[#This Row],[Children]]</f>
        <v>3</v>
      </c>
      <c r="U690">
        <f>_xlfn.DAYS(Table1[[#This Row],[Depart]],Table1[[#This Row],[Arrive]])</f>
        <v>4</v>
      </c>
    </row>
    <row r="691" spans="1:21" x14ac:dyDescent="0.25">
      <c r="A691" t="s">
        <v>695</v>
      </c>
      <c r="B691" t="s">
        <v>696</v>
      </c>
      <c r="C691" t="s">
        <v>1179</v>
      </c>
      <c r="D691" s="1">
        <v>44122</v>
      </c>
      <c r="E691" s="1">
        <v>44124</v>
      </c>
      <c r="F691">
        <f t="shared" si="32"/>
        <v>2</v>
      </c>
      <c r="G691" s="1">
        <v>44074</v>
      </c>
      <c r="H691" s="2">
        <v>0.33333333333333331</v>
      </c>
      <c r="I691" s="3">
        <v>1</v>
      </c>
      <c r="J691" t="s">
        <v>1702</v>
      </c>
      <c r="K691" t="s">
        <v>1702</v>
      </c>
      <c r="L691" t="s">
        <v>22</v>
      </c>
      <c r="M691" s="12" t="s">
        <v>18</v>
      </c>
      <c r="N691">
        <v>6</v>
      </c>
      <c r="O691">
        <v>0</v>
      </c>
      <c r="P691" t="s">
        <v>19</v>
      </c>
      <c r="Q691" s="6">
        <v>236.5</v>
      </c>
      <c r="R691" t="str">
        <f t="shared" si="30"/>
        <v>Phiola's 5 Star Short Let Apartment in Lekki_x000C_</v>
      </c>
      <c r="S691" t="str">
        <f t="shared" si="31"/>
        <v>Phiola's 5 Star Short Let Apartment in Lekki</v>
      </c>
      <c r="T691">
        <f>Table1[[#This Row],[Adults]]+Table1[[#This Row],[Children]]</f>
        <v>6</v>
      </c>
      <c r="U691">
        <f>_xlfn.DAYS(Table1[[#This Row],[Depart]],Table1[[#This Row],[Arrive]])</f>
        <v>2</v>
      </c>
    </row>
    <row r="692" spans="1:21" x14ac:dyDescent="0.25">
      <c r="A692" t="s">
        <v>873</v>
      </c>
      <c r="B692" t="s">
        <v>874</v>
      </c>
      <c r="C692" t="s">
        <v>1178</v>
      </c>
      <c r="D692" s="1">
        <v>44122</v>
      </c>
      <c r="E692" s="1">
        <v>44127</v>
      </c>
      <c r="F692">
        <f t="shared" si="32"/>
        <v>5</v>
      </c>
      <c r="G692" s="1">
        <v>44114</v>
      </c>
      <c r="H692" s="2">
        <v>0.58333333333333337</v>
      </c>
      <c r="I692" s="2">
        <v>0.45833333333333331</v>
      </c>
      <c r="J692" t="s">
        <v>1856</v>
      </c>
      <c r="K692" t="s">
        <v>1856</v>
      </c>
      <c r="L692" t="s">
        <v>26</v>
      </c>
      <c r="M692" s="12" t="s">
        <v>18</v>
      </c>
      <c r="N692">
        <v>3</v>
      </c>
      <c r="O692">
        <v>0</v>
      </c>
      <c r="P692" t="s">
        <v>19</v>
      </c>
      <c r="Q692" s="6">
        <v>588</v>
      </c>
      <c r="R692" t="str">
        <f t="shared" si="30"/>
        <v>Ope's 5 Star Short Let Apartment in Lekki_x000C_</v>
      </c>
      <c r="S692" t="str">
        <f t="shared" si="31"/>
        <v>Ope's 5 Star Short Let Apartment in Lekki</v>
      </c>
      <c r="T692">
        <f>Table1[[#This Row],[Adults]]+Table1[[#This Row],[Children]]</f>
        <v>3</v>
      </c>
      <c r="U692">
        <f>_xlfn.DAYS(Table1[[#This Row],[Depart]],Table1[[#This Row],[Arrive]])</f>
        <v>5</v>
      </c>
    </row>
    <row r="693" spans="1:21" x14ac:dyDescent="0.25">
      <c r="A693" t="s">
        <v>901</v>
      </c>
      <c r="B693" t="s">
        <v>902</v>
      </c>
      <c r="C693" t="s">
        <v>1178</v>
      </c>
      <c r="D693" s="1">
        <v>44122</v>
      </c>
      <c r="E693" s="1">
        <v>44123</v>
      </c>
      <c r="F693">
        <f t="shared" si="32"/>
        <v>1</v>
      </c>
      <c r="G693" s="1">
        <v>44119</v>
      </c>
      <c r="H693" s="2">
        <v>0.58333333333333337</v>
      </c>
      <c r="I693" s="2">
        <v>0.45833333333333331</v>
      </c>
      <c r="J693" t="s">
        <v>1878</v>
      </c>
      <c r="K693" t="s">
        <v>1878</v>
      </c>
      <c r="L693" t="s">
        <v>22</v>
      </c>
      <c r="M693" s="12" t="s">
        <v>23</v>
      </c>
      <c r="N693">
        <v>2</v>
      </c>
      <c r="O693">
        <v>0</v>
      </c>
      <c r="P693" t="s">
        <v>19</v>
      </c>
      <c r="Q693" s="6">
        <v>129</v>
      </c>
      <c r="R693" t="str">
        <f t="shared" si="30"/>
        <v>Ope's 5 Star Short Let Apartment in Lekki_x000C_</v>
      </c>
      <c r="S693" t="str">
        <f t="shared" si="31"/>
        <v>Ope's 5 Star Short Let Apartment in Lekki</v>
      </c>
      <c r="T693">
        <f>Table1[[#This Row],[Adults]]+Table1[[#This Row],[Children]]</f>
        <v>2</v>
      </c>
      <c r="U693">
        <f>_xlfn.DAYS(Table1[[#This Row],[Depart]],Table1[[#This Row],[Arrive]])</f>
        <v>1</v>
      </c>
    </row>
    <row r="694" spans="1:21" x14ac:dyDescent="0.25">
      <c r="A694" t="s">
        <v>913</v>
      </c>
      <c r="B694" t="s">
        <v>914</v>
      </c>
      <c r="C694" t="s">
        <v>1173</v>
      </c>
      <c r="D694" s="1">
        <v>44123</v>
      </c>
      <c r="E694" s="1">
        <v>44124</v>
      </c>
      <c r="F694">
        <f t="shared" si="32"/>
        <v>1</v>
      </c>
      <c r="G694" s="1">
        <v>44120</v>
      </c>
      <c r="H694" s="2">
        <v>0.33333333333333331</v>
      </c>
      <c r="I694" s="3">
        <v>1</v>
      </c>
      <c r="J694" t="s">
        <v>1887</v>
      </c>
      <c r="K694" t="s">
        <v>1887</v>
      </c>
      <c r="L694" t="s">
        <v>22</v>
      </c>
      <c r="M694" s="12" t="s">
        <v>18</v>
      </c>
      <c r="N694">
        <v>5</v>
      </c>
      <c r="O694">
        <v>0</v>
      </c>
      <c r="P694" t="s">
        <v>19</v>
      </c>
      <c r="Q694" s="6">
        <v>129</v>
      </c>
      <c r="R694" t="str">
        <f t="shared" si="30"/>
        <v xml:space="preserve"> The Daniels 5 Star Short Let Apartment in Lekki_x000C_</v>
      </c>
      <c r="S694" t="str">
        <f t="shared" si="31"/>
        <v xml:space="preserve"> The Daniels 5 Star Short Let Apartment in Lekki</v>
      </c>
      <c r="T694">
        <f>Table1[[#This Row],[Adults]]+Table1[[#This Row],[Children]]</f>
        <v>5</v>
      </c>
      <c r="U694">
        <f>_xlfn.DAYS(Table1[[#This Row],[Depart]],Table1[[#This Row],[Arrive]])</f>
        <v>1</v>
      </c>
    </row>
    <row r="695" spans="1:21" x14ac:dyDescent="0.25">
      <c r="A695" t="s">
        <v>919</v>
      </c>
      <c r="B695" t="s">
        <v>920</v>
      </c>
      <c r="C695" t="s">
        <v>1173</v>
      </c>
      <c r="D695" s="1">
        <v>44123</v>
      </c>
      <c r="E695" s="1">
        <v>44124</v>
      </c>
      <c r="F695">
        <f t="shared" si="32"/>
        <v>1</v>
      </c>
      <c r="G695" s="1">
        <v>44122</v>
      </c>
      <c r="H695" s="2">
        <v>0.33333333333333331</v>
      </c>
      <c r="I695" s="3">
        <v>1</v>
      </c>
      <c r="J695" t="s">
        <v>1892</v>
      </c>
      <c r="K695" t="s">
        <v>1892</v>
      </c>
      <c r="L695" t="s">
        <v>22</v>
      </c>
      <c r="M695" s="12" t="s">
        <v>23</v>
      </c>
      <c r="N695">
        <v>2</v>
      </c>
      <c r="O695">
        <v>0</v>
      </c>
      <c r="P695" t="s">
        <v>19</v>
      </c>
      <c r="Q695" s="6">
        <v>129</v>
      </c>
      <c r="R695" t="str">
        <f t="shared" si="30"/>
        <v xml:space="preserve"> The Daniels 5 Star Short Let Apartment in Lekki_x000C_</v>
      </c>
      <c r="S695" t="str">
        <f t="shared" si="31"/>
        <v xml:space="preserve"> The Daniels 5 Star Short Let Apartment in Lekki</v>
      </c>
      <c r="T695">
        <f>Table1[[#This Row],[Adults]]+Table1[[#This Row],[Children]]</f>
        <v>2</v>
      </c>
      <c r="U695">
        <f>_xlfn.DAYS(Table1[[#This Row],[Depart]],Table1[[#This Row],[Arrive]])</f>
        <v>1</v>
      </c>
    </row>
    <row r="696" spans="1:21" x14ac:dyDescent="0.25">
      <c r="A696" t="s">
        <v>919</v>
      </c>
      <c r="B696" t="s">
        <v>920</v>
      </c>
      <c r="C696" t="s">
        <v>1179</v>
      </c>
      <c r="D696" s="1">
        <v>44123</v>
      </c>
      <c r="E696" s="1">
        <v>44124</v>
      </c>
      <c r="F696">
        <f t="shared" si="32"/>
        <v>1</v>
      </c>
      <c r="G696" s="1">
        <v>44122</v>
      </c>
      <c r="H696" s="2">
        <v>0.33333333333333331</v>
      </c>
      <c r="I696" s="3">
        <v>1</v>
      </c>
      <c r="J696" t="s">
        <v>1893</v>
      </c>
      <c r="K696" t="s">
        <v>1893</v>
      </c>
      <c r="L696" t="s">
        <v>22</v>
      </c>
      <c r="M696" s="12" t="s">
        <v>18</v>
      </c>
      <c r="N696">
        <v>2</v>
      </c>
      <c r="O696">
        <v>0</v>
      </c>
      <c r="P696" t="s">
        <v>19</v>
      </c>
      <c r="Q696" s="6">
        <v>129</v>
      </c>
      <c r="R696" t="str">
        <f t="shared" si="30"/>
        <v>Phiola's 5 Star Short Let Apartment in Lekki_x000C_</v>
      </c>
      <c r="S696" t="str">
        <f t="shared" si="31"/>
        <v>Phiola's 5 Star Short Let Apartment in Lekki</v>
      </c>
      <c r="T696">
        <f>Table1[[#This Row],[Adults]]+Table1[[#This Row],[Children]]</f>
        <v>2</v>
      </c>
      <c r="U696">
        <f>_xlfn.DAYS(Table1[[#This Row],[Depart]],Table1[[#This Row],[Arrive]])</f>
        <v>1</v>
      </c>
    </row>
    <row r="697" spans="1:21" x14ac:dyDescent="0.25">
      <c r="A697" t="s">
        <v>921</v>
      </c>
      <c r="B697" t="s">
        <v>922</v>
      </c>
      <c r="C697" t="s">
        <v>1179</v>
      </c>
      <c r="D697" s="1">
        <v>44123</v>
      </c>
      <c r="E697" s="1">
        <v>44124</v>
      </c>
      <c r="F697">
        <f t="shared" si="32"/>
        <v>1</v>
      </c>
      <c r="G697" s="1">
        <v>44123</v>
      </c>
      <c r="H697" s="2">
        <v>0.33333333333333331</v>
      </c>
      <c r="I697" s="3">
        <v>1</v>
      </c>
      <c r="J697" t="s">
        <v>1894</v>
      </c>
      <c r="K697" t="s">
        <v>1894</v>
      </c>
      <c r="L697" t="s">
        <v>22</v>
      </c>
      <c r="M697" s="12" t="s">
        <v>23</v>
      </c>
      <c r="N697">
        <v>5</v>
      </c>
      <c r="O697">
        <v>0</v>
      </c>
      <c r="P697" t="s">
        <v>19</v>
      </c>
      <c r="Q697" s="6">
        <v>129</v>
      </c>
      <c r="R697" t="str">
        <f t="shared" si="30"/>
        <v>Phiola's 5 Star Short Let Apartment in Lekki_x000C_</v>
      </c>
      <c r="S697" t="str">
        <f t="shared" si="31"/>
        <v>Phiola's 5 Star Short Let Apartment in Lekki</v>
      </c>
      <c r="T697">
        <f>Table1[[#This Row],[Adults]]+Table1[[#This Row],[Children]]</f>
        <v>5</v>
      </c>
      <c r="U697">
        <f>_xlfn.DAYS(Table1[[#This Row],[Depart]],Table1[[#This Row],[Arrive]])</f>
        <v>1</v>
      </c>
    </row>
    <row r="698" spans="1:21" x14ac:dyDescent="0.25">
      <c r="A698" t="s">
        <v>937</v>
      </c>
      <c r="B698" t="s">
        <v>938</v>
      </c>
      <c r="C698" t="s">
        <v>1178</v>
      </c>
      <c r="D698" s="1">
        <v>44123</v>
      </c>
      <c r="E698" s="1">
        <v>44126</v>
      </c>
      <c r="F698">
        <f t="shared" si="32"/>
        <v>3</v>
      </c>
      <c r="G698" s="1">
        <v>44117</v>
      </c>
      <c r="H698" s="2">
        <v>0.58333333333333337</v>
      </c>
      <c r="I698" s="2">
        <v>0.45833333333333331</v>
      </c>
      <c r="J698" t="s">
        <v>1904</v>
      </c>
      <c r="K698" t="s">
        <v>1904</v>
      </c>
      <c r="L698" t="s">
        <v>22</v>
      </c>
      <c r="M698" s="12" t="s">
        <v>23</v>
      </c>
      <c r="N698">
        <v>4</v>
      </c>
      <c r="O698">
        <v>0</v>
      </c>
      <c r="P698" t="s">
        <v>19</v>
      </c>
      <c r="Q698" s="6">
        <v>387</v>
      </c>
      <c r="R698" t="str">
        <f t="shared" si="30"/>
        <v>Ope's 5 Star Short Let Apartment in Lekki_x000C_</v>
      </c>
      <c r="S698" t="str">
        <f t="shared" si="31"/>
        <v>Ope's 5 Star Short Let Apartment in Lekki</v>
      </c>
      <c r="T698">
        <f>Table1[[#This Row],[Adults]]+Table1[[#This Row],[Children]]</f>
        <v>4</v>
      </c>
      <c r="U698">
        <f>_xlfn.DAYS(Table1[[#This Row],[Depart]],Table1[[#This Row],[Arrive]])</f>
        <v>3</v>
      </c>
    </row>
    <row r="699" spans="1:21" x14ac:dyDescent="0.25">
      <c r="A699" t="s">
        <v>134</v>
      </c>
      <c r="B699" t="s">
        <v>135</v>
      </c>
      <c r="C699" t="s">
        <v>1179</v>
      </c>
      <c r="D699" s="1">
        <v>44124</v>
      </c>
      <c r="E699" s="1">
        <v>44128</v>
      </c>
      <c r="F699">
        <f t="shared" si="32"/>
        <v>4</v>
      </c>
      <c r="G699" s="1">
        <v>44082</v>
      </c>
      <c r="H699" s="2">
        <v>0.33333333333333331</v>
      </c>
      <c r="I699" s="3">
        <v>1</v>
      </c>
      <c r="J699" t="s">
        <v>1756</v>
      </c>
      <c r="K699" t="s">
        <v>1756</v>
      </c>
      <c r="L699" t="s">
        <v>22</v>
      </c>
      <c r="M699" s="12" t="s">
        <v>18</v>
      </c>
      <c r="N699">
        <v>5</v>
      </c>
      <c r="O699">
        <v>0</v>
      </c>
      <c r="P699" t="s">
        <v>19</v>
      </c>
      <c r="Q699" s="6">
        <v>473</v>
      </c>
      <c r="R699" t="str">
        <f t="shared" si="30"/>
        <v>Phiola's 5 Star Short Let Apartment in Lekki_x000C_</v>
      </c>
      <c r="S699" t="str">
        <f t="shared" si="31"/>
        <v>Phiola's 5 Star Short Let Apartment in Lekki</v>
      </c>
      <c r="T699">
        <f>Table1[[#This Row],[Adults]]+Table1[[#This Row],[Children]]</f>
        <v>5</v>
      </c>
      <c r="U699">
        <f>_xlfn.DAYS(Table1[[#This Row],[Depart]],Table1[[#This Row],[Arrive]])</f>
        <v>4</v>
      </c>
    </row>
    <row r="700" spans="1:21" x14ac:dyDescent="0.25">
      <c r="A700" t="s">
        <v>144</v>
      </c>
      <c r="B700" t="s">
        <v>145</v>
      </c>
      <c r="C700" t="s">
        <v>1178</v>
      </c>
      <c r="D700" s="1">
        <v>44124</v>
      </c>
      <c r="E700" s="1">
        <v>44127</v>
      </c>
      <c r="F700">
        <f t="shared" si="32"/>
        <v>3</v>
      </c>
      <c r="G700" s="1">
        <v>44086</v>
      </c>
      <c r="H700" s="2">
        <v>0.58333333333333337</v>
      </c>
      <c r="I700" s="2">
        <v>0.45833333333333331</v>
      </c>
      <c r="J700" t="s">
        <v>1818</v>
      </c>
      <c r="K700" t="s">
        <v>1818</v>
      </c>
      <c r="L700" t="s">
        <v>22</v>
      </c>
      <c r="M700" s="12" t="s">
        <v>18</v>
      </c>
      <c r="N700">
        <v>5</v>
      </c>
      <c r="O700">
        <v>0</v>
      </c>
      <c r="P700" t="s">
        <v>19</v>
      </c>
      <c r="Q700" s="6">
        <v>354.75</v>
      </c>
      <c r="R700" t="str">
        <f t="shared" si="30"/>
        <v>Ope's 5 Star Short Let Apartment in Lekki_x000C_</v>
      </c>
      <c r="S700" t="str">
        <f t="shared" si="31"/>
        <v>Ope's 5 Star Short Let Apartment in Lekki</v>
      </c>
      <c r="T700">
        <f>Table1[[#This Row],[Adults]]+Table1[[#This Row],[Children]]</f>
        <v>5</v>
      </c>
      <c r="U700">
        <f>_xlfn.DAYS(Table1[[#This Row],[Depart]],Table1[[#This Row],[Arrive]])</f>
        <v>3</v>
      </c>
    </row>
    <row r="701" spans="1:21" x14ac:dyDescent="0.25">
      <c r="A701" t="s">
        <v>881</v>
      </c>
      <c r="B701" t="s">
        <v>882</v>
      </c>
      <c r="C701" t="s">
        <v>1175</v>
      </c>
      <c r="D701" s="1">
        <v>44124</v>
      </c>
      <c r="E701" s="1">
        <v>44125</v>
      </c>
      <c r="F701">
        <f t="shared" si="32"/>
        <v>1</v>
      </c>
      <c r="G701" s="1">
        <v>44116</v>
      </c>
      <c r="H701" s="2">
        <v>0.5</v>
      </c>
      <c r="I701" s="2">
        <v>0.58333333333333337</v>
      </c>
      <c r="J701" t="s">
        <v>1861</v>
      </c>
      <c r="K701" t="s">
        <v>1861</v>
      </c>
      <c r="L701" t="s">
        <v>22</v>
      </c>
      <c r="M701" s="12" t="s">
        <v>18</v>
      </c>
      <c r="N701">
        <v>1</v>
      </c>
      <c r="O701">
        <v>0</v>
      </c>
      <c r="P701" t="s">
        <v>19</v>
      </c>
      <c r="Q701" s="6">
        <v>130000</v>
      </c>
      <c r="R701" t="str">
        <f t="shared" si="30"/>
        <v>Keji's 5 Star Short let Apartment in Lekki_x000C_</v>
      </c>
      <c r="S701" t="str">
        <f t="shared" si="31"/>
        <v>Keji's 5 Star Short let Apartment in Lekki</v>
      </c>
      <c r="T701">
        <f>Table1[[#This Row],[Adults]]+Table1[[#This Row],[Children]]</f>
        <v>1</v>
      </c>
      <c r="U701">
        <f>_xlfn.DAYS(Table1[[#This Row],[Depart]],Table1[[#This Row],[Arrive]])</f>
        <v>1</v>
      </c>
    </row>
    <row r="702" spans="1:21" x14ac:dyDescent="0.25">
      <c r="A702" t="s">
        <v>583</v>
      </c>
      <c r="B702" t="s">
        <v>584</v>
      </c>
      <c r="C702" t="s">
        <v>1177</v>
      </c>
      <c r="D702" s="1">
        <v>44124</v>
      </c>
      <c r="E702" s="1">
        <v>44125</v>
      </c>
      <c r="F702">
        <f t="shared" si="32"/>
        <v>1</v>
      </c>
      <c r="G702" s="1">
        <v>44117</v>
      </c>
      <c r="H702" s="2">
        <v>0.58333333333333337</v>
      </c>
      <c r="I702" s="2">
        <v>0.5</v>
      </c>
      <c r="J702" t="s">
        <v>1874</v>
      </c>
      <c r="K702" t="s">
        <v>1874</v>
      </c>
      <c r="L702" t="s">
        <v>22</v>
      </c>
      <c r="M702" s="12" t="s">
        <v>18</v>
      </c>
      <c r="N702">
        <v>3</v>
      </c>
      <c r="O702">
        <v>0</v>
      </c>
      <c r="P702" t="s">
        <v>19</v>
      </c>
      <c r="Q702" s="6">
        <v>188.13</v>
      </c>
      <c r="R702" t="str">
        <f t="shared" si="30"/>
        <v>Achikare 's Luxury Home Away from Home_x000C_</v>
      </c>
      <c r="S702" t="str">
        <f t="shared" si="31"/>
        <v>Achikare 's Luxury Home Away from Home</v>
      </c>
      <c r="T702">
        <f>Table1[[#This Row],[Adults]]+Table1[[#This Row],[Children]]</f>
        <v>3</v>
      </c>
      <c r="U702">
        <f>_xlfn.DAYS(Table1[[#This Row],[Depart]],Table1[[#This Row],[Arrive]])</f>
        <v>1</v>
      </c>
    </row>
    <row r="703" spans="1:21" x14ac:dyDescent="0.25">
      <c r="A703" t="s">
        <v>943</v>
      </c>
      <c r="B703" t="s">
        <v>944</v>
      </c>
      <c r="C703" t="s">
        <v>1173</v>
      </c>
      <c r="D703" s="1">
        <v>44124</v>
      </c>
      <c r="E703" s="1">
        <v>44127</v>
      </c>
      <c r="F703">
        <f t="shared" si="32"/>
        <v>3</v>
      </c>
      <c r="G703" s="1">
        <v>44074</v>
      </c>
      <c r="H703" s="2">
        <v>0.33333333333333331</v>
      </c>
      <c r="I703" s="3">
        <v>1</v>
      </c>
      <c r="J703" t="s">
        <v>1910</v>
      </c>
      <c r="K703" t="s">
        <v>1910</v>
      </c>
      <c r="L703" t="s">
        <v>22</v>
      </c>
      <c r="M703" s="12" t="s">
        <v>23</v>
      </c>
      <c r="N703">
        <v>6</v>
      </c>
      <c r="O703">
        <v>0</v>
      </c>
      <c r="P703" t="s">
        <v>19</v>
      </c>
      <c r="Q703" s="6">
        <v>387</v>
      </c>
      <c r="R703" t="str">
        <f t="shared" si="30"/>
        <v xml:space="preserve"> The Daniels 5 Star Short Let Apartment in Lekki_x000C_</v>
      </c>
      <c r="S703" t="str">
        <f t="shared" si="31"/>
        <v xml:space="preserve"> The Daniels 5 Star Short Let Apartment in Lekki</v>
      </c>
      <c r="T703">
        <f>Table1[[#This Row],[Adults]]+Table1[[#This Row],[Children]]</f>
        <v>6</v>
      </c>
      <c r="U703">
        <f>_xlfn.DAYS(Table1[[#This Row],[Depart]],Table1[[#This Row],[Arrive]])</f>
        <v>3</v>
      </c>
    </row>
    <row r="704" spans="1:21" x14ac:dyDescent="0.25">
      <c r="A704" t="s">
        <v>895</v>
      </c>
      <c r="B704" t="s">
        <v>896</v>
      </c>
      <c r="C704" t="s">
        <v>1175</v>
      </c>
      <c r="D704" s="1">
        <v>44125</v>
      </c>
      <c r="E704" s="1">
        <v>44126</v>
      </c>
      <c r="F704">
        <f t="shared" si="32"/>
        <v>1</v>
      </c>
      <c r="G704" s="1">
        <v>44120</v>
      </c>
      <c r="H704" s="2">
        <v>0.5</v>
      </c>
      <c r="I704" s="2">
        <v>0.58333333333333337</v>
      </c>
      <c r="J704" t="s">
        <v>1882</v>
      </c>
      <c r="K704" t="s">
        <v>1882</v>
      </c>
      <c r="L704" t="s">
        <v>22</v>
      </c>
      <c r="M704" s="12" t="s">
        <v>18</v>
      </c>
      <c r="N704">
        <v>1</v>
      </c>
      <c r="O704">
        <v>0</v>
      </c>
      <c r="P704" t="s">
        <v>19</v>
      </c>
      <c r="Q704" s="6">
        <v>130000</v>
      </c>
      <c r="R704" t="str">
        <f t="shared" si="30"/>
        <v>Keji's 5 Star Short let Apartment in Lekki_x000C_</v>
      </c>
      <c r="S704" t="str">
        <f t="shared" si="31"/>
        <v>Keji's 5 Star Short let Apartment in Lekki</v>
      </c>
      <c r="T704">
        <f>Table1[[#This Row],[Adults]]+Table1[[#This Row],[Children]]</f>
        <v>1</v>
      </c>
      <c r="U704">
        <f>_xlfn.DAYS(Table1[[#This Row],[Depart]],Table1[[#This Row],[Arrive]])</f>
        <v>1</v>
      </c>
    </row>
    <row r="705" spans="1:21" x14ac:dyDescent="0.25">
      <c r="A705" t="s">
        <v>909</v>
      </c>
      <c r="B705" t="s">
        <v>910</v>
      </c>
      <c r="C705" t="s">
        <v>1175</v>
      </c>
      <c r="D705" s="1">
        <v>44125</v>
      </c>
      <c r="E705" s="1">
        <v>44126</v>
      </c>
      <c r="F705">
        <f t="shared" si="32"/>
        <v>1</v>
      </c>
      <c r="G705" s="1">
        <v>44120</v>
      </c>
      <c r="H705" s="2">
        <v>0.5</v>
      </c>
      <c r="I705" s="2">
        <v>0.58333333333333337</v>
      </c>
      <c r="J705" t="s">
        <v>1884</v>
      </c>
      <c r="K705" t="s">
        <v>1884</v>
      </c>
      <c r="L705" t="s">
        <v>22</v>
      </c>
      <c r="M705" s="12" t="s">
        <v>18</v>
      </c>
      <c r="N705">
        <v>1</v>
      </c>
      <c r="O705">
        <v>0</v>
      </c>
      <c r="P705" t="s">
        <v>19</v>
      </c>
      <c r="Q705" s="6">
        <v>130000</v>
      </c>
      <c r="R705" t="str">
        <f t="shared" si="30"/>
        <v>Keji's 5 Star Short let Apartment in Lekki_x000C_</v>
      </c>
      <c r="S705" t="str">
        <f t="shared" si="31"/>
        <v>Keji's 5 Star Short let Apartment in Lekki</v>
      </c>
      <c r="T705">
        <f>Table1[[#This Row],[Adults]]+Table1[[#This Row],[Children]]</f>
        <v>1</v>
      </c>
      <c r="U705">
        <f>_xlfn.DAYS(Table1[[#This Row],[Depart]],Table1[[#This Row],[Arrive]])</f>
        <v>1</v>
      </c>
    </row>
    <row r="706" spans="1:21" x14ac:dyDescent="0.25">
      <c r="A706" t="s">
        <v>929</v>
      </c>
      <c r="B706" t="s">
        <v>930</v>
      </c>
      <c r="C706" t="s">
        <v>1178</v>
      </c>
      <c r="D706" s="1">
        <v>44125</v>
      </c>
      <c r="E706" s="1">
        <v>44127</v>
      </c>
      <c r="F706">
        <f t="shared" si="32"/>
        <v>2</v>
      </c>
      <c r="G706" s="1">
        <v>44125</v>
      </c>
      <c r="H706" s="2">
        <v>0.58333333333333337</v>
      </c>
      <c r="I706" s="2">
        <v>0.45833333333333331</v>
      </c>
      <c r="J706" t="s">
        <v>1898</v>
      </c>
      <c r="K706" t="s">
        <v>1898</v>
      </c>
      <c r="L706" t="s">
        <v>26</v>
      </c>
      <c r="M706" s="12" t="s">
        <v>18</v>
      </c>
      <c r="N706">
        <v>5</v>
      </c>
      <c r="O706">
        <v>0</v>
      </c>
      <c r="P706" t="s">
        <v>19</v>
      </c>
      <c r="Q706" s="6">
        <v>231</v>
      </c>
      <c r="R706" t="str">
        <f t="shared" ref="R706:R769" si="33">SUBSTITUTE(C:C,"?","'")</f>
        <v>Ope's 5 Star Short Let Apartment in Lekki_x000C_</v>
      </c>
      <c r="S706" t="str">
        <f t="shared" ref="S706:S769" si="34">CLEAN(R:R)</f>
        <v>Ope's 5 Star Short Let Apartment in Lekki</v>
      </c>
      <c r="T706">
        <f>Table1[[#This Row],[Adults]]+Table1[[#This Row],[Children]]</f>
        <v>5</v>
      </c>
      <c r="U706">
        <f>_xlfn.DAYS(Table1[[#This Row],[Depart]],Table1[[#This Row],[Arrive]])</f>
        <v>2</v>
      </c>
    </row>
    <row r="707" spans="1:21" x14ac:dyDescent="0.25">
      <c r="A707" t="s">
        <v>472</v>
      </c>
      <c r="B707" t="s">
        <v>473</v>
      </c>
      <c r="C707" t="s">
        <v>1176</v>
      </c>
      <c r="D707" s="1">
        <v>44125</v>
      </c>
      <c r="E707" s="1">
        <v>44126</v>
      </c>
      <c r="F707">
        <f t="shared" ref="F707:F770" si="35">_xlfn.DAYS(E707,D707)</f>
        <v>1</v>
      </c>
      <c r="G707" s="1">
        <v>44121</v>
      </c>
      <c r="H707" s="2">
        <v>0.58333333333333337</v>
      </c>
      <c r="I707" s="2">
        <v>0.45833333333333331</v>
      </c>
      <c r="J707" t="s">
        <v>1901</v>
      </c>
      <c r="K707" t="s">
        <v>1901</v>
      </c>
      <c r="L707" t="s">
        <v>22</v>
      </c>
      <c r="M707" s="12" t="s">
        <v>18</v>
      </c>
      <c r="N707">
        <v>4</v>
      </c>
      <c r="O707">
        <v>0</v>
      </c>
      <c r="P707" t="s">
        <v>19</v>
      </c>
      <c r="Q707" s="6">
        <v>188.13</v>
      </c>
      <c r="R707" t="str">
        <f t="shared" si="33"/>
        <v>Tiara's Luxury Home Away From Home_x000C_</v>
      </c>
      <c r="S707" t="str">
        <f t="shared" si="34"/>
        <v>Tiara's Luxury Home Away From Home</v>
      </c>
      <c r="T707">
        <f>Table1[[#This Row],[Adults]]+Table1[[#This Row],[Children]]</f>
        <v>4</v>
      </c>
      <c r="U707">
        <f>_xlfn.DAYS(Table1[[#This Row],[Depart]],Table1[[#This Row],[Arrive]])</f>
        <v>1</v>
      </c>
    </row>
    <row r="708" spans="1:21" x14ac:dyDescent="0.25">
      <c r="A708" t="s">
        <v>839</v>
      </c>
      <c r="B708" t="s">
        <v>840</v>
      </c>
      <c r="C708" t="s">
        <v>1177</v>
      </c>
      <c r="D708" s="1">
        <v>44126</v>
      </c>
      <c r="E708" s="1">
        <v>44132</v>
      </c>
      <c r="F708">
        <f t="shared" si="35"/>
        <v>6</v>
      </c>
      <c r="G708" s="1">
        <v>44106</v>
      </c>
      <c r="H708" s="2">
        <v>0.58333333333333337</v>
      </c>
      <c r="I708" s="2">
        <v>0.5</v>
      </c>
      <c r="J708" t="s">
        <v>1827</v>
      </c>
      <c r="K708" t="s">
        <v>1827</v>
      </c>
      <c r="L708" t="s">
        <v>26</v>
      </c>
      <c r="M708" s="12" t="s">
        <v>18</v>
      </c>
      <c r="N708">
        <v>3</v>
      </c>
      <c r="O708">
        <v>0</v>
      </c>
      <c r="P708" t="s">
        <v>19</v>
      </c>
      <c r="Q708" s="6">
        <v>1151</v>
      </c>
      <c r="R708" t="str">
        <f t="shared" si="33"/>
        <v>Achikare 's Luxury Home Away from Home_x000C_</v>
      </c>
      <c r="S708" t="str">
        <f t="shared" si="34"/>
        <v>Achikare 's Luxury Home Away from Home</v>
      </c>
      <c r="T708">
        <f>Table1[[#This Row],[Adults]]+Table1[[#This Row],[Children]]</f>
        <v>3</v>
      </c>
      <c r="U708">
        <f>_xlfn.DAYS(Table1[[#This Row],[Depart]],Table1[[#This Row],[Arrive]])</f>
        <v>6</v>
      </c>
    </row>
    <row r="709" spans="1:21" x14ac:dyDescent="0.25">
      <c r="A709" t="s">
        <v>897</v>
      </c>
      <c r="B709" t="s">
        <v>898</v>
      </c>
      <c r="C709" t="s">
        <v>1177</v>
      </c>
      <c r="D709" s="1">
        <v>44126</v>
      </c>
      <c r="E709" s="1">
        <v>44129</v>
      </c>
      <c r="F709">
        <f t="shared" si="35"/>
        <v>3</v>
      </c>
      <c r="G709" s="1">
        <v>44107</v>
      </c>
      <c r="H709" s="2">
        <v>0.58333333333333337</v>
      </c>
      <c r="I709" s="2">
        <v>0.5</v>
      </c>
      <c r="J709" t="s">
        <v>1875</v>
      </c>
      <c r="K709" t="s">
        <v>1875</v>
      </c>
      <c r="L709" t="s">
        <v>22</v>
      </c>
      <c r="M709" s="12" t="s">
        <v>18</v>
      </c>
      <c r="N709">
        <v>3</v>
      </c>
      <c r="O709">
        <v>0</v>
      </c>
      <c r="P709" t="s">
        <v>19</v>
      </c>
      <c r="Q709" s="6">
        <v>564.38</v>
      </c>
      <c r="R709" t="str">
        <f t="shared" si="33"/>
        <v>Achikare 's Luxury Home Away from Home_x000C_</v>
      </c>
      <c r="S709" t="str">
        <f t="shared" si="34"/>
        <v>Achikare 's Luxury Home Away from Home</v>
      </c>
      <c r="T709">
        <f>Table1[[#This Row],[Adults]]+Table1[[#This Row],[Children]]</f>
        <v>3</v>
      </c>
      <c r="U709">
        <f>_xlfn.DAYS(Table1[[#This Row],[Depart]],Table1[[#This Row],[Arrive]])</f>
        <v>3</v>
      </c>
    </row>
    <row r="710" spans="1:21" x14ac:dyDescent="0.25">
      <c r="A710" t="s">
        <v>933</v>
      </c>
      <c r="B710" t="s">
        <v>934</v>
      </c>
      <c r="C710" t="s">
        <v>1176</v>
      </c>
      <c r="D710" s="1">
        <v>44126</v>
      </c>
      <c r="E710" s="1">
        <v>44127</v>
      </c>
      <c r="F710">
        <f t="shared" si="35"/>
        <v>1</v>
      </c>
      <c r="G710" s="1">
        <v>44120</v>
      </c>
      <c r="H710" s="2">
        <v>0.58333333333333337</v>
      </c>
      <c r="I710" s="2">
        <v>0.45833333333333331</v>
      </c>
      <c r="J710" t="s">
        <v>1902</v>
      </c>
      <c r="K710" t="s">
        <v>1902</v>
      </c>
      <c r="L710" t="s">
        <v>22</v>
      </c>
      <c r="M710" s="12" t="s">
        <v>18</v>
      </c>
      <c r="N710">
        <v>4</v>
      </c>
      <c r="O710">
        <v>0</v>
      </c>
      <c r="P710" t="s">
        <v>19</v>
      </c>
      <c r="Q710" s="6">
        <v>188.13</v>
      </c>
      <c r="R710" t="str">
        <f t="shared" si="33"/>
        <v>Tiara's Luxury Home Away From Home_x000C_</v>
      </c>
      <c r="S710" t="str">
        <f t="shared" si="34"/>
        <v>Tiara's Luxury Home Away From Home</v>
      </c>
      <c r="T710">
        <f>Table1[[#This Row],[Adults]]+Table1[[#This Row],[Children]]</f>
        <v>4</v>
      </c>
      <c r="U710">
        <f>_xlfn.DAYS(Table1[[#This Row],[Depart]],Table1[[#This Row],[Arrive]])</f>
        <v>1</v>
      </c>
    </row>
    <row r="711" spans="1:21" x14ac:dyDescent="0.25">
      <c r="A711" t="s">
        <v>913</v>
      </c>
      <c r="B711" t="s">
        <v>914</v>
      </c>
      <c r="C711" t="s">
        <v>1173</v>
      </c>
      <c r="D711" s="1">
        <v>44126</v>
      </c>
      <c r="E711" s="1">
        <v>44127</v>
      </c>
      <c r="F711">
        <f t="shared" si="35"/>
        <v>1</v>
      </c>
      <c r="G711" s="1">
        <v>44120</v>
      </c>
      <c r="H711" s="2">
        <v>0.33333333333333331</v>
      </c>
      <c r="I711" s="3">
        <v>1</v>
      </c>
      <c r="J711" t="s">
        <v>1905</v>
      </c>
      <c r="K711" t="s">
        <v>1905</v>
      </c>
      <c r="L711" t="s">
        <v>22</v>
      </c>
      <c r="M711" s="12" t="s">
        <v>18</v>
      </c>
      <c r="N711">
        <v>6</v>
      </c>
      <c r="O711">
        <v>0</v>
      </c>
      <c r="P711" t="s">
        <v>19</v>
      </c>
      <c r="Q711" s="6">
        <v>129</v>
      </c>
      <c r="R711" t="str">
        <f t="shared" si="33"/>
        <v xml:space="preserve"> The Daniels 5 Star Short Let Apartment in Lekki_x000C_</v>
      </c>
      <c r="S711" t="str">
        <f t="shared" si="34"/>
        <v xml:space="preserve"> The Daniels 5 Star Short Let Apartment in Lekki</v>
      </c>
      <c r="T711">
        <f>Table1[[#This Row],[Adults]]+Table1[[#This Row],[Children]]</f>
        <v>6</v>
      </c>
      <c r="U711">
        <f>_xlfn.DAYS(Table1[[#This Row],[Depart]],Table1[[#This Row],[Arrive]])</f>
        <v>1</v>
      </c>
    </row>
    <row r="712" spans="1:21" x14ac:dyDescent="0.25">
      <c r="A712" t="s">
        <v>661</v>
      </c>
      <c r="B712" t="s">
        <v>662</v>
      </c>
      <c r="C712" t="s">
        <v>1178</v>
      </c>
      <c r="D712" s="1">
        <v>44127</v>
      </c>
      <c r="E712" s="1">
        <v>44133</v>
      </c>
      <c r="F712">
        <f t="shared" si="35"/>
        <v>6</v>
      </c>
      <c r="G712" s="1">
        <v>44067</v>
      </c>
      <c r="H712" s="2">
        <v>0.58333333333333337</v>
      </c>
      <c r="I712" s="2">
        <v>0.45833333333333331</v>
      </c>
      <c r="J712" t="s">
        <v>1669</v>
      </c>
      <c r="K712" t="s">
        <v>1669</v>
      </c>
      <c r="L712" t="s">
        <v>26</v>
      </c>
      <c r="M712" s="12" t="s">
        <v>18</v>
      </c>
      <c r="N712">
        <v>1</v>
      </c>
      <c r="O712">
        <v>0</v>
      </c>
      <c r="P712" t="s">
        <v>19</v>
      </c>
      <c r="Q712" s="6">
        <v>617</v>
      </c>
      <c r="R712" t="str">
        <f t="shared" si="33"/>
        <v>Ope's 5 Star Short Let Apartment in Lekki_x000C_</v>
      </c>
      <c r="S712" t="str">
        <f t="shared" si="34"/>
        <v>Ope's 5 Star Short Let Apartment in Lekki</v>
      </c>
      <c r="T712">
        <f>Table1[[#This Row],[Adults]]+Table1[[#This Row],[Children]]</f>
        <v>1</v>
      </c>
      <c r="U712">
        <f>_xlfn.DAYS(Table1[[#This Row],[Depart]],Table1[[#This Row],[Arrive]])</f>
        <v>6</v>
      </c>
    </row>
    <row r="713" spans="1:21" x14ac:dyDescent="0.25">
      <c r="A713" t="s">
        <v>931</v>
      </c>
      <c r="B713" t="s">
        <v>932</v>
      </c>
      <c r="C713" t="s">
        <v>1173</v>
      </c>
      <c r="D713" s="1">
        <v>44127</v>
      </c>
      <c r="E713" s="1">
        <v>44130</v>
      </c>
      <c r="F713">
        <f t="shared" si="35"/>
        <v>3</v>
      </c>
      <c r="G713" s="1">
        <v>44093</v>
      </c>
      <c r="H713" s="2">
        <v>0.33333333333333331</v>
      </c>
      <c r="I713" s="3">
        <v>1</v>
      </c>
      <c r="J713" t="s">
        <v>1900</v>
      </c>
      <c r="K713" t="s">
        <v>1900</v>
      </c>
      <c r="L713" t="s">
        <v>22</v>
      </c>
      <c r="M713" s="12" t="s">
        <v>18</v>
      </c>
      <c r="N713">
        <v>4</v>
      </c>
      <c r="O713">
        <v>0</v>
      </c>
      <c r="P713" t="s">
        <v>19</v>
      </c>
      <c r="Q713" s="6">
        <v>387</v>
      </c>
      <c r="R713" t="str">
        <f t="shared" si="33"/>
        <v xml:space="preserve"> The Daniels 5 Star Short Let Apartment in Lekki_x000C_</v>
      </c>
      <c r="S713" t="str">
        <f t="shared" si="34"/>
        <v xml:space="preserve"> The Daniels 5 Star Short Let Apartment in Lekki</v>
      </c>
      <c r="T713">
        <f>Table1[[#This Row],[Adults]]+Table1[[#This Row],[Children]]</f>
        <v>4</v>
      </c>
      <c r="U713">
        <f>_xlfn.DAYS(Table1[[#This Row],[Depart]],Table1[[#This Row],[Arrive]])</f>
        <v>3</v>
      </c>
    </row>
    <row r="714" spans="1:21" x14ac:dyDescent="0.25">
      <c r="A714" t="s">
        <v>142</v>
      </c>
      <c r="B714" t="s">
        <v>143</v>
      </c>
      <c r="C714" t="s">
        <v>1179</v>
      </c>
      <c r="D714" s="1">
        <v>44128</v>
      </c>
      <c r="E714" s="1">
        <v>44135</v>
      </c>
      <c r="F714">
        <f t="shared" si="35"/>
        <v>7</v>
      </c>
      <c r="G714" s="1">
        <v>44079</v>
      </c>
      <c r="H714" s="2">
        <v>0.33333333333333331</v>
      </c>
      <c r="I714" s="3">
        <v>1</v>
      </c>
      <c r="J714" t="s">
        <v>1757</v>
      </c>
      <c r="K714" t="s">
        <v>1757</v>
      </c>
      <c r="L714" t="s">
        <v>22</v>
      </c>
      <c r="M714" s="12" t="s">
        <v>18</v>
      </c>
      <c r="N714">
        <v>4</v>
      </c>
      <c r="O714">
        <v>0</v>
      </c>
      <c r="P714" t="s">
        <v>19</v>
      </c>
      <c r="Q714" s="6">
        <v>827.75</v>
      </c>
      <c r="R714" t="str">
        <f t="shared" si="33"/>
        <v>Phiola's 5 Star Short Let Apartment in Lekki_x000C_</v>
      </c>
      <c r="S714" t="str">
        <f t="shared" si="34"/>
        <v>Phiola's 5 Star Short Let Apartment in Lekki</v>
      </c>
      <c r="T714">
        <f>Table1[[#This Row],[Adults]]+Table1[[#This Row],[Children]]</f>
        <v>4</v>
      </c>
      <c r="U714">
        <f>_xlfn.DAYS(Table1[[#This Row],[Depart]],Table1[[#This Row],[Arrive]])</f>
        <v>7</v>
      </c>
    </row>
    <row r="715" spans="1:21" x14ac:dyDescent="0.25">
      <c r="A715" t="s">
        <v>949</v>
      </c>
      <c r="B715" t="s">
        <v>950</v>
      </c>
      <c r="C715" t="s">
        <v>1173</v>
      </c>
      <c r="D715" s="1">
        <v>44128</v>
      </c>
      <c r="E715" s="1">
        <v>44131</v>
      </c>
      <c r="F715">
        <f t="shared" si="35"/>
        <v>3</v>
      </c>
      <c r="G715" s="1">
        <v>44128</v>
      </c>
      <c r="H715" s="2">
        <v>0.33333333333333331</v>
      </c>
      <c r="I715" s="3">
        <v>1</v>
      </c>
      <c r="J715" t="s">
        <v>1930</v>
      </c>
      <c r="K715" t="s">
        <v>1930</v>
      </c>
      <c r="L715" t="s">
        <v>22</v>
      </c>
      <c r="M715" s="12" t="s">
        <v>23</v>
      </c>
      <c r="N715">
        <v>5</v>
      </c>
      <c r="O715">
        <v>0</v>
      </c>
      <c r="P715" t="s">
        <v>19</v>
      </c>
      <c r="Q715" s="6">
        <v>387</v>
      </c>
      <c r="R715" t="str">
        <f t="shared" si="33"/>
        <v xml:space="preserve"> The Daniels 5 Star Short Let Apartment in Lekki_x000C_</v>
      </c>
      <c r="S715" t="str">
        <f t="shared" si="34"/>
        <v xml:space="preserve"> The Daniels 5 Star Short Let Apartment in Lekki</v>
      </c>
      <c r="T715">
        <f>Table1[[#This Row],[Adults]]+Table1[[#This Row],[Children]]</f>
        <v>5</v>
      </c>
      <c r="U715">
        <f>_xlfn.DAYS(Table1[[#This Row],[Depart]],Table1[[#This Row],[Arrive]])</f>
        <v>3</v>
      </c>
    </row>
    <row r="716" spans="1:21" x14ac:dyDescent="0.25">
      <c r="A716" t="s">
        <v>941</v>
      </c>
      <c r="B716" t="s">
        <v>942</v>
      </c>
      <c r="C716" t="s">
        <v>1176</v>
      </c>
      <c r="D716" s="1">
        <v>44129</v>
      </c>
      <c r="E716" s="1">
        <v>44130</v>
      </c>
      <c r="F716">
        <f t="shared" si="35"/>
        <v>1</v>
      </c>
      <c r="G716" s="1">
        <v>44120</v>
      </c>
      <c r="H716" s="2">
        <v>0.58333333333333337</v>
      </c>
      <c r="I716" s="2">
        <v>0.45833333333333331</v>
      </c>
      <c r="J716" t="s">
        <v>1908</v>
      </c>
      <c r="K716" t="s">
        <v>1908</v>
      </c>
      <c r="L716" t="s">
        <v>22</v>
      </c>
      <c r="M716" s="12" t="s">
        <v>18</v>
      </c>
      <c r="N716">
        <v>4</v>
      </c>
      <c r="O716">
        <v>0</v>
      </c>
      <c r="P716" t="s">
        <v>19</v>
      </c>
      <c r="Q716" s="6">
        <v>188.13</v>
      </c>
      <c r="R716" t="str">
        <f t="shared" si="33"/>
        <v>Tiara's Luxury Home Away From Home_x000C_</v>
      </c>
      <c r="S716" t="str">
        <f t="shared" si="34"/>
        <v>Tiara's Luxury Home Away From Home</v>
      </c>
      <c r="T716">
        <f>Table1[[#This Row],[Adults]]+Table1[[#This Row],[Children]]</f>
        <v>4</v>
      </c>
      <c r="U716">
        <f>_xlfn.DAYS(Table1[[#This Row],[Depart]],Table1[[#This Row],[Arrive]])</f>
        <v>1</v>
      </c>
    </row>
    <row r="717" spans="1:21" x14ac:dyDescent="0.25">
      <c r="A717" t="s">
        <v>416</v>
      </c>
      <c r="B717" t="s">
        <v>417</v>
      </c>
      <c r="C717" t="s">
        <v>1175</v>
      </c>
      <c r="D717" s="1">
        <v>44130</v>
      </c>
      <c r="E717" s="1">
        <v>44131</v>
      </c>
      <c r="F717">
        <f t="shared" si="35"/>
        <v>1</v>
      </c>
      <c r="G717" s="1">
        <v>44114</v>
      </c>
      <c r="H717" s="2">
        <v>0.5</v>
      </c>
      <c r="I717" s="2">
        <v>0.58333333333333337</v>
      </c>
      <c r="J717" t="s">
        <v>1854</v>
      </c>
      <c r="K717" t="s">
        <v>1854</v>
      </c>
      <c r="L717" t="s">
        <v>22</v>
      </c>
      <c r="M717" s="12" t="s">
        <v>18</v>
      </c>
      <c r="N717">
        <v>1</v>
      </c>
      <c r="O717">
        <v>0</v>
      </c>
      <c r="P717" t="s">
        <v>19</v>
      </c>
      <c r="Q717" s="6">
        <v>85000</v>
      </c>
      <c r="R717" t="str">
        <f t="shared" si="33"/>
        <v>Keji's 5 Star Short let Apartment in Lekki_x000C_</v>
      </c>
      <c r="S717" t="str">
        <f t="shared" si="34"/>
        <v>Keji's 5 Star Short let Apartment in Lekki</v>
      </c>
      <c r="T717">
        <f>Table1[[#This Row],[Adults]]+Table1[[#This Row],[Children]]</f>
        <v>1</v>
      </c>
      <c r="U717">
        <f>_xlfn.DAYS(Table1[[#This Row],[Depart]],Table1[[#This Row],[Arrive]])</f>
        <v>1</v>
      </c>
    </row>
    <row r="718" spans="1:21" x14ac:dyDescent="0.25">
      <c r="A718" t="s">
        <v>893</v>
      </c>
      <c r="B718" t="s">
        <v>894</v>
      </c>
      <c r="C718" t="s">
        <v>1175</v>
      </c>
      <c r="D718" s="1">
        <v>44130</v>
      </c>
      <c r="E718" s="1">
        <v>44133</v>
      </c>
      <c r="F718">
        <f t="shared" si="35"/>
        <v>3</v>
      </c>
      <c r="G718" s="1">
        <v>44118</v>
      </c>
      <c r="H718" s="2">
        <v>0.5</v>
      </c>
      <c r="I718" s="2">
        <v>0.58333333333333337</v>
      </c>
      <c r="J718" t="s">
        <v>1871</v>
      </c>
      <c r="K718" t="s">
        <v>1871</v>
      </c>
      <c r="L718" t="s">
        <v>22</v>
      </c>
      <c r="M718" s="12" t="s">
        <v>18</v>
      </c>
      <c r="N718">
        <v>1</v>
      </c>
      <c r="O718">
        <v>0</v>
      </c>
      <c r="P718" t="s">
        <v>19</v>
      </c>
      <c r="Q718" s="6">
        <v>390000</v>
      </c>
      <c r="R718" t="str">
        <f t="shared" si="33"/>
        <v>Keji's 5 Star Short let Apartment in Lekki_x000C_</v>
      </c>
      <c r="S718" t="str">
        <f t="shared" si="34"/>
        <v>Keji's 5 Star Short let Apartment in Lekki</v>
      </c>
      <c r="T718">
        <f>Table1[[#This Row],[Adults]]+Table1[[#This Row],[Children]]</f>
        <v>1</v>
      </c>
      <c r="U718">
        <f>_xlfn.DAYS(Table1[[#This Row],[Depart]],Table1[[#This Row],[Arrive]])</f>
        <v>3</v>
      </c>
    </row>
    <row r="719" spans="1:21" x14ac:dyDescent="0.25">
      <c r="A719" t="s">
        <v>561</v>
      </c>
      <c r="B719" t="s">
        <v>562</v>
      </c>
      <c r="C719" t="s">
        <v>1176</v>
      </c>
      <c r="D719" s="1">
        <v>44130</v>
      </c>
      <c r="E719" s="1">
        <v>44134</v>
      </c>
      <c r="F719">
        <f t="shared" si="35"/>
        <v>4</v>
      </c>
      <c r="G719" s="1">
        <v>44120</v>
      </c>
      <c r="H719" s="2">
        <v>0.58333333333333337</v>
      </c>
      <c r="I719" s="2">
        <v>0.45833333333333331</v>
      </c>
      <c r="J719" t="s">
        <v>1932</v>
      </c>
      <c r="K719" t="s">
        <v>1932</v>
      </c>
      <c r="L719" t="s">
        <v>22</v>
      </c>
      <c r="M719" s="12" t="s">
        <v>18</v>
      </c>
      <c r="N719">
        <v>5</v>
      </c>
      <c r="O719">
        <v>0</v>
      </c>
      <c r="P719" t="s">
        <v>19</v>
      </c>
      <c r="Q719" s="6">
        <v>752.5</v>
      </c>
      <c r="R719" t="str">
        <f t="shared" si="33"/>
        <v>Tiara's Luxury Home Away From Home_x000C_</v>
      </c>
      <c r="S719" t="str">
        <f t="shared" si="34"/>
        <v>Tiara's Luxury Home Away From Home</v>
      </c>
      <c r="T719">
        <f>Table1[[#This Row],[Adults]]+Table1[[#This Row],[Children]]</f>
        <v>5</v>
      </c>
      <c r="U719">
        <f>_xlfn.DAYS(Table1[[#This Row],[Depart]],Table1[[#This Row],[Arrive]])</f>
        <v>4</v>
      </c>
    </row>
    <row r="720" spans="1:21" x14ac:dyDescent="0.25">
      <c r="A720" t="s">
        <v>953</v>
      </c>
      <c r="B720" t="s">
        <v>954</v>
      </c>
      <c r="C720" t="s">
        <v>1176</v>
      </c>
      <c r="D720" s="1">
        <v>44130</v>
      </c>
      <c r="E720" s="1">
        <v>44132</v>
      </c>
      <c r="F720">
        <f t="shared" si="35"/>
        <v>2</v>
      </c>
      <c r="G720" s="1">
        <v>44130</v>
      </c>
      <c r="H720" s="2">
        <v>0.58333333333333337</v>
      </c>
      <c r="I720" s="2">
        <v>0.45833333333333331</v>
      </c>
      <c r="J720" t="s">
        <v>1939</v>
      </c>
      <c r="K720" t="s">
        <v>1939</v>
      </c>
      <c r="L720" t="s">
        <v>22</v>
      </c>
      <c r="M720" s="12" t="s">
        <v>23</v>
      </c>
      <c r="N720">
        <v>6</v>
      </c>
      <c r="O720">
        <v>0</v>
      </c>
      <c r="P720" t="s">
        <v>19</v>
      </c>
      <c r="Q720" s="6">
        <v>427.85</v>
      </c>
      <c r="R720" t="str">
        <f t="shared" si="33"/>
        <v>Tiara's Luxury Home Away From Home_x000C_</v>
      </c>
      <c r="S720" t="str">
        <f t="shared" si="34"/>
        <v>Tiara's Luxury Home Away From Home</v>
      </c>
      <c r="T720">
        <f>Table1[[#This Row],[Adults]]+Table1[[#This Row],[Children]]</f>
        <v>6</v>
      </c>
      <c r="U720">
        <f>_xlfn.DAYS(Table1[[#This Row],[Depart]],Table1[[#This Row],[Arrive]])</f>
        <v>2</v>
      </c>
    </row>
    <row r="721" spans="1:21" x14ac:dyDescent="0.25">
      <c r="A721" t="s">
        <v>741</v>
      </c>
      <c r="B721" t="s">
        <v>742</v>
      </c>
      <c r="C721" t="s">
        <v>1176</v>
      </c>
      <c r="D721" s="1">
        <v>44131</v>
      </c>
      <c r="E721" s="1">
        <v>44149</v>
      </c>
      <c r="F721">
        <f t="shared" si="35"/>
        <v>18</v>
      </c>
      <c r="G721" s="1">
        <v>44082</v>
      </c>
      <c r="H721" s="2">
        <v>0.58333333333333337</v>
      </c>
      <c r="I721" s="2">
        <v>0.45833333333333331</v>
      </c>
      <c r="J721" t="s">
        <v>1749</v>
      </c>
      <c r="K721" t="s">
        <v>1749</v>
      </c>
      <c r="L721" t="s">
        <v>26</v>
      </c>
      <c r="M721" s="12" t="s">
        <v>18</v>
      </c>
      <c r="N721">
        <v>1</v>
      </c>
      <c r="O721">
        <v>0</v>
      </c>
      <c r="P721" t="s">
        <v>19</v>
      </c>
      <c r="Q721" s="6">
        <v>1962</v>
      </c>
      <c r="R721" t="str">
        <f t="shared" si="33"/>
        <v>Tiara's Luxury Home Away From Home_x000C_</v>
      </c>
      <c r="S721" t="str">
        <f t="shared" si="34"/>
        <v>Tiara's Luxury Home Away From Home</v>
      </c>
      <c r="T721">
        <f>Table1[[#This Row],[Adults]]+Table1[[#This Row],[Children]]</f>
        <v>1</v>
      </c>
      <c r="U721">
        <f>_xlfn.DAYS(Table1[[#This Row],[Depart]],Table1[[#This Row],[Arrive]])</f>
        <v>18</v>
      </c>
    </row>
    <row r="722" spans="1:21" x14ac:dyDescent="0.25">
      <c r="A722" t="s">
        <v>883</v>
      </c>
      <c r="B722" t="s">
        <v>884</v>
      </c>
      <c r="C722" t="s">
        <v>1175</v>
      </c>
      <c r="D722" s="1">
        <v>44131</v>
      </c>
      <c r="E722" s="1">
        <v>44132</v>
      </c>
      <c r="F722">
        <f t="shared" si="35"/>
        <v>1</v>
      </c>
      <c r="G722" s="1">
        <v>44116</v>
      </c>
      <c r="H722" s="2">
        <v>0.5</v>
      </c>
      <c r="I722" s="2">
        <v>0.58333333333333337</v>
      </c>
      <c r="J722" t="s">
        <v>1862</v>
      </c>
      <c r="K722" t="s">
        <v>1862</v>
      </c>
      <c r="L722" t="s">
        <v>22</v>
      </c>
      <c r="M722" s="12" t="s">
        <v>18</v>
      </c>
      <c r="N722">
        <v>1</v>
      </c>
      <c r="O722">
        <v>0</v>
      </c>
      <c r="P722" t="s">
        <v>19</v>
      </c>
      <c r="Q722" s="6">
        <v>130000</v>
      </c>
      <c r="R722" t="str">
        <f t="shared" si="33"/>
        <v>Keji's 5 Star Short let Apartment in Lekki_x000C_</v>
      </c>
      <c r="S722" t="str">
        <f t="shared" si="34"/>
        <v>Keji's 5 Star Short let Apartment in Lekki</v>
      </c>
      <c r="T722">
        <f>Table1[[#This Row],[Adults]]+Table1[[#This Row],[Children]]</f>
        <v>1</v>
      </c>
      <c r="U722">
        <f>_xlfn.DAYS(Table1[[#This Row],[Depart]],Table1[[#This Row],[Arrive]])</f>
        <v>1</v>
      </c>
    </row>
    <row r="723" spans="1:21" x14ac:dyDescent="0.25">
      <c r="A723" t="s">
        <v>893</v>
      </c>
      <c r="B723" t="s">
        <v>894</v>
      </c>
      <c r="C723" t="s">
        <v>1175</v>
      </c>
      <c r="D723" s="1">
        <v>44131</v>
      </c>
      <c r="E723" s="1">
        <v>44134</v>
      </c>
      <c r="F723">
        <f t="shared" si="35"/>
        <v>3</v>
      </c>
      <c r="G723" s="1">
        <v>44118</v>
      </c>
      <c r="H723" s="2">
        <v>0.5</v>
      </c>
      <c r="I723" s="2">
        <v>0.58333333333333337</v>
      </c>
      <c r="J723" t="s">
        <v>1877</v>
      </c>
      <c r="K723" t="s">
        <v>1877</v>
      </c>
      <c r="L723" t="s">
        <v>22</v>
      </c>
      <c r="M723" s="12" t="s">
        <v>18</v>
      </c>
      <c r="N723">
        <v>1</v>
      </c>
      <c r="O723">
        <v>0</v>
      </c>
      <c r="P723" t="s">
        <v>19</v>
      </c>
      <c r="Q723" s="6">
        <v>390000</v>
      </c>
      <c r="R723" t="str">
        <f t="shared" si="33"/>
        <v>Keji's 5 Star Short let Apartment in Lekki_x000C_</v>
      </c>
      <c r="S723" t="str">
        <f t="shared" si="34"/>
        <v>Keji's 5 Star Short let Apartment in Lekki</v>
      </c>
      <c r="T723">
        <f>Table1[[#This Row],[Adults]]+Table1[[#This Row],[Children]]</f>
        <v>1</v>
      </c>
      <c r="U723">
        <f>_xlfn.DAYS(Table1[[#This Row],[Depart]],Table1[[#This Row],[Arrive]])</f>
        <v>3</v>
      </c>
    </row>
    <row r="724" spans="1:21" x14ac:dyDescent="0.25">
      <c r="A724" t="s">
        <v>296</v>
      </c>
      <c r="B724" t="s">
        <v>297</v>
      </c>
      <c r="C724" t="s">
        <v>1175</v>
      </c>
      <c r="D724" s="1">
        <v>44131</v>
      </c>
      <c r="E724" s="1">
        <v>44134</v>
      </c>
      <c r="F724">
        <f t="shared" si="35"/>
        <v>3</v>
      </c>
      <c r="G724" s="1">
        <v>44079</v>
      </c>
      <c r="H724" s="2">
        <v>0.33333333333333331</v>
      </c>
      <c r="I724" s="3">
        <v>1</v>
      </c>
      <c r="J724" s="4" t="s">
        <v>1888</v>
      </c>
      <c r="K724" s="4" t="s">
        <v>1888</v>
      </c>
      <c r="L724" t="s">
        <v>22</v>
      </c>
      <c r="M724" s="12" t="s">
        <v>18</v>
      </c>
      <c r="N724">
        <v>5</v>
      </c>
      <c r="O724">
        <v>0</v>
      </c>
      <c r="P724" t="s">
        <v>19</v>
      </c>
      <c r="Q724" s="6">
        <v>354.75</v>
      </c>
      <c r="R724" t="str">
        <f t="shared" si="33"/>
        <v>Keji's 5 Star Short let Apartment in Lekki_x000C_</v>
      </c>
      <c r="S724" t="str">
        <f t="shared" si="34"/>
        <v>Keji's 5 Star Short let Apartment in Lekki</v>
      </c>
      <c r="T724">
        <f>Table1[[#This Row],[Adults]]+Table1[[#This Row],[Children]]</f>
        <v>5</v>
      </c>
      <c r="U724">
        <f>_xlfn.DAYS(Table1[[#This Row],[Depart]],Table1[[#This Row],[Arrive]])</f>
        <v>3</v>
      </c>
    </row>
    <row r="725" spans="1:21" x14ac:dyDescent="0.25">
      <c r="A725" t="s">
        <v>296</v>
      </c>
      <c r="B725" t="s">
        <v>297</v>
      </c>
      <c r="C725" t="s">
        <v>1175</v>
      </c>
      <c r="D725" s="1">
        <v>44131</v>
      </c>
      <c r="E725" s="1">
        <v>44134</v>
      </c>
      <c r="F725">
        <f t="shared" si="35"/>
        <v>3</v>
      </c>
      <c r="G725" s="1">
        <v>44122</v>
      </c>
      <c r="H725" s="2">
        <v>0.5</v>
      </c>
      <c r="I725" s="2">
        <v>0.58333333333333337</v>
      </c>
      <c r="J725" t="s">
        <v>1933</v>
      </c>
      <c r="K725" t="s">
        <v>1933</v>
      </c>
      <c r="L725" t="s">
        <v>22</v>
      </c>
      <c r="M725" s="12" t="s">
        <v>18</v>
      </c>
      <c r="N725">
        <v>4</v>
      </c>
      <c r="O725">
        <v>0</v>
      </c>
      <c r="P725" t="s">
        <v>19</v>
      </c>
      <c r="Q725" s="6">
        <v>387</v>
      </c>
      <c r="R725" t="str">
        <f t="shared" si="33"/>
        <v>Keji's 5 Star Short let Apartment in Lekki_x000C_</v>
      </c>
      <c r="S725" t="str">
        <f t="shared" si="34"/>
        <v>Keji's 5 Star Short let Apartment in Lekki</v>
      </c>
      <c r="T725">
        <f>Table1[[#This Row],[Adults]]+Table1[[#This Row],[Children]]</f>
        <v>4</v>
      </c>
      <c r="U725">
        <f>_xlfn.DAYS(Table1[[#This Row],[Depart]],Table1[[#This Row],[Arrive]])</f>
        <v>3</v>
      </c>
    </row>
    <row r="726" spans="1:21" x14ac:dyDescent="0.25">
      <c r="A726" t="s">
        <v>641</v>
      </c>
      <c r="B726" t="s">
        <v>642</v>
      </c>
      <c r="C726" t="s">
        <v>1173</v>
      </c>
      <c r="D726" s="1">
        <v>44131</v>
      </c>
      <c r="E726" s="1">
        <v>44137</v>
      </c>
      <c r="F726">
        <f t="shared" si="35"/>
        <v>6</v>
      </c>
      <c r="G726" s="1">
        <v>44128</v>
      </c>
      <c r="H726" s="2">
        <v>0.33333333333333331</v>
      </c>
      <c r="I726" s="3">
        <v>1</v>
      </c>
      <c r="J726" t="s">
        <v>1966</v>
      </c>
      <c r="K726" t="s">
        <v>1966</v>
      </c>
      <c r="L726" t="s">
        <v>22</v>
      </c>
      <c r="M726" s="12" t="s">
        <v>23</v>
      </c>
      <c r="N726">
        <v>4</v>
      </c>
      <c r="O726">
        <v>0</v>
      </c>
      <c r="P726" t="s">
        <v>19</v>
      </c>
      <c r="Q726" s="6">
        <v>774</v>
      </c>
      <c r="R726" t="str">
        <f t="shared" si="33"/>
        <v xml:space="preserve"> The Daniels 5 Star Short Let Apartment in Lekki_x000C_</v>
      </c>
      <c r="S726" t="str">
        <f t="shared" si="34"/>
        <v xml:space="preserve"> The Daniels 5 Star Short Let Apartment in Lekki</v>
      </c>
      <c r="T726">
        <f>Table1[[#This Row],[Adults]]+Table1[[#This Row],[Children]]</f>
        <v>4</v>
      </c>
      <c r="U726">
        <f>_xlfn.DAYS(Table1[[#This Row],[Depart]],Table1[[#This Row],[Arrive]])</f>
        <v>6</v>
      </c>
    </row>
    <row r="727" spans="1:21" x14ac:dyDescent="0.25">
      <c r="A727" t="s">
        <v>260</v>
      </c>
      <c r="B727" t="s">
        <v>261</v>
      </c>
      <c r="C727" t="s">
        <v>1173</v>
      </c>
      <c r="D727" s="1">
        <v>44132</v>
      </c>
      <c r="E727" s="1">
        <v>44135</v>
      </c>
      <c r="F727">
        <f t="shared" si="35"/>
        <v>3</v>
      </c>
      <c r="G727" s="1">
        <v>43985</v>
      </c>
      <c r="H727" s="2">
        <v>0.33333333333333331</v>
      </c>
      <c r="I727" s="3">
        <v>1</v>
      </c>
      <c r="J727" t="s">
        <v>1364</v>
      </c>
      <c r="K727" t="s">
        <v>1364</v>
      </c>
      <c r="L727" t="s">
        <v>26</v>
      </c>
      <c r="M727" s="12" t="s">
        <v>18</v>
      </c>
      <c r="N727">
        <v>4</v>
      </c>
      <c r="O727">
        <v>0</v>
      </c>
      <c r="P727" t="s">
        <v>19</v>
      </c>
      <c r="Q727" s="6">
        <v>319</v>
      </c>
      <c r="R727" t="str">
        <f t="shared" si="33"/>
        <v xml:space="preserve"> The Daniels 5 Star Short Let Apartment in Lekki_x000C_</v>
      </c>
      <c r="S727" t="str">
        <f t="shared" si="34"/>
        <v xml:space="preserve"> The Daniels 5 Star Short Let Apartment in Lekki</v>
      </c>
      <c r="T727">
        <f>Table1[[#This Row],[Adults]]+Table1[[#This Row],[Children]]</f>
        <v>4</v>
      </c>
      <c r="U727">
        <f>_xlfn.DAYS(Table1[[#This Row],[Depart]],Table1[[#This Row],[Arrive]])</f>
        <v>3</v>
      </c>
    </row>
    <row r="728" spans="1:21" x14ac:dyDescent="0.25">
      <c r="A728" t="s">
        <v>893</v>
      </c>
      <c r="B728" t="s">
        <v>894</v>
      </c>
      <c r="C728" t="s">
        <v>1175</v>
      </c>
      <c r="D728" s="1">
        <v>44132</v>
      </c>
      <c r="E728" s="1">
        <v>44134</v>
      </c>
      <c r="F728">
        <f t="shared" si="35"/>
        <v>2</v>
      </c>
      <c r="G728" s="1">
        <v>44118</v>
      </c>
      <c r="H728" s="2">
        <v>0.5</v>
      </c>
      <c r="I728" s="2">
        <v>0.58333333333333337</v>
      </c>
      <c r="J728" t="s">
        <v>1873</v>
      </c>
      <c r="K728" t="s">
        <v>1873</v>
      </c>
      <c r="L728" t="s">
        <v>22</v>
      </c>
      <c r="M728" s="12" t="s">
        <v>18</v>
      </c>
      <c r="N728">
        <v>1</v>
      </c>
      <c r="O728">
        <v>0</v>
      </c>
      <c r="P728" t="s">
        <v>19</v>
      </c>
      <c r="Q728" s="6">
        <v>260000</v>
      </c>
      <c r="R728" t="str">
        <f t="shared" si="33"/>
        <v>Keji's 5 Star Short let Apartment in Lekki_x000C_</v>
      </c>
      <c r="S728" t="str">
        <f t="shared" si="34"/>
        <v>Keji's 5 Star Short let Apartment in Lekki</v>
      </c>
      <c r="T728">
        <f>Table1[[#This Row],[Adults]]+Table1[[#This Row],[Children]]</f>
        <v>1</v>
      </c>
      <c r="U728">
        <f>_xlfn.DAYS(Table1[[#This Row],[Depart]],Table1[[#This Row],[Arrive]])</f>
        <v>2</v>
      </c>
    </row>
    <row r="729" spans="1:21" x14ac:dyDescent="0.25">
      <c r="A729" t="s">
        <v>823</v>
      </c>
      <c r="B729" t="s">
        <v>824</v>
      </c>
      <c r="C729" t="s">
        <v>1176</v>
      </c>
      <c r="D729" s="1">
        <v>44132</v>
      </c>
      <c r="E729" s="1">
        <v>44134</v>
      </c>
      <c r="F729">
        <f t="shared" si="35"/>
        <v>2</v>
      </c>
      <c r="G729" s="1">
        <v>44130</v>
      </c>
      <c r="H729" s="2">
        <v>0.58333333333333337</v>
      </c>
      <c r="I729" s="2">
        <v>0.45833333333333331</v>
      </c>
      <c r="J729" t="s">
        <v>1943</v>
      </c>
      <c r="K729" t="s">
        <v>1943</v>
      </c>
      <c r="L729" t="s">
        <v>22</v>
      </c>
      <c r="M729" s="12" t="s">
        <v>18</v>
      </c>
      <c r="N729">
        <v>6</v>
      </c>
      <c r="O729">
        <v>0</v>
      </c>
      <c r="P729" t="s">
        <v>19</v>
      </c>
      <c r="Q729" s="6">
        <v>427.85</v>
      </c>
      <c r="R729" t="str">
        <f t="shared" si="33"/>
        <v>Tiara's Luxury Home Away From Home_x000C_</v>
      </c>
      <c r="S729" t="str">
        <f t="shared" si="34"/>
        <v>Tiara's Luxury Home Away From Home</v>
      </c>
      <c r="T729">
        <f>Table1[[#This Row],[Adults]]+Table1[[#This Row],[Children]]</f>
        <v>6</v>
      </c>
      <c r="U729">
        <f>_xlfn.DAYS(Table1[[#This Row],[Depart]],Table1[[#This Row],[Arrive]])</f>
        <v>2</v>
      </c>
    </row>
    <row r="730" spans="1:21" x14ac:dyDescent="0.25">
      <c r="A730" t="s">
        <v>957</v>
      </c>
      <c r="B730" t="s">
        <v>958</v>
      </c>
      <c r="C730" t="s">
        <v>1176</v>
      </c>
      <c r="D730" s="1">
        <v>44132</v>
      </c>
      <c r="E730" s="1">
        <v>44134</v>
      </c>
      <c r="F730">
        <f t="shared" si="35"/>
        <v>2</v>
      </c>
      <c r="G730" s="1">
        <v>44132</v>
      </c>
      <c r="H730" s="2">
        <v>0.58333333333333337</v>
      </c>
      <c r="I730" s="2">
        <v>0.45833333333333331</v>
      </c>
      <c r="J730" t="s">
        <v>1946</v>
      </c>
      <c r="K730" t="s">
        <v>1946</v>
      </c>
      <c r="L730" t="s">
        <v>22</v>
      </c>
      <c r="M730" s="12" t="s">
        <v>23</v>
      </c>
      <c r="N730">
        <v>6</v>
      </c>
      <c r="O730">
        <v>0</v>
      </c>
      <c r="P730" t="s">
        <v>19</v>
      </c>
      <c r="Q730" s="6">
        <v>427.85</v>
      </c>
      <c r="R730" t="str">
        <f t="shared" si="33"/>
        <v>Tiara's Luxury Home Away From Home_x000C_</v>
      </c>
      <c r="S730" t="str">
        <f t="shared" si="34"/>
        <v>Tiara's Luxury Home Away From Home</v>
      </c>
      <c r="T730">
        <f>Table1[[#This Row],[Adults]]+Table1[[#This Row],[Children]]</f>
        <v>6</v>
      </c>
      <c r="U730">
        <f>_xlfn.DAYS(Table1[[#This Row],[Depart]],Table1[[#This Row],[Arrive]])</f>
        <v>2</v>
      </c>
    </row>
    <row r="731" spans="1:21" x14ac:dyDescent="0.25">
      <c r="A731" t="s">
        <v>891</v>
      </c>
      <c r="B731" t="s">
        <v>892</v>
      </c>
      <c r="C731" t="s">
        <v>1178</v>
      </c>
      <c r="D731" s="1">
        <v>44133</v>
      </c>
      <c r="E731" s="1">
        <v>44137</v>
      </c>
      <c r="F731">
        <f t="shared" si="35"/>
        <v>4</v>
      </c>
      <c r="G731" s="1">
        <v>44130</v>
      </c>
      <c r="H731" s="2">
        <v>0.58333333333333337</v>
      </c>
      <c r="I731" s="2">
        <v>0.45833333333333331</v>
      </c>
      <c r="J731" t="s">
        <v>1964</v>
      </c>
      <c r="K731" t="s">
        <v>1964</v>
      </c>
      <c r="L731" t="s">
        <v>22</v>
      </c>
      <c r="M731" s="12" t="s">
        <v>23</v>
      </c>
      <c r="N731">
        <v>6</v>
      </c>
      <c r="O731">
        <v>0</v>
      </c>
      <c r="P731" t="s">
        <v>19</v>
      </c>
      <c r="Q731" s="6">
        <v>516</v>
      </c>
      <c r="R731" t="str">
        <f t="shared" si="33"/>
        <v>Ope's 5 Star Short Let Apartment in Lekki_x000C_</v>
      </c>
      <c r="S731" t="str">
        <f t="shared" si="34"/>
        <v>Ope's 5 Star Short Let Apartment in Lekki</v>
      </c>
      <c r="T731">
        <f>Table1[[#This Row],[Adults]]+Table1[[#This Row],[Children]]</f>
        <v>6</v>
      </c>
      <c r="U731">
        <f>_xlfn.DAYS(Table1[[#This Row],[Depart]],Table1[[#This Row],[Arrive]])</f>
        <v>4</v>
      </c>
    </row>
    <row r="732" spans="1:21" x14ac:dyDescent="0.25">
      <c r="A732" t="s">
        <v>983</v>
      </c>
      <c r="B732" t="s">
        <v>984</v>
      </c>
      <c r="C732" t="s">
        <v>1180</v>
      </c>
      <c r="D732" s="1">
        <v>44133</v>
      </c>
      <c r="E732" s="1">
        <v>44137</v>
      </c>
      <c r="F732">
        <f t="shared" si="35"/>
        <v>4</v>
      </c>
      <c r="G732" s="1">
        <v>44134</v>
      </c>
      <c r="H732" s="2">
        <v>0.58333333333333337</v>
      </c>
      <c r="I732" s="2">
        <v>0.45833333333333331</v>
      </c>
      <c r="J732" t="s">
        <v>1965</v>
      </c>
      <c r="K732" t="s">
        <v>1965</v>
      </c>
      <c r="L732" t="s">
        <v>22</v>
      </c>
      <c r="M732" s="12" t="s">
        <v>23</v>
      </c>
      <c r="N732">
        <v>5</v>
      </c>
      <c r="O732">
        <v>0</v>
      </c>
      <c r="P732" t="s">
        <v>19</v>
      </c>
      <c r="Q732" s="6">
        <v>516</v>
      </c>
      <c r="R732" t="str">
        <f t="shared" si="33"/>
        <v>Zoe's 5 Star Short let Apartment in Lekki_x000C_</v>
      </c>
      <c r="S732" t="str">
        <f t="shared" si="34"/>
        <v>Zoe's 5 Star Short let Apartment in Lekki</v>
      </c>
      <c r="T732">
        <f>Table1[[#This Row],[Adults]]+Table1[[#This Row],[Children]]</f>
        <v>5</v>
      </c>
      <c r="U732">
        <f>_xlfn.DAYS(Table1[[#This Row],[Depart]],Table1[[#This Row],[Arrive]])</f>
        <v>4</v>
      </c>
    </row>
    <row r="733" spans="1:21" x14ac:dyDescent="0.25">
      <c r="A733" t="s">
        <v>849</v>
      </c>
      <c r="B733" t="s">
        <v>850</v>
      </c>
      <c r="C733" t="s">
        <v>1177</v>
      </c>
      <c r="D733" s="1">
        <v>44134</v>
      </c>
      <c r="E733" s="1">
        <v>44136</v>
      </c>
      <c r="F733">
        <f t="shared" si="35"/>
        <v>2</v>
      </c>
      <c r="G733" s="1">
        <v>44107</v>
      </c>
      <c r="H733" s="2">
        <v>0.58333333333333337</v>
      </c>
      <c r="I733" s="2">
        <v>0.5</v>
      </c>
      <c r="J733" t="s">
        <v>1837</v>
      </c>
      <c r="K733" t="s">
        <v>1837</v>
      </c>
      <c r="L733" t="s">
        <v>26</v>
      </c>
      <c r="M733" s="12" t="s">
        <v>18</v>
      </c>
      <c r="N733">
        <v>5</v>
      </c>
      <c r="O733">
        <v>0</v>
      </c>
      <c r="P733" t="s">
        <v>19</v>
      </c>
      <c r="Q733" s="6">
        <v>384</v>
      </c>
      <c r="R733" t="str">
        <f t="shared" si="33"/>
        <v>Achikare 's Luxury Home Away from Home_x000C_</v>
      </c>
      <c r="S733" t="str">
        <f t="shared" si="34"/>
        <v>Achikare 's Luxury Home Away from Home</v>
      </c>
      <c r="T733">
        <f>Table1[[#This Row],[Adults]]+Table1[[#This Row],[Children]]</f>
        <v>5</v>
      </c>
      <c r="U733">
        <f>_xlfn.DAYS(Table1[[#This Row],[Depart]],Table1[[#This Row],[Arrive]])</f>
        <v>2</v>
      </c>
    </row>
    <row r="734" spans="1:21" x14ac:dyDescent="0.25">
      <c r="A734" t="s">
        <v>849</v>
      </c>
      <c r="B734" t="s">
        <v>850</v>
      </c>
      <c r="C734" t="s">
        <v>1176</v>
      </c>
      <c r="D734" s="1">
        <v>44134</v>
      </c>
      <c r="E734" s="1">
        <v>44136</v>
      </c>
      <c r="F734">
        <f t="shared" si="35"/>
        <v>2</v>
      </c>
      <c r="G734" s="1">
        <v>44109</v>
      </c>
      <c r="H734" s="2">
        <v>0.58333333333333337</v>
      </c>
      <c r="I734" s="2">
        <v>0.45833333333333331</v>
      </c>
      <c r="J734" t="s">
        <v>1838</v>
      </c>
      <c r="K734" t="s">
        <v>1838</v>
      </c>
      <c r="L734" t="s">
        <v>26</v>
      </c>
      <c r="M734" s="12" t="s">
        <v>18</v>
      </c>
      <c r="N734">
        <v>5</v>
      </c>
      <c r="O734">
        <v>0</v>
      </c>
      <c r="P734" t="s">
        <v>19</v>
      </c>
      <c r="Q734" s="6">
        <v>384</v>
      </c>
      <c r="R734" t="str">
        <f t="shared" si="33"/>
        <v>Tiara's Luxury Home Away From Home_x000C_</v>
      </c>
      <c r="S734" t="str">
        <f t="shared" si="34"/>
        <v>Tiara's Luxury Home Away From Home</v>
      </c>
      <c r="T734">
        <f>Table1[[#This Row],[Adults]]+Table1[[#This Row],[Children]]</f>
        <v>5</v>
      </c>
      <c r="U734">
        <f>_xlfn.DAYS(Table1[[#This Row],[Depart]],Table1[[#This Row],[Arrive]])</f>
        <v>2</v>
      </c>
    </row>
    <row r="735" spans="1:21" x14ac:dyDescent="0.25">
      <c r="A735" t="s">
        <v>895</v>
      </c>
      <c r="B735" t="s">
        <v>896</v>
      </c>
      <c r="C735" t="s">
        <v>1175</v>
      </c>
      <c r="D735" s="1">
        <v>44134</v>
      </c>
      <c r="E735" s="1">
        <v>44135</v>
      </c>
      <c r="F735">
        <f t="shared" si="35"/>
        <v>1</v>
      </c>
      <c r="G735" s="1">
        <v>44118</v>
      </c>
      <c r="H735" s="2">
        <v>0.5</v>
      </c>
      <c r="I735" s="2">
        <v>0.58333333333333337</v>
      </c>
      <c r="J735" t="s">
        <v>1872</v>
      </c>
      <c r="K735" t="s">
        <v>1872</v>
      </c>
      <c r="L735" t="s">
        <v>22</v>
      </c>
      <c r="M735" s="12" t="s">
        <v>18</v>
      </c>
      <c r="N735">
        <v>1</v>
      </c>
      <c r="O735">
        <v>0</v>
      </c>
      <c r="P735" t="s">
        <v>19</v>
      </c>
      <c r="Q735" s="6">
        <v>130000</v>
      </c>
      <c r="R735" t="str">
        <f t="shared" si="33"/>
        <v>Keji's 5 Star Short let Apartment in Lekki_x000C_</v>
      </c>
      <c r="S735" t="str">
        <f t="shared" si="34"/>
        <v>Keji's 5 Star Short let Apartment in Lekki</v>
      </c>
      <c r="T735">
        <f>Table1[[#This Row],[Adults]]+Table1[[#This Row],[Children]]</f>
        <v>1</v>
      </c>
      <c r="U735">
        <f>_xlfn.DAYS(Table1[[#This Row],[Depart]],Table1[[#This Row],[Arrive]])</f>
        <v>1</v>
      </c>
    </row>
    <row r="736" spans="1:21" x14ac:dyDescent="0.25">
      <c r="A736" t="s">
        <v>981</v>
      </c>
      <c r="B736" t="s">
        <v>982</v>
      </c>
      <c r="C736" t="s">
        <v>1176</v>
      </c>
      <c r="D736" s="1">
        <v>44134</v>
      </c>
      <c r="E736" s="1">
        <v>44137</v>
      </c>
      <c r="F736">
        <f t="shared" si="35"/>
        <v>3</v>
      </c>
      <c r="G736" s="1">
        <v>44119</v>
      </c>
      <c r="H736" s="2">
        <v>0.58333333333333337</v>
      </c>
      <c r="I736" s="2">
        <v>0.45833333333333331</v>
      </c>
      <c r="J736" t="s">
        <v>1962</v>
      </c>
      <c r="K736" t="s">
        <v>1962</v>
      </c>
      <c r="L736" t="s">
        <v>22</v>
      </c>
      <c r="M736" s="12" t="s">
        <v>23</v>
      </c>
      <c r="N736">
        <v>6</v>
      </c>
      <c r="O736">
        <v>0</v>
      </c>
      <c r="P736" t="s">
        <v>19</v>
      </c>
      <c r="Q736" s="6">
        <v>641.77</v>
      </c>
      <c r="R736" t="str">
        <f t="shared" si="33"/>
        <v>Tiara's Luxury Home Away From Home_x000C_</v>
      </c>
      <c r="S736" t="str">
        <f t="shared" si="34"/>
        <v>Tiara's Luxury Home Away From Home</v>
      </c>
      <c r="T736">
        <f>Table1[[#This Row],[Adults]]+Table1[[#This Row],[Children]]</f>
        <v>6</v>
      </c>
      <c r="U736">
        <f>_xlfn.DAYS(Table1[[#This Row],[Depart]],Table1[[#This Row],[Arrive]])</f>
        <v>3</v>
      </c>
    </row>
    <row r="737" spans="1:21" x14ac:dyDescent="0.25">
      <c r="A737" t="s">
        <v>855</v>
      </c>
      <c r="B737" t="s">
        <v>856</v>
      </c>
      <c r="C737" t="s">
        <v>1173</v>
      </c>
      <c r="D737" s="1">
        <v>44135</v>
      </c>
      <c r="E737" s="1">
        <v>44137</v>
      </c>
      <c r="F737">
        <f t="shared" si="35"/>
        <v>2</v>
      </c>
      <c r="G737" s="1">
        <v>44109</v>
      </c>
      <c r="H737" s="2">
        <v>0.33333333333333331</v>
      </c>
      <c r="I737" s="3">
        <v>1</v>
      </c>
      <c r="J737" t="s">
        <v>1841</v>
      </c>
      <c r="K737" t="s">
        <v>1841</v>
      </c>
      <c r="L737" t="s">
        <v>26</v>
      </c>
      <c r="M737" s="12" t="s">
        <v>18</v>
      </c>
      <c r="N737">
        <v>6</v>
      </c>
      <c r="O737">
        <v>0</v>
      </c>
      <c r="P737" t="s">
        <v>19</v>
      </c>
      <c r="Q737" s="6">
        <v>238</v>
      </c>
      <c r="R737" t="str">
        <f t="shared" si="33"/>
        <v xml:space="preserve"> The Daniels 5 Star Short Let Apartment in Lekki_x000C_</v>
      </c>
      <c r="S737" t="str">
        <f t="shared" si="34"/>
        <v xml:space="preserve"> The Daniels 5 Star Short Let Apartment in Lekki</v>
      </c>
      <c r="T737">
        <f>Table1[[#This Row],[Adults]]+Table1[[#This Row],[Children]]</f>
        <v>6</v>
      </c>
      <c r="U737">
        <f>_xlfn.DAYS(Table1[[#This Row],[Depart]],Table1[[#This Row],[Arrive]])</f>
        <v>2</v>
      </c>
    </row>
    <row r="738" spans="1:21" x14ac:dyDescent="0.25">
      <c r="A738" t="s">
        <v>849</v>
      </c>
      <c r="B738" t="s">
        <v>850</v>
      </c>
      <c r="C738" t="s">
        <v>1173</v>
      </c>
      <c r="D738" s="1">
        <v>44135</v>
      </c>
      <c r="E738" s="1">
        <v>44137</v>
      </c>
      <c r="F738">
        <f t="shared" si="35"/>
        <v>2</v>
      </c>
      <c r="G738" s="1">
        <v>44110</v>
      </c>
      <c r="H738" s="2">
        <v>0.33333333333333331</v>
      </c>
      <c r="I738" s="3">
        <v>1</v>
      </c>
      <c r="J738" t="s">
        <v>1843</v>
      </c>
      <c r="K738" t="s">
        <v>1843</v>
      </c>
      <c r="L738" t="s">
        <v>26</v>
      </c>
      <c r="M738" s="12" t="s">
        <v>18</v>
      </c>
      <c r="N738">
        <v>1</v>
      </c>
      <c r="O738">
        <v>0</v>
      </c>
      <c r="P738" t="s">
        <v>19</v>
      </c>
      <c r="Q738" s="6">
        <v>239</v>
      </c>
      <c r="R738" t="str">
        <f t="shared" si="33"/>
        <v xml:space="preserve"> The Daniels 5 Star Short Let Apartment in Lekki_x000C_</v>
      </c>
      <c r="S738" t="str">
        <f t="shared" si="34"/>
        <v xml:space="preserve"> The Daniels 5 Star Short Let Apartment in Lekki</v>
      </c>
      <c r="T738">
        <f>Table1[[#This Row],[Adults]]+Table1[[#This Row],[Children]]</f>
        <v>1</v>
      </c>
      <c r="U738">
        <f>_xlfn.DAYS(Table1[[#This Row],[Depart]],Table1[[#This Row],[Arrive]])</f>
        <v>2</v>
      </c>
    </row>
    <row r="739" spans="1:21" x14ac:dyDescent="0.25">
      <c r="A739" t="s">
        <v>284</v>
      </c>
      <c r="B739" t="s">
        <v>285</v>
      </c>
      <c r="C739" t="s">
        <v>1178</v>
      </c>
      <c r="D739" s="1">
        <v>44135</v>
      </c>
      <c r="E739" s="1">
        <v>44137</v>
      </c>
      <c r="F739">
        <f t="shared" si="35"/>
        <v>2</v>
      </c>
      <c r="G739" s="1">
        <v>44128</v>
      </c>
      <c r="H739" s="2">
        <v>0.58333333333333337</v>
      </c>
      <c r="I739" s="2">
        <v>0.45833333333333331</v>
      </c>
      <c r="J739" s="4" t="s">
        <v>1934</v>
      </c>
      <c r="K739" s="4" t="s">
        <v>1934</v>
      </c>
      <c r="L739" t="s">
        <v>22</v>
      </c>
      <c r="M739" s="12" t="s">
        <v>18</v>
      </c>
      <c r="N739">
        <v>6</v>
      </c>
      <c r="O739">
        <v>0</v>
      </c>
      <c r="P739" t="s">
        <v>19</v>
      </c>
      <c r="Q739" s="6">
        <v>258</v>
      </c>
      <c r="R739" t="str">
        <f t="shared" si="33"/>
        <v>Ope's 5 Star Short Let Apartment in Lekki_x000C_</v>
      </c>
      <c r="S739" t="str">
        <f t="shared" si="34"/>
        <v>Ope's 5 Star Short Let Apartment in Lekki</v>
      </c>
      <c r="T739">
        <f>Table1[[#This Row],[Adults]]+Table1[[#This Row],[Children]]</f>
        <v>6</v>
      </c>
      <c r="U739">
        <f>_xlfn.DAYS(Table1[[#This Row],[Depart]],Table1[[#This Row],[Arrive]])</f>
        <v>2</v>
      </c>
    </row>
    <row r="740" spans="1:21" x14ac:dyDescent="0.25">
      <c r="A740" t="s">
        <v>969</v>
      </c>
      <c r="B740" t="s">
        <v>970</v>
      </c>
      <c r="C740" t="s">
        <v>1179</v>
      </c>
      <c r="D740" s="1">
        <v>44135</v>
      </c>
      <c r="E740" s="1">
        <v>44136</v>
      </c>
      <c r="F740">
        <f t="shared" si="35"/>
        <v>1</v>
      </c>
      <c r="G740" s="1">
        <v>44123</v>
      </c>
      <c r="H740" s="2">
        <v>0.33333333333333331</v>
      </c>
      <c r="I740" s="3">
        <v>1</v>
      </c>
      <c r="J740" t="s">
        <v>1956</v>
      </c>
      <c r="K740" t="s">
        <v>1956</v>
      </c>
      <c r="L740" t="s">
        <v>22</v>
      </c>
      <c r="M740" s="12" t="s">
        <v>18</v>
      </c>
      <c r="N740">
        <v>3</v>
      </c>
      <c r="O740">
        <v>0</v>
      </c>
      <c r="P740" t="s">
        <v>19</v>
      </c>
      <c r="Q740" s="6">
        <v>129</v>
      </c>
      <c r="R740" t="str">
        <f t="shared" si="33"/>
        <v>Phiola's 5 Star Short Let Apartment in Lekki_x000C_</v>
      </c>
      <c r="S740" t="str">
        <f t="shared" si="34"/>
        <v>Phiola's 5 Star Short Let Apartment in Lekki</v>
      </c>
      <c r="T740">
        <f>Table1[[#This Row],[Adults]]+Table1[[#This Row],[Children]]</f>
        <v>3</v>
      </c>
      <c r="U740">
        <f>_xlfn.DAYS(Table1[[#This Row],[Depart]],Table1[[#This Row],[Arrive]])</f>
        <v>1</v>
      </c>
    </row>
    <row r="741" spans="1:21" x14ac:dyDescent="0.25">
      <c r="A741" t="s">
        <v>917</v>
      </c>
      <c r="B741" t="s">
        <v>918</v>
      </c>
      <c r="C741" t="s">
        <v>1175</v>
      </c>
      <c r="D741" s="1">
        <v>44137</v>
      </c>
      <c r="E741" s="1">
        <v>44140</v>
      </c>
      <c r="F741">
        <f t="shared" si="35"/>
        <v>3</v>
      </c>
      <c r="G741" s="1">
        <v>44122</v>
      </c>
      <c r="H741" s="2">
        <v>0.5</v>
      </c>
      <c r="I741" s="2">
        <v>0.58333333333333337</v>
      </c>
      <c r="J741" t="s">
        <v>1891</v>
      </c>
      <c r="K741" t="s">
        <v>1891</v>
      </c>
      <c r="L741" t="s">
        <v>22</v>
      </c>
      <c r="M741" s="12" t="s">
        <v>18</v>
      </c>
      <c r="N741">
        <v>1</v>
      </c>
      <c r="O741">
        <v>0</v>
      </c>
      <c r="P741" t="s">
        <v>19</v>
      </c>
      <c r="Q741" s="6">
        <v>390000</v>
      </c>
      <c r="R741" t="str">
        <f t="shared" si="33"/>
        <v>Keji's 5 Star Short let Apartment in Lekki_x000C_</v>
      </c>
      <c r="S741" t="str">
        <f t="shared" si="34"/>
        <v>Keji's 5 Star Short let Apartment in Lekki</v>
      </c>
      <c r="T741">
        <f>Table1[[#This Row],[Adults]]+Table1[[#This Row],[Children]]</f>
        <v>1</v>
      </c>
      <c r="U741">
        <f>_xlfn.DAYS(Table1[[#This Row],[Depart]],Table1[[#This Row],[Arrive]])</f>
        <v>3</v>
      </c>
    </row>
    <row r="742" spans="1:21" x14ac:dyDescent="0.25">
      <c r="A742" t="s">
        <v>913</v>
      </c>
      <c r="B742" t="s">
        <v>914</v>
      </c>
      <c r="C742" t="s">
        <v>1173</v>
      </c>
      <c r="D742" s="1">
        <v>44137</v>
      </c>
      <c r="E742" s="1">
        <v>44138</v>
      </c>
      <c r="F742">
        <f t="shared" si="35"/>
        <v>1</v>
      </c>
      <c r="G742" s="1">
        <v>44128</v>
      </c>
      <c r="H742" s="2">
        <v>0.33333333333333331</v>
      </c>
      <c r="I742" s="3">
        <v>1</v>
      </c>
      <c r="J742" t="s">
        <v>1931</v>
      </c>
      <c r="K742" t="s">
        <v>1931</v>
      </c>
      <c r="L742" t="s">
        <v>22</v>
      </c>
      <c r="M742" s="12" t="s">
        <v>23</v>
      </c>
      <c r="N742">
        <v>5</v>
      </c>
      <c r="O742">
        <v>0</v>
      </c>
      <c r="P742" t="s">
        <v>19</v>
      </c>
      <c r="Q742" s="6">
        <v>129</v>
      </c>
      <c r="R742" t="str">
        <f t="shared" si="33"/>
        <v xml:space="preserve"> The Daniels 5 Star Short Let Apartment in Lekki_x000C_</v>
      </c>
      <c r="S742" t="str">
        <f t="shared" si="34"/>
        <v xml:space="preserve"> The Daniels 5 Star Short Let Apartment in Lekki</v>
      </c>
      <c r="T742">
        <f>Table1[[#This Row],[Adults]]+Table1[[#This Row],[Children]]</f>
        <v>5</v>
      </c>
      <c r="U742">
        <f>_xlfn.DAYS(Table1[[#This Row],[Depart]],Table1[[#This Row],[Arrive]])</f>
        <v>1</v>
      </c>
    </row>
    <row r="743" spans="1:21" x14ac:dyDescent="0.25">
      <c r="A743" t="s">
        <v>709</v>
      </c>
      <c r="B743" t="s">
        <v>710</v>
      </c>
      <c r="C743" t="s">
        <v>1175</v>
      </c>
      <c r="D743" s="1">
        <v>44137</v>
      </c>
      <c r="E743" s="1">
        <v>44143</v>
      </c>
      <c r="F743">
        <f t="shared" si="35"/>
        <v>6</v>
      </c>
      <c r="G743" s="1">
        <v>44089</v>
      </c>
      <c r="H743" s="2">
        <v>0.33333333333333331</v>
      </c>
      <c r="I743" s="2">
        <v>0.58333333333333337</v>
      </c>
      <c r="J743" t="s">
        <v>1954</v>
      </c>
      <c r="K743" t="s">
        <v>1954</v>
      </c>
      <c r="L743" t="s">
        <v>22</v>
      </c>
      <c r="M743" s="12" t="s">
        <v>23</v>
      </c>
      <c r="N743">
        <v>4</v>
      </c>
      <c r="O743">
        <v>0</v>
      </c>
      <c r="P743" t="s">
        <v>19</v>
      </c>
      <c r="Q743" s="6">
        <v>774</v>
      </c>
      <c r="R743" t="str">
        <f t="shared" si="33"/>
        <v>Keji's 5 Star Short let Apartment in Lekki_x000C_</v>
      </c>
      <c r="S743" t="str">
        <f t="shared" si="34"/>
        <v>Keji's 5 Star Short let Apartment in Lekki</v>
      </c>
      <c r="T743">
        <f>Table1[[#This Row],[Adults]]+Table1[[#This Row],[Children]]</f>
        <v>4</v>
      </c>
      <c r="U743">
        <f>_xlfn.DAYS(Table1[[#This Row],[Depart]],Table1[[#This Row],[Arrive]])</f>
        <v>6</v>
      </c>
    </row>
    <row r="744" spans="1:21" x14ac:dyDescent="0.25">
      <c r="A744" t="s">
        <v>977</v>
      </c>
      <c r="B744" t="s">
        <v>978</v>
      </c>
      <c r="C744" t="s">
        <v>1178</v>
      </c>
      <c r="D744" s="1">
        <v>44137</v>
      </c>
      <c r="E744" s="1">
        <v>44138</v>
      </c>
      <c r="F744">
        <f t="shared" si="35"/>
        <v>1</v>
      </c>
      <c r="G744" s="1">
        <v>44134</v>
      </c>
      <c r="H744" s="2">
        <v>0.58333333333333337</v>
      </c>
      <c r="I744" s="2">
        <v>0.45833333333333331</v>
      </c>
      <c r="J744" t="s">
        <v>1960</v>
      </c>
      <c r="K744" t="s">
        <v>1960</v>
      </c>
      <c r="L744" t="s">
        <v>26</v>
      </c>
      <c r="M744" s="12" t="s">
        <v>18</v>
      </c>
      <c r="N744">
        <v>1</v>
      </c>
      <c r="O744">
        <v>0</v>
      </c>
      <c r="P744" t="s">
        <v>19</v>
      </c>
      <c r="Q744" s="6">
        <v>119</v>
      </c>
      <c r="R744" t="str">
        <f t="shared" si="33"/>
        <v>Ope's 5 Star Short Let Apartment in Lekki_x000C_</v>
      </c>
      <c r="S744" t="str">
        <f t="shared" si="34"/>
        <v>Ope's 5 Star Short Let Apartment in Lekki</v>
      </c>
      <c r="T744">
        <f>Table1[[#This Row],[Adults]]+Table1[[#This Row],[Children]]</f>
        <v>1</v>
      </c>
      <c r="U744">
        <f>_xlfn.DAYS(Table1[[#This Row],[Depart]],Table1[[#This Row],[Arrive]])</f>
        <v>1</v>
      </c>
    </row>
    <row r="745" spans="1:21" x14ac:dyDescent="0.25">
      <c r="A745" t="s">
        <v>641</v>
      </c>
      <c r="B745" t="s">
        <v>642</v>
      </c>
      <c r="C745" t="s">
        <v>1178</v>
      </c>
      <c r="D745" s="1">
        <v>44137</v>
      </c>
      <c r="E745" s="1">
        <v>44140</v>
      </c>
      <c r="F745">
        <f t="shared" si="35"/>
        <v>3</v>
      </c>
      <c r="G745" s="1">
        <v>44135</v>
      </c>
      <c r="H745" s="2">
        <v>0.58333333333333337</v>
      </c>
      <c r="I745" s="2">
        <v>0.45833333333333331</v>
      </c>
      <c r="J745" t="s">
        <v>1969</v>
      </c>
      <c r="K745" t="s">
        <v>1969</v>
      </c>
      <c r="L745" t="s">
        <v>22</v>
      </c>
      <c r="M745" s="12" t="s">
        <v>18</v>
      </c>
      <c r="N745">
        <v>4</v>
      </c>
      <c r="O745">
        <v>0</v>
      </c>
      <c r="P745" t="s">
        <v>19</v>
      </c>
      <c r="Q745" s="6">
        <v>387</v>
      </c>
      <c r="R745" t="str">
        <f t="shared" si="33"/>
        <v>Ope's 5 Star Short Let Apartment in Lekki_x000C_</v>
      </c>
      <c r="S745" t="str">
        <f t="shared" si="34"/>
        <v>Ope's 5 Star Short Let Apartment in Lekki</v>
      </c>
      <c r="T745">
        <f>Table1[[#This Row],[Adults]]+Table1[[#This Row],[Children]]</f>
        <v>4</v>
      </c>
      <c r="U745">
        <f>_xlfn.DAYS(Table1[[#This Row],[Depart]],Table1[[#This Row],[Arrive]])</f>
        <v>3</v>
      </c>
    </row>
    <row r="746" spans="1:21" x14ac:dyDescent="0.25">
      <c r="A746" t="s">
        <v>641</v>
      </c>
      <c r="B746" t="s">
        <v>642</v>
      </c>
      <c r="C746" t="s">
        <v>1178</v>
      </c>
      <c r="D746" s="1">
        <v>44137</v>
      </c>
      <c r="E746" s="1">
        <v>44148</v>
      </c>
      <c r="F746">
        <f t="shared" si="35"/>
        <v>11</v>
      </c>
      <c r="G746" s="1">
        <v>44135</v>
      </c>
      <c r="H746" s="2">
        <v>0.58333333333333337</v>
      </c>
      <c r="I746" s="2">
        <v>0.45833333333333331</v>
      </c>
      <c r="J746" t="s">
        <v>2065</v>
      </c>
      <c r="K746" t="s">
        <v>2065</v>
      </c>
      <c r="L746" t="s">
        <v>22</v>
      </c>
      <c r="M746" s="12" t="s">
        <v>23</v>
      </c>
      <c r="N746">
        <v>6</v>
      </c>
      <c r="O746">
        <v>0</v>
      </c>
      <c r="P746" t="s">
        <v>19</v>
      </c>
      <c r="Q746" s="6">
        <v>1419</v>
      </c>
      <c r="R746" t="str">
        <f t="shared" si="33"/>
        <v>Ope's 5 Star Short Let Apartment in Lekki_x000C_</v>
      </c>
      <c r="S746" t="str">
        <f t="shared" si="34"/>
        <v>Ope's 5 Star Short Let Apartment in Lekki</v>
      </c>
      <c r="T746">
        <f>Table1[[#This Row],[Adults]]+Table1[[#This Row],[Children]]</f>
        <v>6</v>
      </c>
      <c r="U746">
        <f>_xlfn.DAYS(Table1[[#This Row],[Depart]],Table1[[#This Row],[Arrive]])</f>
        <v>11</v>
      </c>
    </row>
    <row r="747" spans="1:21" x14ac:dyDescent="0.25">
      <c r="A747" t="s">
        <v>1005</v>
      </c>
      <c r="B747" t="s">
        <v>1006</v>
      </c>
      <c r="C747" t="s">
        <v>1176</v>
      </c>
      <c r="D747" s="1">
        <v>44137</v>
      </c>
      <c r="E747" s="1">
        <v>44138</v>
      </c>
      <c r="F747">
        <f t="shared" si="35"/>
        <v>1</v>
      </c>
      <c r="G747" s="1">
        <v>44134</v>
      </c>
      <c r="H747" s="2">
        <v>0.58333333333333337</v>
      </c>
      <c r="I747" s="2">
        <v>0.45833333333333331</v>
      </c>
      <c r="J747" t="s">
        <v>2094</v>
      </c>
      <c r="K747" t="s">
        <v>2094</v>
      </c>
      <c r="L747" t="s">
        <v>22</v>
      </c>
      <c r="M747" s="12" t="s">
        <v>23</v>
      </c>
      <c r="N747">
        <v>5</v>
      </c>
      <c r="O747">
        <v>0</v>
      </c>
      <c r="P747" t="s">
        <v>19</v>
      </c>
      <c r="Q747" s="6">
        <v>213.93</v>
      </c>
      <c r="R747" t="str">
        <f t="shared" si="33"/>
        <v>Tiara's Luxury Home Away From Home_x000C_</v>
      </c>
      <c r="S747" t="str">
        <f t="shared" si="34"/>
        <v>Tiara's Luxury Home Away From Home</v>
      </c>
      <c r="T747">
        <f>Table1[[#This Row],[Adults]]+Table1[[#This Row],[Children]]</f>
        <v>5</v>
      </c>
      <c r="U747">
        <f>_xlfn.DAYS(Table1[[#This Row],[Depart]],Table1[[#This Row],[Arrive]])</f>
        <v>1</v>
      </c>
    </row>
    <row r="748" spans="1:21" x14ac:dyDescent="0.25">
      <c r="A748" t="s">
        <v>971</v>
      </c>
      <c r="B748" t="s">
        <v>972</v>
      </c>
      <c r="C748" t="s">
        <v>1178</v>
      </c>
      <c r="D748" s="1">
        <v>44138</v>
      </c>
      <c r="E748" s="1">
        <v>44139</v>
      </c>
      <c r="F748">
        <f t="shared" si="35"/>
        <v>1</v>
      </c>
      <c r="G748" s="1">
        <v>44134</v>
      </c>
      <c r="H748" s="2">
        <v>0.58333333333333337</v>
      </c>
      <c r="I748" s="2">
        <v>0.45833333333333331</v>
      </c>
      <c r="J748" t="s">
        <v>1957</v>
      </c>
      <c r="K748" t="s">
        <v>1957</v>
      </c>
      <c r="L748" t="s">
        <v>26</v>
      </c>
      <c r="M748" s="12" t="s">
        <v>18</v>
      </c>
      <c r="N748">
        <v>4</v>
      </c>
      <c r="O748">
        <v>0</v>
      </c>
      <c r="P748" t="s">
        <v>19</v>
      </c>
      <c r="Q748" s="6">
        <v>119</v>
      </c>
      <c r="R748" t="str">
        <f t="shared" si="33"/>
        <v>Ope's 5 Star Short Let Apartment in Lekki_x000C_</v>
      </c>
      <c r="S748" t="str">
        <f t="shared" si="34"/>
        <v>Ope's 5 Star Short Let Apartment in Lekki</v>
      </c>
      <c r="T748">
        <f>Table1[[#This Row],[Adults]]+Table1[[#This Row],[Children]]</f>
        <v>4</v>
      </c>
      <c r="U748">
        <f>_xlfn.DAYS(Table1[[#This Row],[Depart]],Table1[[#This Row],[Arrive]])</f>
        <v>1</v>
      </c>
    </row>
    <row r="749" spans="1:21" x14ac:dyDescent="0.25">
      <c r="A749" t="s">
        <v>979</v>
      </c>
      <c r="B749" t="s">
        <v>980</v>
      </c>
      <c r="C749" t="s">
        <v>1173</v>
      </c>
      <c r="D749" s="1">
        <v>44138</v>
      </c>
      <c r="E749" s="1">
        <v>44140</v>
      </c>
      <c r="F749">
        <f t="shared" si="35"/>
        <v>2</v>
      </c>
      <c r="G749" s="1">
        <v>44135</v>
      </c>
      <c r="H749" s="2">
        <v>0.33333333333333331</v>
      </c>
      <c r="I749" s="3">
        <v>1</v>
      </c>
      <c r="J749" t="s">
        <v>1961</v>
      </c>
      <c r="K749" t="s">
        <v>1961</v>
      </c>
      <c r="L749" t="s">
        <v>26</v>
      </c>
      <c r="M749" s="12" t="s">
        <v>18</v>
      </c>
      <c r="N749">
        <v>1</v>
      </c>
      <c r="O749">
        <v>0</v>
      </c>
      <c r="P749" t="s">
        <v>19</v>
      </c>
      <c r="Q749" s="6">
        <v>239</v>
      </c>
      <c r="R749" t="str">
        <f t="shared" si="33"/>
        <v xml:space="preserve"> The Daniels 5 Star Short Let Apartment in Lekki_x000C_</v>
      </c>
      <c r="S749" t="str">
        <f t="shared" si="34"/>
        <v xml:space="preserve"> The Daniels 5 Star Short Let Apartment in Lekki</v>
      </c>
      <c r="T749">
        <f>Table1[[#This Row],[Adults]]+Table1[[#This Row],[Children]]</f>
        <v>1</v>
      </c>
      <c r="U749">
        <f>_xlfn.DAYS(Table1[[#This Row],[Depart]],Table1[[#This Row],[Arrive]])</f>
        <v>2</v>
      </c>
    </row>
    <row r="750" spans="1:21" x14ac:dyDescent="0.25">
      <c r="A750" t="s">
        <v>166</v>
      </c>
      <c r="B750" t="s">
        <v>167</v>
      </c>
      <c r="C750" t="s">
        <v>1173</v>
      </c>
      <c r="D750" s="1">
        <v>44138</v>
      </c>
      <c r="E750" s="1">
        <v>44139</v>
      </c>
      <c r="F750">
        <f t="shared" si="35"/>
        <v>1</v>
      </c>
      <c r="G750" s="1">
        <v>44136</v>
      </c>
      <c r="H750" s="2">
        <v>0.33333333333333331</v>
      </c>
      <c r="I750" s="3">
        <v>1</v>
      </c>
      <c r="J750" t="s">
        <v>1963</v>
      </c>
      <c r="K750" t="s">
        <v>1963</v>
      </c>
      <c r="L750" t="s">
        <v>22</v>
      </c>
      <c r="M750" s="12" t="s">
        <v>23</v>
      </c>
      <c r="N750">
        <v>6</v>
      </c>
      <c r="O750">
        <v>0</v>
      </c>
      <c r="P750" t="s">
        <v>19</v>
      </c>
      <c r="Q750" s="6">
        <v>129</v>
      </c>
      <c r="R750" t="str">
        <f t="shared" si="33"/>
        <v xml:space="preserve"> The Daniels 5 Star Short Let Apartment in Lekki_x000C_</v>
      </c>
      <c r="S750" t="str">
        <f t="shared" si="34"/>
        <v xml:space="preserve"> The Daniels 5 Star Short Let Apartment in Lekki</v>
      </c>
      <c r="T750">
        <f>Table1[[#This Row],[Adults]]+Table1[[#This Row],[Children]]</f>
        <v>6</v>
      </c>
      <c r="U750">
        <f>_xlfn.DAYS(Table1[[#This Row],[Depart]],Table1[[#This Row],[Arrive]])</f>
        <v>1</v>
      </c>
    </row>
    <row r="751" spans="1:21" x14ac:dyDescent="0.25">
      <c r="A751" t="s">
        <v>697</v>
      </c>
      <c r="B751" t="s">
        <v>698</v>
      </c>
      <c r="C751" t="s">
        <v>1176</v>
      </c>
      <c r="D751" s="1">
        <v>44138</v>
      </c>
      <c r="E751" s="1">
        <v>44140</v>
      </c>
      <c r="F751">
        <f t="shared" si="35"/>
        <v>2</v>
      </c>
      <c r="G751" s="1">
        <v>44137</v>
      </c>
      <c r="H751" s="2">
        <v>0.58333333333333337</v>
      </c>
      <c r="I751" s="2">
        <v>0.45833333333333331</v>
      </c>
      <c r="J751" t="s">
        <v>1981</v>
      </c>
      <c r="K751" t="s">
        <v>1981</v>
      </c>
      <c r="L751" t="s">
        <v>22</v>
      </c>
      <c r="M751" s="12" t="s">
        <v>23</v>
      </c>
      <c r="N751">
        <v>4</v>
      </c>
      <c r="O751">
        <v>0</v>
      </c>
      <c r="P751" t="s">
        <v>19</v>
      </c>
      <c r="Q751" s="6">
        <v>427.85</v>
      </c>
      <c r="R751" t="str">
        <f t="shared" si="33"/>
        <v>Tiara's Luxury Home Away From Home_x000C_</v>
      </c>
      <c r="S751" t="str">
        <f t="shared" si="34"/>
        <v>Tiara's Luxury Home Away From Home</v>
      </c>
      <c r="T751">
        <f>Table1[[#This Row],[Adults]]+Table1[[#This Row],[Children]]</f>
        <v>4</v>
      </c>
      <c r="U751">
        <f>_xlfn.DAYS(Table1[[#This Row],[Depart]],Table1[[#This Row],[Arrive]])</f>
        <v>2</v>
      </c>
    </row>
    <row r="752" spans="1:21" x14ac:dyDescent="0.25">
      <c r="A752" t="s">
        <v>446</v>
      </c>
      <c r="B752" t="s">
        <v>447</v>
      </c>
      <c r="C752" t="s">
        <v>1173</v>
      </c>
      <c r="D752" s="1">
        <v>44139</v>
      </c>
      <c r="E752" s="1">
        <v>44140</v>
      </c>
      <c r="F752">
        <f t="shared" si="35"/>
        <v>1</v>
      </c>
      <c r="G752" s="1">
        <v>44136</v>
      </c>
      <c r="H752" s="2">
        <v>0.33333333333333331</v>
      </c>
      <c r="I752" s="3">
        <v>1</v>
      </c>
      <c r="J752" t="s">
        <v>1992</v>
      </c>
      <c r="K752" t="s">
        <v>1992</v>
      </c>
      <c r="L752" t="s">
        <v>22</v>
      </c>
      <c r="M752" s="12" t="s">
        <v>23</v>
      </c>
      <c r="N752">
        <v>6</v>
      </c>
      <c r="O752">
        <v>0</v>
      </c>
      <c r="P752" t="s">
        <v>19</v>
      </c>
      <c r="Q752" s="6">
        <v>129</v>
      </c>
      <c r="R752" t="str">
        <f t="shared" si="33"/>
        <v xml:space="preserve"> The Daniels 5 Star Short Let Apartment in Lekki_x000C_</v>
      </c>
      <c r="S752" t="str">
        <f t="shared" si="34"/>
        <v xml:space="preserve"> The Daniels 5 Star Short Let Apartment in Lekki</v>
      </c>
      <c r="T752">
        <f>Table1[[#This Row],[Adults]]+Table1[[#This Row],[Children]]</f>
        <v>6</v>
      </c>
      <c r="U752">
        <f>_xlfn.DAYS(Table1[[#This Row],[Depart]],Table1[[#This Row],[Arrive]])</f>
        <v>1</v>
      </c>
    </row>
    <row r="753" spans="1:21" x14ac:dyDescent="0.25">
      <c r="A753" t="s">
        <v>583</v>
      </c>
      <c r="B753" t="s">
        <v>584</v>
      </c>
      <c r="C753" t="s">
        <v>1180</v>
      </c>
      <c r="D753" s="1">
        <v>44139</v>
      </c>
      <c r="E753" s="1">
        <v>44141</v>
      </c>
      <c r="F753">
        <f t="shared" si="35"/>
        <v>2</v>
      </c>
      <c r="G753" s="1">
        <v>44139</v>
      </c>
      <c r="H753" s="2">
        <v>0.58333333333333337</v>
      </c>
      <c r="I753" s="2">
        <v>0.45833333333333331</v>
      </c>
      <c r="J753" t="s">
        <v>1993</v>
      </c>
      <c r="K753" t="s">
        <v>1993</v>
      </c>
      <c r="L753" t="s">
        <v>22</v>
      </c>
      <c r="M753" s="12" t="s">
        <v>23</v>
      </c>
      <c r="N753">
        <v>4</v>
      </c>
      <c r="O753">
        <v>0</v>
      </c>
      <c r="P753" t="s">
        <v>19</v>
      </c>
      <c r="Q753" s="6">
        <v>258</v>
      </c>
      <c r="R753" t="str">
        <f t="shared" si="33"/>
        <v>Zoe's 5 Star Short let Apartment in Lekki_x000C_</v>
      </c>
      <c r="S753" t="str">
        <f t="shared" si="34"/>
        <v>Zoe's 5 Star Short let Apartment in Lekki</v>
      </c>
      <c r="T753">
        <f>Table1[[#This Row],[Adults]]+Table1[[#This Row],[Children]]</f>
        <v>4</v>
      </c>
      <c r="U753">
        <f>_xlfn.DAYS(Table1[[#This Row],[Depart]],Table1[[#This Row],[Arrive]])</f>
        <v>2</v>
      </c>
    </row>
    <row r="754" spans="1:21" x14ac:dyDescent="0.25">
      <c r="A754" t="s">
        <v>967</v>
      </c>
      <c r="B754" t="s">
        <v>968</v>
      </c>
      <c r="C754" t="s">
        <v>1173</v>
      </c>
      <c r="D754" s="1">
        <v>44140</v>
      </c>
      <c r="E754" s="1">
        <v>44141</v>
      </c>
      <c r="F754">
        <f t="shared" si="35"/>
        <v>1</v>
      </c>
      <c r="G754" s="1">
        <v>44113</v>
      </c>
      <c r="H754" s="2">
        <v>0.33333333333333331</v>
      </c>
      <c r="I754" s="3">
        <v>1</v>
      </c>
      <c r="J754" t="s">
        <v>1955</v>
      </c>
      <c r="K754" t="s">
        <v>1955</v>
      </c>
      <c r="L754" t="s">
        <v>22</v>
      </c>
      <c r="M754" s="12" t="s">
        <v>23</v>
      </c>
      <c r="N754">
        <v>4</v>
      </c>
      <c r="O754">
        <v>0</v>
      </c>
      <c r="P754" t="s">
        <v>19</v>
      </c>
      <c r="Q754" s="6">
        <v>129</v>
      </c>
      <c r="R754" t="str">
        <f t="shared" si="33"/>
        <v xml:space="preserve"> The Daniels 5 Star Short Let Apartment in Lekki_x000C_</v>
      </c>
      <c r="S754" t="str">
        <f t="shared" si="34"/>
        <v xml:space="preserve"> The Daniels 5 Star Short Let Apartment in Lekki</v>
      </c>
      <c r="T754">
        <f>Table1[[#This Row],[Adults]]+Table1[[#This Row],[Children]]</f>
        <v>4</v>
      </c>
      <c r="U754">
        <f>_xlfn.DAYS(Table1[[#This Row],[Depart]],Table1[[#This Row],[Arrive]])</f>
        <v>1</v>
      </c>
    </row>
    <row r="755" spans="1:21" x14ac:dyDescent="0.25">
      <c r="A755" t="s">
        <v>967</v>
      </c>
      <c r="B755" t="s">
        <v>968</v>
      </c>
      <c r="C755" t="s">
        <v>1178</v>
      </c>
      <c r="D755" s="1">
        <v>44140</v>
      </c>
      <c r="E755" s="1">
        <v>44141</v>
      </c>
      <c r="F755">
        <f t="shared" si="35"/>
        <v>1</v>
      </c>
      <c r="G755" s="1">
        <v>44113</v>
      </c>
      <c r="H755" s="2">
        <v>0.58333333333333337</v>
      </c>
      <c r="I755" s="2">
        <v>0.45833333333333331</v>
      </c>
      <c r="J755" t="s">
        <v>1968</v>
      </c>
      <c r="K755" t="s">
        <v>1968</v>
      </c>
      <c r="L755" t="s">
        <v>22</v>
      </c>
      <c r="M755" s="12" t="s">
        <v>18</v>
      </c>
      <c r="N755">
        <v>8</v>
      </c>
      <c r="O755">
        <v>0</v>
      </c>
      <c r="P755" t="s">
        <v>19</v>
      </c>
      <c r="Q755" s="6">
        <v>172</v>
      </c>
      <c r="R755" t="str">
        <f t="shared" si="33"/>
        <v>Ope's 5 Star Short Let Apartment in Lekki_x000C_</v>
      </c>
      <c r="S755" t="str">
        <f t="shared" si="34"/>
        <v>Ope's 5 Star Short Let Apartment in Lekki</v>
      </c>
      <c r="T755">
        <f>Table1[[#This Row],[Adults]]+Table1[[#This Row],[Children]]</f>
        <v>8</v>
      </c>
      <c r="U755">
        <f>_xlfn.DAYS(Table1[[#This Row],[Depart]],Table1[[#This Row],[Arrive]])</f>
        <v>1</v>
      </c>
    </row>
    <row r="756" spans="1:21" x14ac:dyDescent="0.25">
      <c r="A756" t="s">
        <v>543</v>
      </c>
      <c r="B756" t="s">
        <v>544</v>
      </c>
      <c r="C756" t="s">
        <v>1176</v>
      </c>
      <c r="D756" s="1">
        <v>44140</v>
      </c>
      <c r="E756" s="1">
        <v>44141</v>
      </c>
      <c r="F756">
        <f t="shared" si="35"/>
        <v>1</v>
      </c>
      <c r="G756" s="1">
        <v>44138</v>
      </c>
      <c r="H756" s="2">
        <v>0.58333333333333337</v>
      </c>
      <c r="I756" s="2">
        <v>0.45833333333333331</v>
      </c>
      <c r="J756" t="s">
        <v>1974</v>
      </c>
      <c r="K756" t="s">
        <v>1974</v>
      </c>
      <c r="L756" t="s">
        <v>22</v>
      </c>
      <c r="M756" s="12" t="s">
        <v>23</v>
      </c>
      <c r="N756">
        <v>6</v>
      </c>
      <c r="O756">
        <v>0</v>
      </c>
      <c r="P756" t="s">
        <v>19</v>
      </c>
      <c r="Q756" s="6">
        <v>213.93</v>
      </c>
      <c r="R756" t="str">
        <f t="shared" si="33"/>
        <v>Tiara's Luxury Home Away From Home_x000C_</v>
      </c>
      <c r="S756" t="str">
        <f t="shared" si="34"/>
        <v>Tiara's Luxury Home Away From Home</v>
      </c>
      <c r="T756">
        <f>Table1[[#This Row],[Adults]]+Table1[[#This Row],[Children]]</f>
        <v>6</v>
      </c>
      <c r="U756">
        <f>_xlfn.DAYS(Table1[[#This Row],[Depart]],Table1[[#This Row],[Arrive]])</f>
        <v>1</v>
      </c>
    </row>
    <row r="757" spans="1:21" x14ac:dyDescent="0.25">
      <c r="A757" t="s">
        <v>1005</v>
      </c>
      <c r="B757" t="s">
        <v>1006</v>
      </c>
      <c r="C757" t="s">
        <v>1180</v>
      </c>
      <c r="D757" s="1">
        <v>44140</v>
      </c>
      <c r="E757" s="1">
        <v>44141</v>
      </c>
      <c r="F757">
        <f t="shared" si="35"/>
        <v>1</v>
      </c>
      <c r="G757" s="1">
        <v>44110</v>
      </c>
      <c r="H757" s="2">
        <v>0.58333333333333337</v>
      </c>
      <c r="I757" s="2">
        <v>0.45833333333333331</v>
      </c>
      <c r="J757" t="s">
        <v>1991</v>
      </c>
      <c r="K757" t="s">
        <v>1991</v>
      </c>
      <c r="L757" t="s">
        <v>22</v>
      </c>
      <c r="M757" s="12" t="s">
        <v>18</v>
      </c>
      <c r="N757">
        <v>6</v>
      </c>
      <c r="O757">
        <v>0</v>
      </c>
      <c r="P757" t="s">
        <v>19</v>
      </c>
      <c r="Q757" s="6">
        <v>129</v>
      </c>
      <c r="R757" t="str">
        <f t="shared" si="33"/>
        <v>Zoe's 5 Star Short let Apartment in Lekki_x000C_</v>
      </c>
      <c r="S757" t="str">
        <f t="shared" si="34"/>
        <v>Zoe's 5 Star Short let Apartment in Lekki</v>
      </c>
      <c r="T757">
        <f>Table1[[#This Row],[Adults]]+Table1[[#This Row],[Children]]</f>
        <v>6</v>
      </c>
      <c r="U757">
        <f>_xlfn.DAYS(Table1[[#This Row],[Depart]],Table1[[#This Row],[Arrive]])</f>
        <v>1</v>
      </c>
    </row>
    <row r="758" spans="1:21" x14ac:dyDescent="0.25">
      <c r="A758" t="s">
        <v>847</v>
      </c>
      <c r="B758" t="s">
        <v>848</v>
      </c>
      <c r="C758" t="s">
        <v>1177</v>
      </c>
      <c r="D758" s="1">
        <v>44140</v>
      </c>
      <c r="E758" s="1">
        <v>44169</v>
      </c>
      <c r="F758">
        <f t="shared" si="35"/>
        <v>29</v>
      </c>
      <c r="G758" s="1">
        <v>44116</v>
      </c>
      <c r="H758" s="2">
        <v>0.58333333333333337</v>
      </c>
      <c r="I758" s="2">
        <v>0.5</v>
      </c>
      <c r="J758" t="s">
        <v>1994</v>
      </c>
      <c r="K758" t="s">
        <v>1994</v>
      </c>
      <c r="L758" t="s">
        <v>22</v>
      </c>
      <c r="M758" s="12" t="s">
        <v>23</v>
      </c>
      <c r="N758">
        <v>4</v>
      </c>
      <c r="O758">
        <v>0</v>
      </c>
      <c r="P758" t="s">
        <v>19</v>
      </c>
      <c r="Q758" s="6">
        <v>6203.82</v>
      </c>
      <c r="R758" t="str">
        <f t="shared" si="33"/>
        <v>Achikare 's Luxury Home Away from Home_x000C_</v>
      </c>
      <c r="S758" t="str">
        <f t="shared" si="34"/>
        <v>Achikare 's Luxury Home Away from Home</v>
      </c>
      <c r="T758">
        <f>Table1[[#This Row],[Adults]]+Table1[[#This Row],[Children]]</f>
        <v>4</v>
      </c>
      <c r="U758">
        <f>_xlfn.DAYS(Table1[[#This Row],[Depart]],Table1[[#This Row],[Arrive]])</f>
        <v>29</v>
      </c>
    </row>
    <row r="759" spans="1:21" x14ac:dyDescent="0.25">
      <c r="A759" t="s">
        <v>803</v>
      </c>
      <c r="B759" t="s">
        <v>804</v>
      </c>
      <c r="C759" t="s">
        <v>1179</v>
      </c>
      <c r="D759" s="1">
        <v>44141</v>
      </c>
      <c r="E759" s="1">
        <v>44143</v>
      </c>
      <c r="F759">
        <f t="shared" si="35"/>
        <v>2</v>
      </c>
      <c r="G759" s="1">
        <v>44096</v>
      </c>
      <c r="H759" s="2">
        <v>0.33333333333333331</v>
      </c>
      <c r="I759" s="3">
        <v>1</v>
      </c>
      <c r="J759" t="s">
        <v>1799</v>
      </c>
      <c r="K759" t="s">
        <v>1799</v>
      </c>
      <c r="L759" t="s">
        <v>22</v>
      </c>
      <c r="M759" s="12" t="s">
        <v>18</v>
      </c>
      <c r="N759">
        <v>4</v>
      </c>
      <c r="O759">
        <v>0</v>
      </c>
      <c r="P759" t="s">
        <v>19</v>
      </c>
      <c r="Q759" s="6">
        <v>258</v>
      </c>
      <c r="R759" t="str">
        <f t="shared" si="33"/>
        <v>Phiola's 5 Star Short Let Apartment in Lekki_x000C_</v>
      </c>
      <c r="S759" t="str">
        <f t="shared" si="34"/>
        <v>Phiola's 5 Star Short Let Apartment in Lekki</v>
      </c>
      <c r="T759">
        <f>Table1[[#This Row],[Adults]]+Table1[[#This Row],[Children]]</f>
        <v>4</v>
      </c>
      <c r="U759">
        <f>_xlfn.DAYS(Table1[[#This Row],[Depart]],Table1[[#This Row],[Arrive]])</f>
        <v>2</v>
      </c>
    </row>
    <row r="760" spans="1:21" x14ac:dyDescent="0.25">
      <c r="A760" t="s">
        <v>939</v>
      </c>
      <c r="B760" t="s">
        <v>940</v>
      </c>
      <c r="C760" t="s">
        <v>1176</v>
      </c>
      <c r="D760" s="1">
        <v>44141</v>
      </c>
      <c r="E760" s="1">
        <v>44143</v>
      </c>
      <c r="F760">
        <f t="shared" si="35"/>
        <v>2</v>
      </c>
      <c r="G760" s="1">
        <v>44126</v>
      </c>
      <c r="H760" s="2">
        <v>0.58333333333333337</v>
      </c>
      <c r="I760" s="2">
        <v>0.45833333333333331</v>
      </c>
      <c r="J760" t="s">
        <v>1907</v>
      </c>
      <c r="K760" t="s">
        <v>1907</v>
      </c>
      <c r="L760" t="s">
        <v>26</v>
      </c>
      <c r="M760" s="12" t="s">
        <v>23</v>
      </c>
      <c r="N760">
        <v>7</v>
      </c>
      <c r="O760">
        <v>0</v>
      </c>
      <c r="P760" t="s">
        <v>19</v>
      </c>
      <c r="Q760" s="6">
        <v>449.35</v>
      </c>
      <c r="R760" t="str">
        <f t="shared" si="33"/>
        <v>Tiara's Luxury Home Away From Home_x000C_</v>
      </c>
      <c r="S760" t="str">
        <f t="shared" si="34"/>
        <v>Tiara's Luxury Home Away From Home</v>
      </c>
      <c r="T760">
        <f>Table1[[#This Row],[Adults]]+Table1[[#This Row],[Children]]</f>
        <v>7</v>
      </c>
      <c r="U760">
        <f>_xlfn.DAYS(Table1[[#This Row],[Depart]],Table1[[#This Row],[Arrive]])</f>
        <v>2</v>
      </c>
    </row>
    <row r="761" spans="1:21" x14ac:dyDescent="0.25">
      <c r="A761" t="s">
        <v>803</v>
      </c>
      <c r="B761" t="s">
        <v>804</v>
      </c>
      <c r="C761" t="s">
        <v>1180</v>
      </c>
      <c r="D761" s="1">
        <v>44141</v>
      </c>
      <c r="E761" s="1">
        <v>44143</v>
      </c>
      <c r="F761">
        <f t="shared" si="35"/>
        <v>2</v>
      </c>
      <c r="G761" s="1">
        <v>44096</v>
      </c>
      <c r="H761" s="2">
        <v>0.58333333333333337</v>
      </c>
      <c r="I761" s="2">
        <v>0.45833333333333331</v>
      </c>
      <c r="J761" t="s">
        <v>1948</v>
      </c>
      <c r="K761" t="s">
        <v>1948</v>
      </c>
      <c r="L761" t="s">
        <v>22</v>
      </c>
      <c r="M761" s="12" t="s">
        <v>18</v>
      </c>
      <c r="N761">
        <v>4</v>
      </c>
      <c r="O761">
        <v>0</v>
      </c>
      <c r="P761" t="s">
        <v>19</v>
      </c>
      <c r="Q761" s="6">
        <v>258</v>
      </c>
      <c r="R761" t="str">
        <f t="shared" si="33"/>
        <v>Zoe's 5 Star Short let Apartment in Lekki_x000C_</v>
      </c>
      <c r="S761" t="str">
        <f t="shared" si="34"/>
        <v>Zoe's 5 Star Short let Apartment in Lekki</v>
      </c>
      <c r="T761">
        <f>Table1[[#This Row],[Adults]]+Table1[[#This Row],[Children]]</f>
        <v>4</v>
      </c>
      <c r="U761">
        <f>_xlfn.DAYS(Table1[[#This Row],[Depart]],Table1[[#This Row],[Arrive]])</f>
        <v>2</v>
      </c>
    </row>
    <row r="762" spans="1:21" x14ac:dyDescent="0.25">
      <c r="A762" t="s">
        <v>1023</v>
      </c>
      <c r="B762" t="s">
        <v>1024</v>
      </c>
      <c r="C762" t="s">
        <v>1180</v>
      </c>
      <c r="D762" s="1">
        <v>44141</v>
      </c>
      <c r="E762" s="1">
        <v>44142</v>
      </c>
      <c r="F762">
        <f t="shared" si="35"/>
        <v>1</v>
      </c>
      <c r="G762" s="1">
        <v>44135</v>
      </c>
      <c r="H762" s="2">
        <v>0.58333333333333337</v>
      </c>
      <c r="I762" s="2">
        <v>0.45833333333333331</v>
      </c>
      <c r="J762" t="s">
        <v>2020</v>
      </c>
      <c r="K762" t="s">
        <v>2020</v>
      </c>
      <c r="L762" t="s">
        <v>22</v>
      </c>
      <c r="M762" s="12" t="s">
        <v>18</v>
      </c>
      <c r="N762">
        <v>6</v>
      </c>
      <c r="O762">
        <v>0</v>
      </c>
      <c r="P762" t="s">
        <v>19</v>
      </c>
      <c r="Q762" s="6">
        <v>129</v>
      </c>
      <c r="R762" t="str">
        <f t="shared" si="33"/>
        <v>Zoe's 5 Star Short let Apartment in Lekki_x000C_</v>
      </c>
      <c r="S762" t="str">
        <f t="shared" si="34"/>
        <v>Zoe's 5 Star Short let Apartment in Lekki</v>
      </c>
      <c r="T762">
        <f>Table1[[#This Row],[Adults]]+Table1[[#This Row],[Children]]</f>
        <v>6</v>
      </c>
      <c r="U762">
        <f>_xlfn.DAYS(Table1[[#This Row],[Depart]],Table1[[#This Row],[Arrive]])</f>
        <v>1</v>
      </c>
    </row>
    <row r="763" spans="1:21" x14ac:dyDescent="0.25">
      <c r="A763" t="s">
        <v>621</v>
      </c>
      <c r="B763" t="s">
        <v>622</v>
      </c>
      <c r="C763" t="s">
        <v>1180</v>
      </c>
      <c r="D763" s="1">
        <v>44141</v>
      </c>
      <c r="E763" s="1">
        <v>44143</v>
      </c>
      <c r="F763">
        <f t="shared" si="35"/>
        <v>2</v>
      </c>
      <c r="G763" s="1">
        <v>44138</v>
      </c>
      <c r="H763" s="2">
        <v>0.58333333333333337</v>
      </c>
      <c r="I763" s="2">
        <v>0.45833333333333331</v>
      </c>
      <c r="J763" t="s">
        <v>2021</v>
      </c>
      <c r="K763" t="s">
        <v>2021</v>
      </c>
      <c r="L763" t="s">
        <v>22</v>
      </c>
      <c r="M763" s="12" t="s">
        <v>23</v>
      </c>
      <c r="N763">
        <v>6</v>
      </c>
      <c r="O763">
        <v>0</v>
      </c>
      <c r="P763" t="s">
        <v>19</v>
      </c>
      <c r="Q763" s="6">
        <v>258</v>
      </c>
      <c r="R763" t="str">
        <f t="shared" si="33"/>
        <v>Zoe's 5 Star Short let Apartment in Lekki_x000C_</v>
      </c>
      <c r="S763" t="str">
        <f t="shared" si="34"/>
        <v>Zoe's 5 Star Short let Apartment in Lekki</v>
      </c>
      <c r="T763">
        <f>Table1[[#This Row],[Adults]]+Table1[[#This Row],[Children]]</f>
        <v>6</v>
      </c>
      <c r="U763">
        <f>_xlfn.DAYS(Table1[[#This Row],[Depart]],Table1[[#This Row],[Arrive]])</f>
        <v>2</v>
      </c>
    </row>
    <row r="764" spans="1:21" x14ac:dyDescent="0.25">
      <c r="A764" t="s">
        <v>985</v>
      </c>
      <c r="B764" t="s">
        <v>986</v>
      </c>
      <c r="C764" t="s">
        <v>1180</v>
      </c>
      <c r="D764" s="1">
        <v>44142</v>
      </c>
      <c r="E764" s="1">
        <v>44143</v>
      </c>
      <c r="F764">
        <f t="shared" si="35"/>
        <v>1</v>
      </c>
      <c r="G764" s="1">
        <v>44135</v>
      </c>
      <c r="H764" s="2">
        <v>0.58333333333333337</v>
      </c>
      <c r="I764" s="2">
        <v>0.45833333333333331</v>
      </c>
      <c r="J764" t="s">
        <v>1972</v>
      </c>
      <c r="K764" t="s">
        <v>1972</v>
      </c>
      <c r="L764" t="s">
        <v>22</v>
      </c>
      <c r="M764" s="12" t="s">
        <v>18</v>
      </c>
      <c r="N764">
        <v>8</v>
      </c>
      <c r="O764">
        <v>0</v>
      </c>
      <c r="P764" t="s">
        <v>19</v>
      </c>
      <c r="Q764" s="6">
        <v>161.25</v>
      </c>
      <c r="R764" t="str">
        <f t="shared" si="33"/>
        <v>Zoe's 5 Star Short let Apartment in Lekki_x000C_</v>
      </c>
      <c r="S764" t="str">
        <f t="shared" si="34"/>
        <v>Zoe's 5 Star Short let Apartment in Lekki</v>
      </c>
      <c r="T764">
        <f>Table1[[#This Row],[Adults]]+Table1[[#This Row],[Children]]</f>
        <v>8</v>
      </c>
      <c r="U764">
        <f>_xlfn.DAYS(Table1[[#This Row],[Depart]],Table1[[#This Row],[Arrive]])</f>
        <v>1</v>
      </c>
    </row>
    <row r="765" spans="1:21" x14ac:dyDescent="0.25">
      <c r="A765" t="s">
        <v>963</v>
      </c>
      <c r="B765" t="s">
        <v>964</v>
      </c>
      <c r="C765" t="s">
        <v>1178</v>
      </c>
      <c r="D765" s="1">
        <v>44143</v>
      </c>
      <c r="E765" s="1">
        <v>44144</v>
      </c>
      <c r="F765">
        <f t="shared" si="35"/>
        <v>1</v>
      </c>
      <c r="G765" s="1">
        <v>44134</v>
      </c>
      <c r="H765" s="2">
        <v>0.58333333333333337</v>
      </c>
      <c r="I765" s="2">
        <v>0.45833333333333331</v>
      </c>
      <c r="J765" t="s">
        <v>1952</v>
      </c>
      <c r="K765" t="s">
        <v>1952</v>
      </c>
      <c r="L765" t="s">
        <v>26</v>
      </c>
      <c r="M765" s="12" t="s">
        <v>18</v>
      </c>
      <c r="N765">
        <v>1</v>
      </c>
      <c r="O765">
        <v>0</v>
      </c>
      <c r="P765" t="s">
        <v>19</v>
      </c>
      <c r="Q765" s="6">
        <v>120</v>
      </c>
      <c r="R765" t="str">
        <f t="shared" si="33"/>
        <v>Ope's 5 Star Short Let Apartment in Lekki_x000C_</v>
      </c>
      <c r="S765" t="str">
        <f t="shared" si="34"/>
        <v>Ope's 5 Star Short Let Apartment in Lekki</v>
      </c>
      <c r="T765">
        <f>Table1[[#This Row],[Adults]]+Table1[[#This Row],[Children]]</f>
        <v>1</v>
      </c>
      <c r="U765">
        <f>_xlfn.DAYS(Table1[[#This Row],[Depart]],Table1[[#This Row],[Arrive]])</f>
        <v>1</v>
      </c>
    </row>
    <row r="766" spans="1:21" x14ac:dyDescent="0.25">
      <c r="A766" t="s">
        <v>985</v>
      </c>
      <c r="B766" t="s">
        <v>986</v>
      </c>
      <c r="C766" t="s">
        <v>1175</v>
      </c>
      <c r="D766" s="1">
        <v>44143</v>
      </c>
      <c r="E766" s="1">
        <v>44146</v>
      </c>
      <c r="F766">
        <f t="shared" si="35"/>
        <v>3</v>
      </c>
      <c r="G766" s="1">
        <v>44135</v>
      </c>
      <c r="H766" s="2">
        <v>0.5</v>
      </c>
      <c r="I766" s="2">
        <v>0.58333333333333337</v>
      </c>
      <c r="J766" t="s">
        <v>1977</v>
      </c>
      <c r="K766" t="s">
        <v>1977</v>
      </c>
      <c r="L766" t="s">
        <v>22</v>
      </c>
      <c r="M766" s="12" t="s">
        <v>18</v>
      </c>
      <c r="N766">
        <v>8</v>
      </c>
      <c r="O766">
        <v>0</v>
      </c>
      <c r="P766" t="s">
        <v>19</v>
      </c>
      <c r="Q766" s="6">
        <v>516</v>
      </c>
      <c r="R766" t="str">
        <f t="shared" si="33"/>
        <v>Keji's 5 Star Short let Apartment in Lekki_x000C_</v>
      </c>
      <c r="S766" t="str">
        <f t="shared" si="34"/>
        <v>Keji's 5 Star Short let Apartment in Lekki</v>
      </c>
      <c r="T766">
        <f>Table1[[#This Row],[Adults]]+Table1[[#This Row],[Children]]</f>
        <v>8</v>
      </c>
      <c r="U766">
        <f>_xlfn.DAYS(Table1[[#This Row],[Depart]],Table1[[#This Row],[Arrive]])</f>
        <v>3</v>
      </c>
    </row>
    <row r="767" spans="1:21" x14ac:dyDescent="0.25">
      <c r="A767" t="s">
        <v>621</v>
      </c>
      <c r="B767" t="s">
        <v>622</v>
      </c>
      <c r="C767" t="s">
        <v>1175</v>
      </c>
      <c r="D767" s="1">
        <v>44143</v>
      </c>
      <c r="E767" s="1">
        <v>44144</v>
      </c>
      <c r="F767">
        <f t="shared" si="35"/>
        <v>1</v>
      </c>
      <c r="G767" s="1">
        <v>44138</v>
      </c>
      <c r="H767" s="2">
        <v>0.5</v>
      </c>
      <c r="I767" s="2">
        <v>0.58333333333333337</v>
      </c>
      <c r="J767" t="s">
        <v>1983</v>
      </c>
      <c r="K767" t="s">
        <v>1983</v>
      </c>
      <c r="L767" t="s">
        <v>22</v>
      </c>
      <c r="M767" s="12" t="s">
        <v>23</v>
      </c>
      <c r="N767">
        <v>5</v>
      </c>
      <c r="O767">
        <v>0</v>
      </c>
      <c r="P767" t="s">
        <v>19</v>
      </c>
      <c r="Q767" s="6">
        <v>129</v>
      </c>
      <c r="R767" t="str">
        <f t="shared" si="33"/>
        <v>Keji's 5 Star Short let Apartment in Lekki_x000C_</v>
      </c>
      <c r="S767" t="str">
        <f t="shared" si="34"/>
        <v>Keji's 5 Star Short let Apartment in Lekki</v>
      </c>
      <c r="T767">
        <f>Table1[[#This Row],[Adults]]+Table1[[#This Row],[Children]]</f>
        <v>5</v>
      </c>
      <c r="U767">
        <f>_xlfn.DAYS(Table1[[#This Row],[Depart]],Table1[[#This Row],[Arrive]])</f>
        <v>1</v>
      </c>
    </row>
    <row r="768" spans="1:21" x14ac:dyDescent="0.25">
      <c r="A768" t="s">
        <v>1089</v>
      </c>
      <c r="B768" t="s">
        <v>1090</v>
      </c>
      <c r="C768" t="s">
        <v>1176</v>
      </c>
      <c r="D768" s="1">
        <v>44143</v>
      </c>
      <c r="E768" s="1">
        <v>44144</v>
      </c>
      <c r="F768">
        <f t="shared" si="35"/>
        <v>1</v>
      </c>
      <c r="G768" s="1">
        <v>44131</v>
      </c>
      <c r="H768" s="2">
        <v>0.58333333333333337</v>
      </c>
      <c r="I768" s="2">
        <v>0.45833333333333331</v>
      </c>
      <c r="J768" t="s">
        <v>2093</v>
      </c>
      <c r="K768" t="s">
        <v>2093</v>
      </c>
      <c r="L768" t="s">
        <v>22</v>
      </c>
      <c r="M768" s="12" t="s">
        <v>23</v>
      </c>
      <c r="N768">
        <v>6</v>
      </c>
      <c r="O768">
        <v>0</v>
      </c>
      <c r="P768" t="s">
        <v>19</v>
      </c>
      <c r="Q768" s="6">
        <v>213.93</v>
      </c>
      <c r="R768" t="str">
        <f t="shared" si="33"/>
        <v>Tiara's Luxury Home Away From Home_x000C_</v>
      </c>
      <c r="S768" t="str">
        <f t="shared" si="34"/>
        <v>Tiara's Luxury Home Away From Home</v>
      </c>
      <c r="T768">
        <f>Table1[[#This Row],[Adults]]+Table1[[#This Row],[Children]]</f>
        <v>6</v>
      </c>
      <c r="U768">
        <f>_xlfn.DAYS(Table1[[#This Row],[Depart]],Table1[[#This Row],[Arrive]])</f>
        <v>1</v>
      </c>
    </row>
    <row r="769" spans="1:21" x14ac:dyDescent="0.25">
      <c r="A769" t="s">
        <v>985</v>
      </c>
      <c r="B769" t="s">
        <v>986</v>
      </c>
      <c r="C769" t="s">
        <v>1180</v>
      </c>
      <c r="D769" s="1">
        <v>44144</v>
      </c>
      <c r="E769" s="1">
        <v>44146</v>
      </c>
      <c r="F769">
        <f t="shared" si="35"/>
        <v>2</v>
      </c>
      <c r="G769" s="1">
        <v>44135</v>
      </c>
      <c r="H769" s="2">
        <v>0.58333333333333337</v>
      </c>
      <c r="I769" s="2">
        <v>0.45833333333333331</v>
      </c>
      <c r="J769" t="s">
        <v>1973</v>
      </c>
      <c r="K769" t="s">
        <v>1973</v>
      </c>
      <c r="L769" t="s">
        <v>22</v>
      </c>
      <c r="M769" s="12" t="s">
        <v>18</v>
      </c>
      <c r="N769">
        <v>7</v>
      </c>
      <c r="O769">
        <v>0</v>
      </c>
      <c r="P769" t="s">
        <v>19</v>
      </c>
      <c r="Q769" s="6">
        <v>290.25</v>
      </c>
      <c r="R769" t="str">
        <f t="shared" si="33"/>
        <v>Zoe's 5 Star Short let Apartment in Lekki_x000C_</v>
      </c>
      <c r="S769" t="str">
        <f t="shared" si="34"/>
        <v>Zoe's 5 Star Short let Apartment in Lekki</v>
      </c>
      <c r="T769">
        <f>Table1[[#This Row],[Adults]]+Table1[[#This Row],[Children]]</f>
        <v>7</v>
      </c>
      <c r="U769">
        <f>_xlfn.DAYS(Table1[[#This Row],[Depart]],Table1[[#This Row],[Arrive]])</f>
        <v>2</v>
      </c>
    </row>
    <row r="770" spans="1:21" x14ac:dyDescent="0.25">
      <c r="A770" t="s">
        <v>1017</v>
      </c>
      <c r="B770" t="s">
        <v>1018</v>
      </c>
      <c r="C770" t="s">
        <v>1180</v>
      </c>
      <c r="D770" s="1">
        <v>44144</v>
      </c>
      <c r="E770" s="1">
        <v>44145</v>
      </c>
      <c r="F770">
        <f t="shared" si="35"/>
        <v>1</v>
      </c>
      <c r="G770" s="1">
        <v>44141</v>
      </c>
      <c r="H770" s="2">
        <v>0.58333333333333337</v>
      </c>
      <c r="I770" s="2">
        <v>0.45833333333333331</v>
      </c>
      <c r="J770" t="s">
        <v>2016</v>
      </c>
      <c r="K770" t="s">
        <v>2016</v>
      </c>
      <c r="L770" t="s">
        <v>22</v>
      </c>
      <c r="M770" s="12" t="s">
        <v>23</v>
      </c>
      <c r="N770">
        <v>4</v>
      </c>
      <c r="O770">
        <v>0</v>
      </c>
      <c r="P770" t="s">
        <v>19</v>
      </c>
      <c r="Q770" s="6">
        <v>129</v>
      </c>
      <c r="R770" t="str">
        <f t="shared" ref="R770:R833" si="36">SUBSTITUTE(C:C,"?","'")</f>
        <v>Zoe's 5 Star Short let Apartment in Lekki_x000C_</v>
      </c>
      <c r="S770" t="str">
        <f t="shared" ref="S770:S833" si="37">CLEAN(R:R)</f>
        <v>Zoe's 5 Star Short let Apartment in Lekki</v>
      </c>
      <c r="T770">
        <f>Table1[[#This Row],[Adults]]+Table1[[#This Row],[Children]]</f>
        <v>4</v>
      </c>
      <c r="U770">
        <f>_xlfn.DAYS(Table1[[#This Row],[Depart]],Table1[[#This Row],[Arrive]])</f>
        <v>1</v>
      </c>
    </row>
    <row r="771" spans="1:21" x14ac:dyDescent="0.25">
      <c r="A771" t="s">
        <v>1005</v>
      </c>
      <c r="B771" t="s">
        <v>1006</v>
      </c>
      <c r="C771" t="s">
        <v>1176</v>
      </c>
      <c r="D771" s="1">
        <v>44144</v>
      </c>
      <c r="E771" s="1">
        <v>44146</v>
      </c>
      <c r="F771">
        <f t="shared" ref="F771:F834" si="38">_xlfn.DAYS(E771,D771)</f>
        <v>2</v>
      </c>
      <c r="G771" s="1">
        <v>44138</v>
      </c>
      <c r="H771" s="2">
        <v>0.58333333333333337</v>
      </c>
      <c r="I771" s="2">
        <v>0.45833333333333331</v>
      </c>
      <c r="J771" t="s">
        <v>2017</v>
      </c>
      <c r="K771" t="s">
        <v>2017</v>
      </c>
      <c r="L771" t="s">
        <v>22</v>
      </c>
      <c r="M771" s="12" t="s">
        <v>18</v>
      </c>
      <c r="N771">
        <v>3</v>
      </c>
      <c r="O771">
        <v>0</v>
      </c>
      <c r="P771" t="s">
        <v>19</v>
      </c>
      <c r="Q771" s="6">
        <v>427.85</v>
      </c>
      <c r="R771" t="str">
        <f t="shared" si="36"/>
        <v>Tiara's Luxury Home Away From Home_x000C_</v>
      </c>
      <c r="S771" t="str">
        <f t="shared" si="37"/>
        <v>Tiara's Luxury Home Away From Home</v>
      </c>
      <c r="T771">
        <f>Table1[[#This Row],[Adults]]+Table1[[#This Row],[Children]]</f>
        <v>3</v>
      </c>
      <c r="U771">
        <f>_xlfn.DAYS(Table1[[#This Row],[Depart]],Table1[[#This Row],[Arrive]])</f>
        <v>2</v>
      </c>
    </row>
    <row r="772" spans="1:21" x14ac:dyDescent="0.25">
      <c r="A772" t="s">
        <v>1021</v>
      </c>
      <c r="B772" t="s">
        <v>1022</v>
      </c>
      <c r="C772" t="s">
        <v>1176</v>
      </c>
      <c r="D772" s="1">
        <v>44144</v>
      </c>
      <c r="E772" s="1">
        <v>44149</v>
      </c>
      <c r="F772">
        <f t="shared" si="38"/>
        <v>5</v>
      </c>
      <c r="G772" s="1">
        <v>44141</v>
      </c>
      <c r="H772" s="2">
        <v>0.58333333333333337</v>
      </c>
      <c r="I772" s="2">
        <v>0.45833333333333331</v>
      </c>
      <c r="J772" t="s">
        <v>2019</v>
      </c>
      <c r="K772" t="s">
        <v>2019</v>
      </c>
      <c r="L772" t="s">
        <v>22</v>
      </c>
      <c r="M772" s="12" t="s">
        <v>23</v>
      </c>
      <c r="N772">
        <v>5</v>
      </c>
      <c r="O772">
        <v>0</v>
      </c>
      <c r="P772" t="s">
        <v>19</v>
      </c>
      <c r="Q772" s="6">
        <v>1069.6199999999999</v>
      </c>
      <c r="R772" t="str">
        <f t="shared" si="36"/>
        <v>Tiara's Luxury Home Away From Home_x000C_</v>
      </c>
      <c r="S772" t="str">
        <f t="shared" si="37"/>
        <v>Tiara's Luxury Home Away From Home</v>
      </c>
      <c r="T772">
        <f>Table1[[#This Row],[Adults]]+Table1[[#This Row],[Children]]</f>
        <v>5</v>
      </c>
      <c r="U772">
        <f>_xlfn.DAYS(Table1[[#This Row],[Depart]],Table1[[#This Row],[Arrive]])</f>
        <v>5</v>
      </c>
    </row>
    <row r="773" spans="1:21" x14ac:dyDescent="0.25">
      <c r="A773" t="s">
        <v>1047</v>
      </c>
      <c r="B773" t="s">
        <v>1048</v>
      </c>
      <c r="C773" t="s">
        <v>1175</v>
      </c>
      <c r="D773" s="1">
        <v>44144</v>
      </c>
      <c r="E773" s="1">
        <v>44148</v>
      </c>
      <c r="F773">
        <f t="shared" si="38"/>
        <v>4</v>
      </c>
      <c r="G773" s="1">
        <v>44144</v>
      </c>
      <c r="H773" s="2">
        <v>0.5</v>
      </c>
      <c r="I773" s="2">
        <v>0.58333333333333337</v>
      </c>
      <c r="J773" t="s">
        <v>2048</v>
      </c>
      <c r="K773" t="s">
        <v>2048</v>
      </c>
      <c r="L773" t="s">
        <v>22</v>
      </c>
      <c r="M773" s="12" t="s">
        <v>23</v>
      </c>
      <c r="N773">
        <v>6</v>
      </c>
      <c r="O773">
        <v>0</v>
      </c>
      <c r="P773" t="s">
        <v>19</v>
      </c>
      <c r="Q773" s="6">
        <v>516</v>
      </c>
      <c r="R773" t="str">
        <f t="shared" si="36"/>
        <v>Keji's 5 Star Short let Apartment in Lekki_x000C_</v>
      </c>
      <c r="S773" t="str">
        <f t="shared" si="37"/>
        <v>Keji's 5 Star Short let Apartment in Lekki</v>
      </c>
      <c r="T773">
        <f>Table1[[#This Row],[Adults]]+Table1[[#This Row],[Children]]</f>
        <v>6</v>
      </c>
      <c r="U773">
        <f>_xlfn.DAYS(Table1[[#This Row],[Depart]],Table1[[#This Row],[Arrive]])</f>
        <v>4</v>
      </c>
    </row>
    <row r="774" spans="1:21" x14ac:dyDescent="0.25">
      <c r="A774" t="s">
        <v>667</v>
      </c>
      <c r="B774" t="s">
        <v>668</v>
      </c>
      <c r="C774" t="s">
        <v>1176</v>
      </c>
      <c r="D774" s="1">
        <v>44145</v>
      </c>
      <c r="E774" s="1">
        <v>44146</v>
      </c>
      <c r="F774">
        <f t="shared" si="38"/>
        <v>1</v>
      </c>
      <c r="G774" s="1">
        <v>44091</v>
      </c>
      <c r="H774" s="2">
        <v>0.58333333333333337</v>
      </c>
      <c r="I774" s="2">
        <v>0.45833333333333331</v>
      </c>
      <c r="J774" t="s">
        <v>1982</v>
      </c>
      <c r="K774" t="s">
        <v>1982</v>
      </c>
      <c r="L774" t="s">
        <v>22</v>
      </c>
      <c r="M774" s="12" t="s">
        <v>18</v>
      </c>
      <c r="N774">
        <v>5</v>
      </c>
      <c r="O774">
        <v>0</v>
      </c>
      <c r="P774" t="s">
        <v>19</v>
      </c>
      <c r="Q774" s="6">
        <v>188.12</v>
      </c>
      <c r="R774" t="str">
        <f t="shared" si="36"/>
        <v>Tiara's Luxury Home Away From Home_x000C_</v>
      </c>
      <c r="S774" t="str">
        <f t="shared" si="37"/>
        <v>Tiara's Luxury Home Away From Home</v>
      </c>
      <c r="T774">
        <f>Table1[[#This Row],[Adults]]+Table1[[#This Row],[Children]]</f>
        <v>5</v>
      </c>
      <c r="U774">
        <f>_xlfn.DAYS(Table1[[#This Row],[Depart]],Table1[[#This Row],[Arrive]])</f>
        <v>1</v>
      </c>
    </row>
    <row r="775" spans="1:21" x14ac:dyDescent="0.25">
      <c r="A775" t="s">
        <v>1057</v>
      </c>
      <c r="B775" t="s">
        <v>1058</v>
      </c>
      <c r="C775" t="s">
        <v>1180</v>
      </c>
      <c r="D775" s="1">
        <v>44145</v>
      </c>
      <c r="E775" s="1">
        <v>44148</v>
      </c>
      <c r="F775">
        <f t="shared" si="38"/>
        <v>3</v>
      </c>
      <c r="G775" s="1">
        <v>44148</v>
      </c>
      <c r="H775" s="2">
        <v>0.58333333333333337</v>
      </c>
      <c r="I775" s="2">
        <v>0.45833333333333331</v>
      </c>
      <c r="J775" t="s">
        <v>2059</v>
      </c>
      <c r="K775" t="s">
        <v>2059</v>
      </c>
      <c r="L775" t="s">
        <v>22</v>
      </c>
      <c r="M775" s="12" t="s">
        <v>18</v>
      </c>
      <c r="N775">
        <v>5</v>
      </c>
      <c r="O775">
        <v>0</v>
      </c>
      <c r="P775" t="s">
        <v>19</v>
      </c>
      <c r="Q775" s="6">
        <v>387</v>
      </c>
      <c r="R775" t="str">
        <f t="shared" si="36"/>
        <v>Zoe's 5 Star Short let Apartment in Lekki_x000C_</v>
      </c>
      <c r="S775" t="str">
        <f t="shared" si="37"/>
        <v>Zoe's 5 Star Short let Apartment in Lekki</v>
      </c>
      <c r="T775">
        <f>Table1[[#This Row],[Adults]]+Table1[[#This Row],[Children]]</f>
        <v>5</v>
      </c>
      <c r="U775">
        <f>_xlfn.DAYS(Table1[[#This Row],[Depart]],Table1[[#This Row],[Arrive]])</f>
        <v>3</v>
      </c>
    </row>
    <row r="776" spans="1:21" x14ac:dyDescent="0.25">
      <c r="A776" t="s">
        <v>739</v>
      </c>
      <c r="B776" t="s">
        <v>740</v>
      </c>
      <c r="C776" t="s">
        <v>1178</v>
      </c>
      <c r="D776" s="1">
        <v>44146</v>
      </c>
      <c r="E776" s="1">
        <v>44153</v>
      </c>
      <c r="F776">
        <f t="shared" si="38"/>
        <v>7</v>
      </c>
      <c r="G776" s="1">
        <v>44114</v>
      </c>
      <c r="H776" s="2">
        <v>0.58333333333333337</v>
      </c>
      <c r="I776" s="2">
        <v>0.45833333333333331</v>
      </c>
      <c r="J776" t="s">
        <v>1855</v>
      </c>
      <c r="K776" t="s">
        <v>1855</v>
      </c>
      <c r="L776" t="s">
        <v>26</v>
      </c>
      <c r="M776" s="12" t="s">
        <v>18</v>
      </c>
      <c r="N776">
        <v>1</v>
      </c>
      <c r="O776">
        <v>0</v>
      </c>
      <c r="P776" t="s">
        <v>19</v>
      </c>
      <c r="Q776" s="6">
        <v>794</v>
      </c>
      <c r="R776" t="str">
        <f t="shared" si="36"/>
        <v>Ope's 5 Star Short Let Apartment in Lekki_x000C_</v>
      </c>
      <c r="S776" t="str">
        <f t="shared" si="37"/>
        <v>Ope's 5 Star Short Let Apartment in Lekki</v>
      </c>
      <c r="T776">
        <f>Table1[[#This Row],[Adults]]+Table1[[#This Row],[Children]]</f>
        <v>1</v>
      </c>
      <c r="U776">
        <f>_xlfn.DAYS(Table1[[#This Row],[Depart]],Table1[[#This Row],[Arrive]])</f>
        <v>7</v>
      </c>
    </row>
    <row r="777" spans="1:21" x14ac:dyDescent="0.25">
      <c r="A777" t="s">
        <v>893</v>
      </c>
      <c r="B777" t="s">
        <v>894</v>
      </c>
      <c r="C777" t="s">
        <v>1175</v>
      </c>
      <c r="D777" s="1">
        <v>44146</v>
      </c>
      <c r="E777" s="1">
        <v>44176</v>
      </c>
      <c r="F777">
        <f t="shared" si="38"/>
        <v>30</v>
      </c>
      <c r="G777" s="1">
        <v>44132</v>
      </c>
      <c r="H777" s="2">
        <v>0.5</v>
      </c>
      <c r="I777" s="2">
        <v>0.58333333333333337</v>
      </c>
      <c r="J777" t="s">
        <v>1942</v>
      </c>
      <c r="K777" t="s">
        <v>1942</v>
      </c>
      <c r="L777" t="s">
        <v>22</v>
      </c>
      <c r="M777" s="12" t="s">
        <v>18</v>
      </c>
      <c r="N777">
        <v>1</v>
      </c>
      <c r="O777">
        <v>0</v>
      </c>
      <c r="P777" t="s">
        <v>19</v>
      </c>
      <c r="Q777" s="6">
        <v>130000</v>
      </c>
      <c r="R777" t="str">
        <f t="shared" si="36"/>
        <v>Keji's 5 Star Short let Apartment in Lekki_x000C_</v>
      </c>
      <c r="S777" t="str">
        <f t="shared" si="37"/>
        <v>Keji's 5 Star Short let Apartment in Lekki</v>
      </c>
      <c r="T777">
        <f>Table1[[#This Row],[Adults]]+Table1[[#This Row],[Children]]</f>
        <v>1</v>
      </c>
      <c r="U777">
        <f>_xlfn.DAYS(Table1[[#This Row],[Depart]],Table1[[#This Row],[Arrive]])</f>
        <v>30</v>
      </c>
    </row>
    <row r="778" spans="1:21" x14ac:dyDescent="0.25">
      <c r="A778" t="s">
        <v>989</v>
      </c>
      <c r="B778" t="s">
        <v>990</v>
      </c>
      <c r="C778" t="s">
        <v>1174</v>
      </c>
      <c r="D778" s="1">
        <v>44146</v>
      </c>
      <c r="E778" s="1">
        <v>44148</v>
      </c>
      <c r="F778">
        <f t="shared" si="38"/>
        <v>2</v>
      </c>
      <c r="G778" s="1">
        <v>44131</v>
      </c>
      <c r="H778" s="2">
        <v>0.45833333333333331</v>
      </c>
      <c r="I778" s="2">
        <v>0.41666666666666669</v>
      </c>
      <c r="J778" t="s">
        <v>1978</v>
      </c>
      <c r="K778" t="s">
        <v>1978</v>
      </c>
      <c r="L778" t="s">
        <v>22</v>
      </c>
      <c r="M778" s="12" t="s">
        <v>18</v>
      </c>
      <c r="N778">
        <v>6</v>
      </c>
      <c r="O778">
        <v>0</v>
      </c>
      <c r="P778" t="s">
        <v>19</v>
      </c>
      <c r="Q778" s="6">
        <v>0</v>
      </c>
      <c r="R778" t="str">
        <f t="shared" si="36"/>
        <v>Sophia Luxury Home_x000C_</v>
      </c>
      <c r="S778" t="str">
        <f t="shared" si="37"/>
        <v>Sophia Luxury Home</v>
      </c>
      <c r="T778">
        <f>Table1[[#This Row],[Adults]]+Table1[[#This Row],[Children]]</f>
        <v>6</v>
      </c>
      <c r="U778">
        <f>_xlfn.DAYS(Table1[[#This Row],[Depart]],Table1[[#This Row],[Arrive]])</f>
        <v>2</v>
      </c>
    </row>
    <row r="779" spans="1:21" x14ac:dyDescent="0.25">
      <c r="A779" t="s">
        <v>995</v>
      </c>
      <c r="B779" t="s">
        <v>996</v>
      </c>
      <c r="C779" t="s">
        <v>1175</v>
      </c>
      <c r="D779" s="1">
        <v>44146</v>
      </c>
      <c r="E779" s="1">
        <v>44176</v>
      </c>
      <c r="F779">
        <f t="shared" si="38"/>
        <v>30</v>
      </c>
      <c r="G779" s="1">
        <v>44139</v>
      </c>
      <c r="H779" s="2">
        <v>0.5</v>
      </c>
      <c r="I779" s="2">
        <v>0.58333333333333337</v>
      </c>
      <c r="J779" t="s">
        <v>1985</v>
      </c>
      <c r="K779" t="s">
        <v>1985</v>
      </c>
      <c r="L779" t="s">
        <v>22</v>
      </c>
      <c r="M779" s="12" t="s">
        <v>18</v>
      </c>
      <c r="N779">
        <v>1</v>
      </c>
      <c r="O779">
        <v>0</v>
      </c>
      <c r="P779" t="s">
        <v>19</v>
      </c>
      <c r="Q779" s="6">
        <v>130000</v>
      </c>
      <c r="R779" t="str">
        <f t="shared" si="36"/>
        <v>Keji's 5 Star Short let Apartment in Lekki_x000C_</v>
      </c>
      <c r="S779" t="str">
        <f t="shared" si="37"/>
        <v>Keji's 5 Star Short let Apartment in Lekki</v>
      </c>
      <c r="T779">
        <f>Table1[[#This Row],[Adults]]+Table1[[#This Row],[Children]]</f>
        <v>1</v>
      </c>
      <c r="U779">
        <f>_xlfn.DAYS(Table1[[#This Row],[Depart]],Table1[[#This Row],[Arrive]])</f>
        <v>30</v>
      </c>
    </row>
    <row r="780" spans="1:21" x14ac:dyDescent="0.25">
      <c r="A780" t="s">
        <v>1019</v>
      </c>
      <c r="B780" t="s">
        <v>1020</v>
      </c>
      <c r="C780" t="s">
        <v>1176</v>
      </c>
      <c r="D780" s="1">
        <v>44146</v>
      </c>
      <c r="E780" s="1">
        <v>44147</v>
      </c>
      <c r="F780">
        <f t="shared" si="38"/>
        <v>1</v>
      </c>
      <c r="G780" s="1">
        <v>44140</v>
      </c>
      <c r="H780" s="2">
        <v>0.58333333333333337</v>
      </c>
      <c r="I780" s="2">
        <v>0.45833333333333331</v>
      </c>
      <c r="J780" t="s">
        <v>2018</v>
      </c>
      <c r="K780" t="s">
        <v>2018</v>
      </c>
      <c r="L780" t="s">
        <v>22</v>
      </c>
      <c r="M780" s="12" t="s">
        <v>18</v>
      </c>
      <c r="N780">
        <v>6</v>
      </c>
      <c r="O780">
        <v>0</v>
      </c>
      <c r="P780" t="s">
        <v>19</v>
      </c>
      <c r="Q780" s="6">
        <v>119.33</v>
      </c>
      <c r="R780" t="str">
        <f t="shared" si="36"/>
        <v>Tiara's Luxury Home Away From Home_x000C_</v>
      </c>
      <c r="S780" t="str">
        <f t="shared" si="37"/>
        <v>Tiara's Luxury Home Away From Home</v>
      </c>
      <c r="T780">
        <f>Table1[[#This Row],[Adults]]+Table1[[#This Row],[Children]]</f>
        <v>6</v>
      </c>
      <c r="U780">
        <f>_xlfn.DAYS(Table1[[#This Row],[Depart]],Table1[[#This Row],[Arrive]])</f>
        <v>1</v>
      </c>
    </row>
    <row r="781" spans="1:21" x14ac:dyDescent="0.25">
      <c r="A781" t="s">
        <v>989</v>
      </c>
      <c r="B781" t="s">
        <v>990</v>
      </c>
      <c r="C781" t="s">
        <v>1175</v>
      </c>
      <c r="D781" s="1">
        <v>44146</v>
      </c>
      <c r="E781" s="1">
        <v>44148</v>
      </c>
      <c r="F781">
        <f t="shared" si="38"/>
        <v>2</v>
      </c>
      <c r="G781" s="1">
        <v>44134</v>
      </c>
      <c r="H781" s="2">
        <v>0.5</v>
      </c>
      <c r="I781" s="2">
        <v>0.58333333333333337</v>
      </c>
      <c r="J781" t="s">
        <v>2047</v>
      </c>
      <c r="K781" t="s">
        <v>2047</v>
      </c>
      <c r="L781" t="s">
        <v>22</v>
      </c>
      <c r="M781" s="12" t="s">
        <v>18</v>
      </c>
      <c r="N781">
        <v>7</v>
      </c>
      <c r="O781">
        <v>0</v>
      </c>
      <c r="P781" t="s">
        <v>19</v>
      </c>
      <c r="Q781" s="6">
        <v>301</v>
      </c>
      <c r="R781" t="str">
        <f t="shared" si="36"/>
        <v>Keji's 5 Star Short let Apartment in Lekki_x000C_</v>
      </c>
      <c r="S781" t="str">
        <f t="shared" si="37"/>
        <v>Keji's 5 Star Short let Apartment in Lekki</v>
      </c>
      <c r="T781">
        <f>Table1[[#This Row],[Adults]]+Table1[[#This Row],[Children]]</f>
        <v>7</v>
      </c>
      <c r="U781">
        <f>_xlfn.DAYS(Table1[[#This Row],[Depart]],Table1[[#This Row],[Arrive]])</f>
        <v>2</v>
      </c>
    </row>
    <row r="782" spans="1:21" x14ac:dyDescent="0.25">
      <c r="A782" t="s">
        <v>989</v>
      </c>
      <c r="B782" t="s">
        <v>990</v>
      </c>
      <c r="C782" t="s">
        <v>1180</v>
      </c>
      <c r="D782" s="1">
        <v>44146</v>
      </c>
      <c r="E782" s="1">
        <v>44148</v>
      </c>
      <c r="F782">
        <f t="shared" si="38"/>
        <v>2</v>
      </c>
      <c r="G782" s="1">
        <v>44131</v>
      </c>
      <c r="H782" s="2">
        <v>0.58333333333333337</v>
      </c>
      <c r="I782" s="2">
        <v>0.45833333333333331</v>
      </c>
      <c r="J782" t="s">
        <v>2049</v>
      </c>
      <c r="K782" t="s">
        <v>2049</v>
      </c>
      <c r="L782" t="s">
        <v>22</v>
      </c>
      <c r="M782" s="12" t="s">
        <v>18</v>
      </c>
      <c r="N782">
        <v>6</v>
      </c>
      <c r="O782">
        <v>0</v>
      </c>
      <c r="P782" t="s">
        <v>19</v>
      </c>
      <c r="Q782" s="6">
        <v>258</v>
      </c>
      <c r="R782" t="str">
        <f t="shared" si="36"/>
        <v>Zoe's 5 Star Short let Apartment in Lekki_x000C_</v>
      </c>
      <c r="S782" t="str">
        <f t="shared" si="37"/>
        <v>Zoe's 5 Star Short let Apartment in Lekki</v>
      </c>
      <c r="T782">
        <f>Table1[[#This Row],[Adults]]+Table1[[#This Row],[Children]]</f>
        <v>6</v>
      </c>
      <c r="U782">
        <f>_xlfn.DAYS(Table1[[#This Row],[Depart]],Table1[[#This Row],[Arrive]])</f>
        <v>2</v>
      </c>
    </row>
    <row r="783" spans="1:21" x14ac:dyDescent="0.25">
      <c r="A783" t="s">
        <v>897</v>
      </c>
      <c r="B783" t="s">
        <v>898</v>
      </c>
      <c r="C783" t="s">
        <v>1180</v>
      </c>
      <c r="D783" s="1">
        <v>44148</v>
      </c>
      <c r="E783" s="1">
        <v>44151</v>
      </c>
      <c r="F783">
        <f t="shared" si="38"/>
        <v>3</v>
      </c>
      <c r="G783" s="1">
        <v>44137</v>
      </c>
      <c r="H783" s="2">
        <v>0.58333333333333337</v>
      </c>
      <c r="I783" s="2">
        <v>0.45833333333333331</v>
      </c>
      <c r="J783" t="s">
        <v>1979</v>
      </c>
      <c r="K783" t="s">
        <v>1979</v>
      </c>
      <c r="L783" t="s">
        <v>22</v>
      </c>
      <c r="M783" s="12" t="s">
        <v>18</v>
      </c>
      <c r="N783">
        <v>4</v>
      </c>
      <c r="O783">
        <v>0</v>
      </c>
      <c r="P783" t="s">
        <v>19</v>
      </c>
      <c r="Q783" s="6">
        <v>387</v>
      </c>
      <c r="R783" t="str">
        <f t="shared" si="36"/>
        <v>Zoe's 5 Star Short let Apartment in Lekki_x000C_</v>
      </c>
      <c r="S783" t="str">
        <f t="shared" si="37"/>
        <v>Zoe's 5 Star Short let Apartment in Lekki</v>
      </c>
      <c r="T783">
        <f>Table1[[#This Row],[Adults]]+Table1[[#This Row],[Children]]</f>
        <v>4</v>
      </c>
      <c r="U783">
        <f>_xlfn.DAYS(Table1[[#This Row],[Depart]],Table1[[#This Row],[Arrive]])</f>
        <v>3</v>
      </c>
    </row>
    <row r="784" spans="1:21" x14ac:dyDescent="0.25">
      <c r="A784" t="s">
        <v>1005</v>
      </c>
      <c r="B784" t="s">
        <v>1006</v>
      </c>
      <c r="C784" t="s">
        <v>1180</v>
      </c>
      <c r="D784" s="1">
        <v>44148</v>
      </c>
      <c r="E784" s="1">
        <v>44149</v>
      </c>
      <c r="F784">
        <f t="shared" si="38"/>
        <v>1</v>
      </c>
      <c r="G784" s="1">
        <v>44139</v>
      </c>
      <c r="H784" s="2">
        <v>0.58333333333333337</v>
      </c>
      <c r="I784" s="2">
        <v>0.45833333333333331</v>
      </c>
      <c r="J784" t="s">
        <v>2027</v>
      </c>
      <c r="K784" t="s">
        <v>2027</v>
      </c>
      <c r="L784" t="s">
        <v>22</v>
      </c>
      <c r="M784" s="12" t="s">
        <v>18</v>
      </c>
      <c r="N784">
        <v>2</v>
      </c>
      <c r="O784">
        <v>0</v>
      </c>
      <c r="P784" t="s">
        <v>19</v>
      </c>
      <c r="Q784" s="6">
        <v>129</v>
      </c>
      <c r="R784" t="str">
        <f t="shared" si="36"/>
        <v>Zoe's 5 Star Short let Apartment in Lekki_x000C_</v>
      </c>
      <c r="S784" t="str">
        <f t="shared" si="37"/>
        <v>Zoe's 5 Star Short let Apartment in Lekki</v>
      </c>
      <c r="T784">
        <f>Table1[[#This Row],[Adults]]+Table1[[#This Row],[Children]]</f>
        <v>2</v>
      </c>
      <c r="U784">
        <f>_xlfn.DAYS(Table1[[#This Row],[Depart]],Table1[[#This Row],[Arrive]])</f>
        <v>1</v>
      </c>
    </row>
    <row r="785" spans="1:21" x14ac:dyDescent="0.25">
      <c r="A785" t="s">
        <v>1047</v>
      </c>
      <c r="B785" t="s">
        <v>1048</v>
      </c>
      <c r="C785" t="s">
        <v>1180</v>
      </c>
      <c r="D785" s="1">
        <v>44148</v>
      </c>
      <c r="E785" s="1">
        <v>44149</v>
      </c>
      <c r="F785">
        <f t="shared" si="38"/>
        <v>1</v>
      </c>
      <c r="G785" s="1">
        <v>44147</v>
      </c>
      <c r="H785" s="2">
        <v>0.58333333333333337</v>
      </c>
      <c r="I785" s="2">
        <v>0.45833333333333331</v>
      </c>
      <c r="J785" t="s">
        <v>2054</v>
      </c>
      <c r="K785" t="s">
        <v>2054</v>
      </c>
      <c r="L785" t="s">
        <v>22</v>
      </c>
      <c r="M785" s="12" t="s">
        <v>23</v>
      </c>
      <c r="N785">
        <v>6</v>
      </c>
      <c r="O785">
        <v>0</v>
      </c>
      <c r="P785" t="s">
        <v>19</v>
      </c>
      <c r="Q785" s="6">
        <v>129</v>
      </c>
      <c r="R785" t="str">
        <f t="shared" si="36"/>
        <v>Zoe's 5 Star Short let Apartment in Lekki_x000C_</v>
      </c>
      <c r="S785" t="str">
        <f t="shared" si="37"/>
        <v>Zoe's 5 Star Short let Apartment in Lekki</v>
      </c>
      <c r="T785">
        <f>Table1[[#This Row],[Adults]]+Table1[[#This Row],[Children]]</f>
        <v>6</v>
      </c>
      <c r="U785">
        <f>_xlfn.DAYS(Table1[[#This Row],[Depart]],Table1[[#This Row],[Arrive]])</f>
        <v>1</v>
      </c>
    </row>
    <row r="786" spans="1:21" x14ac:dyDescent="0.25">
      <c r="A786" t="s">
        <v>142</v>
      </c>
      <c r="B786" t="s">
        <v>143</v>
      </c>
      <c r="C786" t="s">
        <v>1178</v>
      </c>
      <c r="D786" s="1">
        <v>44148</v>
      </c>
      <c r="E786" s="1">
        <v>44151</v>
      </c>
      <c r="F786">
        <f t="shared" si="38"/>
        <v>3</v>
      </c>
      <c r="G786" s="1">
        <v>44117</v>
      </c>
      <c r="H786" s="2">
        <v>0.58333333333333337</v>
      </c>
      <c r="I786" s="2">
        <v>0.45833333333333331</v>
      </c>
      <c r="J786" t="s">
        <v>2055</v>
      </c>
      <c r="K786" t="s">
        <v>2055</v>
      </c>
      <c r="L786" t="s">
        <v>22</v>
      </c>
      <c r="M786" s="12" t="s">
        <v>18</v>
      </c>
      <c r="N786">
        <v>5</v>
      </c>
      <c r="O786">
        <v>0</v>
      </c>
      <c r="P786" t="s">
        <v>19</v>
      </c>
      <c r="Q786" s="6">
        <v>387</v>
      </c>
      <c r="R786" t="str">
        <f t="shared" si="36"/>
        <v>Ope's 5 Star Short Let Apartment in Lekki_x000C_</v>
      </c>
      <c r="S786" t="str">
        <f t="shared" si="37"/>
        <v>Ope's 5 Star Short Let Apartment in Lekki</v>
      </c>
      <c r="T786">
        <f>Table1[[#This Row],[Adults]]+Table1[[#This Row],[Children]]</f>
        <v>5</v>
      </c>
      <c r="U786">
        <f>_xlfn.DAYS(Table1[[#This Row],[Depart]],Table1[[#This Row],[Arrive]])</f>
        <v>3</v>
      </c>
    </row>
    <row r="787" spans="1:21" x14ac:dyDescent="0.25">
      <c r="A787" t="s">
        <v>885</v>
      </c>
      <c r="B787" t="s">
        <v>886</v>
      </c>
      <c r="C787" t="s">
        <v>1178</v>
      </c>
      <c r="D787" s="1">
        <v>44149</v>
      </c>
      <c r="E787" s="1">
        <v>44150</v>
      </c>
      <c r="F787">
        <f t="shared" si="38"/>
        <v>1</v>
      </c>
      <c r="G787" s="1">
        <v>44116</v>
      </c>
      <c r="H787" s="2">
        <v>0.58333333333333337</v>
      </c>
      <c r="I787" s="2">
        <v>0.45833333333333331</v>
      </c>
      <c r="J787" t="s">
        <v>1863</v>
      </c>
      <c r="K787" t="s">
        <v>1863</v>
      </c>
      <c r="L787" t="s">
        <v>26</v>
      </c>
      <c r="M787" s="12" t="s">
        <v>18</v>
      </c>
      <c r="N787">
        <v>1</v>
      </c>
      <c r="O787">
        <v>0</v>
      </c>
      <c r="P787" t="s">
        <v>19</v>
      </c>
      <c r="Q787" s="6">
        <v>117</v>
      </c>
      <c r="R787" t="str">
        <f t="shared" si="36"/>
        <v>Ope's 5 Star Short Let Apartment in Lekki_x000C_</v>
      </c>
      <c r="S787" t="str">
        <f t="shared" si="37"/>
        <v>Ope's 5 Star Short Let Apartment in Lekki</v>
      </c>
      <c r="T787">
        <f>Table1[[#This Row],[Adults]]+Table1[[#This Row],[Children]]</f>
        <v>1</v>
      </c>
      <c r="U787">
        <f>_xlfn.DAYS(Table1[[#This Row],[Depart]],Table1[[#This Row],[Arrive]])</f>
        <v>1</v>
      </c>
    </row>
    <row r="788" spans="1:21" x14ac:dyDescent="0.25">
      <c r="A788" t="s">
        <v>599</v>
      </c>
      <c r="B788" t="s">
        <v>600</v>
      </c>
      <c r="C788" t="s">
        <v>1176</v>
      </c>
      <c r="D788" s="1">
        <v>44149</v>
      </c>
      <c r="E788" s="1">
        <v>44151</v>
      </c>
      <c r="F788">
        <f t="shared" si="38"/>
        <v>2</v>
      </c>
      <c r="G788" s="1">
        <v>44121</v>
      </c>
      <c r="H788" s="2">
        <v>0.58333333333333337</v>
      </c>
      <c r="I788" s="2">
        <v>0.45833333333333331</v>
      </c>
      <c r="J788" t="s">
        <v>1889</v>
      </c>
      <c r="K788" t="s">
        <v>1889</v>
      </c>
      <c r="L788" t="s">
        <v>22</v>
      </c>
      <c r="M788" s="12" t="s">
        <v>23</v>
      </c>
      <c r="N788">
        <v>6</v>
      </c>
      <c r="O788">
        <v>0</v>
      </c>
      <c r="P788" t="s">
        <v>19</v>
      </c>
      <c r="Q788" s="6">
        <v>376.25</v>
      </c>
      <c r="R788" t="str">
        <f t="shared" si="36"/>
        <v>Tiara's Luxury Home Away From Home_x000C_</v>
      </c>
      <c r="S788" t="str">
        <f t="shared" si="37"/>
        <v>Tiara's Luxury Home Away From Home</v>
      </c>
      <c r="T788">
        <f>Table1[[#This Row],[Adults]]+Table1[[#This Row],[Children]]</f>
        <v>6</v>
      </c>
      <c r="U788">
        <f>_xlfn.DAYS(Table1[[#This Row],[Depart]],Table1[[#This Row],[Arrive]])</f>
        <v>2</v>
      </c>
    </row>
    <row r="789" spans="1:21" x14ac:dyDescent="0.25">
      <c r="A789" t="s">
        <v>1039</v>
      </c>
      <c r="B789" t="s">
        <v>1040</v>
      </c>
      <c r="C789" t="s">
        <v>1180</v>
      </c>
      <c r="D789" s="1">
        <v>44149</v>
      </c>
      <c r="E789" s="1">
        <v>44151</v>
      </c>
      <c r="F789">
        <f t="shared" si="38"/>
        <v>2</v>
      </c>
      <c r="G789" s="1">
        <v>44145</v>
      </c>
      <c r="H789" s="2">
        <v>0.58333333333333337</v>
      </c>
      <c r="I789" s="2">
        <v>0.45833333333333331</v>
      </c>
      <c r="J789" t="s">
        <v>2043</v>
      </c>
      <c r="K789" t="s">
        <v>2043</v>
      </c>
      <c r="L789" t="s">
        <v>22</v>
      </c>
      <c r="M789" s="12" t="s">
        <v>23</v>
      </c>
      <c r="N789">
        <v>5</v>
      </c>
      <c r="O789">
        <v>0</v>
      </c>
      <c r="P789" t="s">
        <v>19</v>
      </c>
      <c r="Q789" s="6">
        <v>258</v>
      </c>
      <c r="R789" t="str">
        <f t="shared" si="36"/>
        <v>Zoe's 5 Star Short let Apartment in Lekki_x000C_</v>
      </c>
      <c r="S789" t="str">
        <f t="shared" si="37"/>
        <v>Zoe's 5 Star Short let Apartment in Lekki</v>
      </c>
      <c r="T789">
        <f>Table1[[#This Row],[Adults]]+Table1[[#This Row],[Children]]</f>
        <v>5</v>
      </c>
      <c r="U789">
        <f>_xlfn.DAYS(Table1[[#This Row],[Depart]],Table1[[#This Row],[Arrive]])</f>
        <v>2</v>
      </c>
    </row>
    <row r="790" spans="1:21" x14ac:dyDescent="0.25">
      <c r="A790" t="s">
        <v>1005</v>
      </c>
      <c r="B790" t="s">
        <v>1006</v>
      </c>
      <c r="C790" t="s">
        <v>1174</v>
      </c>
      <c r="D790" s="1">
        <v>44151</v>
      </c>
      <c r="E790" s="1">
        <v>44153</v>
      </c>
      <c r="F790">
        <f t="shared" si="38"/>
        <v>2</v>
      </c>
      <c r="G790" s="1">
        <v>44142</v>
      </c>
      <c r="H790" s="2">
        <v>0.45833333333333331</v>
      </c>
      <c r="I790" s="2">
        <v>0.41666666666666669</v>
      </c>
      <c r="J790" t="s">
        <v>2029</v>
      </c>
      <c r="K790" t="s">
        <v>2029</v>
      </c>
      <c r="L790" t="s">
        <v>22</v>
      </c>
      <c r="M790" s="12" t="s">
        <v>18</v>
      </c>
      <c r="N790">
        <v>6</v>
      </c>
      <c r="O790">
        <v>0</v>
      </c>
      <c r="P790" t="s">
        <v>19</v>
      </c>
      <c r="Q790" s="6">
        <v>240</v>
      </c>
      <c r="R790" t="str">
        <f t="shared" si="36"/>
        <v>Sophia Luxury Home_x000C_</v>
      </c>
      <c r="S790" t="str">
        <f t="shared" si="37"/>
        <v>Sophia Luxury Home</v>
      </c>
      <c r="T790">
        <f>Table1[[#This Row],[Adults]]+Table1[[#This Row],[Children]]</f>
        <v>6</v>
      </c>
      <c r="U790">
        <f>_xlfn.DAYS(Table1[[#This Row],[Depart]],Table1[[#This Row],[Arrive]])</f>
        <v>2</v>
      </c>
    </row>
    <row r="791" spans="1:21" x14ac:dyDescent="0.25">
      <c r="A791" t="s">
        <v>1039</v>
      </c>
      <c r="B791" t="s">
        <v>1040</v>
      </c>
      <c r="C791" t="s">
        <v>1176</v>
      </c>
      <c r="D791" s="1">
        <v>44151</v>
      </c>
      <c r="E791" s="1">
        <v>44152</v>
      </c>
      <c r="F791">
        <f t="shared" si="38"/>
        <v>1</v>
      </c>
      <c r="G791" s="1">
        <v>44145</v>
      </c>
      <c r="H791" s="2">
        <v>0.58333333333333337</v>
      </c>
      <c r="I791" s="2">
        <v>0.45833333333333331</v>
      </c>
      <c r="J791" t="s">
        <v>2042</v>
      </c>
      <c r="K791" t="s">
        <v>2042</v>
      </c>
      <c r="L791" t="s">
        <v>22</v>
      </c>
      <c r="M791" s="12" t="s">
        <v>23</v>
      </c>
      <c r="N791">
        <v>5</v>
      </c>
      <c r="O791">
        <v>0</v>
      </c>
      <c r="P791" t="s">
        <v>19</v>
      </c>
      <c r="Q791" s="6">
        <v>213.93</v>
      </c>
      <c r="R791" t="str">
        <f t="shared" si="36"/>
        <v>Tiara's Luxury Home Away From Home_x000C_</v>
      </c>
      <c r="S791" t="str">
        <f t="shared" si="37"/>
        <v>Tiara's Luxury Home Away From Home</v>
      </c>
      <c r="T791">
        <f>Table1[[#This Row],[Adults]]+Table1[[#This Row],[Children]]</f>
        <v>5</v>
      </c>
      <c r="U791">
        <f>_xlfn.DAYS(Table1[[#This Row],[Depart]],Table1[[#This Row],[Arrive]])</f>
        <v>1</v>
      </c>
    </row>
    <row r="792" spans="1:21" x14ac:dyDescent="0.25">
      <c r="A792" t="s">
        <v>1103</v>
      </c>
      <c r="B792" t="s">
        <v>1104</v>
      </c>
      <c r="C792" t="s">
        <v>1178</v>
      </c>
      <c r="D792" s="1">
        <v>44151</v>
      </c>
      <c r="E792" s="1">
        <v>44152</v>
      </c>
      <c r="F792">
        <f t="shared" si="38"/>
        <v>1</v>
      </c>
      <c r="G792" s="1">
        <v>44148</v>
      </c>
      <c r="H792" s="2">
        <v>0.58333333333333337</v>
      </c>
      <c r="I792" s="2">
        <v>0.45833333333333331</v>
      </c>
      <c r="J792" t="s">
        <v>2107</v>
      </c>
      <c r="K792" t="s">
        <v>2107</v>
      </c>
      <c r="L792" t="s">
        <v>22</v>
      </c>
      <c r="M792" s="12" t="s">
        <v>23</v>
      </c>
      <c r="N792">
        <v>4</v>
      </c>
      <c r="O792">
        <v>0</v>
      </c>
      <c r="P792" t="s">
        <v>19</v>
      </c>
      <c r="Q792" s="6">
        <v>129</v>
      </c>
      <c r="R792" t="str">
        <f t="shared" si="36"/>
        <v>Ope's 5 Star Short Let Apartment in Lekki_x000C_</v>
      </c>
      <c r="S792" t="str">
        <f t="shared" si="37"/>
        <v>Ope's 5 Star Short Let Apartment in Lekki</v>
      </c>
      <c r="T792">
        <f>Table1[[#This Row],[Adults]]+Table1[[#This Row],[Children]]</f>
        <v>4</v>
      </c>
      <c r="U792">
        <f>_xlfn.DAYS(Table1[[#This Row],[Depart]],Table1[[#This Row],[Arrive]])</f>
        <v>1</v>
      </c>
    </row>
    <row r="793" spans="1:21" x14ac:dyDescent="0.25">
      <c r="A793" t="s">
        <v>1005</v>
      </c>
      <c r="B793" t="s">
        <v>1006</v>
      </c>
      <c r="C793" t="s">
        <v>1174</v>
      </c>
      <c r="D793" s="1">
        <v>44151</v>
      </c>
      <c r="E793" s="1">
        <v>44154</v>
      </c>
      <c r="F793">
        <f t="shared" si="38"/>
        <v>3</v>
      </c>
      <c r="G793" s="1">
        <v>44143</v>
      </c>
      <c r="H793" s="2">
        <v>0.45833333333333331</v>
      </c>
      <c r="I793" s="2">
        <v>0.41666666666666669</v>
      </c>
      <c r="J793" t="s">
        <v>2152</v>
      </c>
      <c r="K793" t="s">
        <v>2152</v>
      </c>
      <c r="L793" t="s">
        <v>22</v>
      </c>
      <c r="M793" s="12" t="s">
        <v>23</v>
      </c>
      <c r="N793">
        <v>5</v>
      </c>
      <c r="O793">
        <v>0</v>
      </c>
      <c r="P793" t="s">
        <v>19</v>
      </c>
      <c r="Q793" s="6">
        <v>387</v>
      </c>
      <c r="R793" t="str">
        <f t="shared" si="36"/>
        <v>Sophia Luxury Home_x000C_</v>
      </c>
      <c r="S793" t="str">
        <f t="shared" si="37"/>
        <v>Sophia Luxury Home</v>
      </c>
      <c r="T793">
        <f>Table1[[#This Row],[Adults]]+Table1[[#This Row],[Children]]</f>
        <v>5</v>
      </c>
      <c r="U793">
        <f>_xlfn.DAYS(Table1[[#This Row],[Depart]],Table1[[#This Row],[Arrive]])</f>
        <v>3</v>
      </c>
    </row>
    <row r="794" spans="1:21" x14ac:dyDescent="0.25">
      <c r="A794" t="s">
        <v>284</v>
      </c>
      <c r="B794" t="s">
        <v>285</v>
      </c>
      <c r="C794" t="s">
        <v>1176</v>
      </c>
      <c r="D794" s="1">
        <v>44152</v>
      </c>
      <c r="E794" s="1">
        <v>44155</v>
      </c>
      <c r="F794">
        <f t="shared" si="38"/>
        <v>3</v>
      </c>
      <c r="G794" s="1">
        <v>44128</v>
      </c>
      <c r="H794" s="2">
        <v>0.58333333333333337</v>
      </c>
      <c r="I794" s="2">
        <v>0.45833333333333331</v>
      </c>
      <c r="J794" t="s">
        <v>1935</v>
      </c>
      <c r="K794" t="s">
        <v>1935</v>
      </c>
      <c r="L794" t="s">
        <v>22</v>
      </c>
      <c r="M794" s="12" t="s">
        <v>23</v>
      </c>
      <c r="N794">
        <v>4</v>
      </c>
      <c r="O794">
        <v>0</v>
      </c>
      <c r="P794" t="s">
        <v>19</v>
      </c>
      <c r="Q794" s="6">
        <v>641.77</v>
      </c>
      <c r="R794" t="str">
        <f t="shared" si="36"/>
        <v>Tiara's Luxury Home Away From Home_x000C_</v>
      </c>
      <c r="S794" t="str">
        <f t="shared" si="37"/>
        <v>Tiara's Luxury Home Away From Home</v>
      </c>
      <c r="T794">
        <f>Table1[[#This Row],[Adults]]+Table1[[#This Row],[Children]]</f>
        <v>4</v>
      </c>
      <c r="U794">
        <f>_xlfn.DAYS(Table1[[#This Row],[Depart]],Table1[[#This Row],[Arrive]])</f>
        <v>3</v>
      </c>
    </row>
    <row r="795" spans="1:21" x14ac:dyDescent="0.25">
      <c r="A795" t="s">
        <v>561</v>
      </c>
      <c r="B795" t="s">
        <v>562</v>
      </c>
      <c r="C795" t="s">
        <v>1178</v>
      </c>
      <c r="D795" s="1">
        <v>44152</v>
      </c>
      <c r="E795" s="1">
        <v>44153</v>
      </c>
      <c r="F795">
        <f t="shared" si="38"/>
        <v>1</v>
      </c>
      <c r="G795" s="1">
        <v>44159</v>
      </c>
      <c r="H795" s="2">
        <v>0.58333333333333337</v>
      </c>
      <c r="I795" s="2">
        <v>0.45833333333333331</v>
      </c>
      <c r="J795" t="s">
        <v>2108</v>
      </c>
      <c r="K795" t="s">
        <v>2108</v>
      </c>
      <c r="L795" t="s">
        <v>22</v>
      </c>
      <c r="M795" s="12" t="s">
        <v>23</v>
      </c>
      <c r="N795">
        <v>4</v>
      </c>
      <c r="O795">
        <v>0</v>
      </c>
      <c r="P795" t="s">
        <v>19</v>
      </c>
      <c r="Q795" s="6">
        <v>129</v>
      </c>
      <c r="R795" t="str">
        <f t="shared" si="36"/>
        <v>Ope's 5 Star Short Let Apartment in Lekki_x000C_</v>
      </c>
      <c r="S795" t="str">
        <f t="shared" si="37"/>
        <v>Ope's 5 Star Short Let Apartment in Lekki</v>
      </c>
      <c r="T795">
        <f>Table1[[#This Row],[Adults]]+Table1[[#This Row],[Children]]</f>
        <v>4</v>
      </c>
      <c r="U795">
        <f>_xlfn.DAYS(Table1[[#This Row],[Depart]],Table1[[#This Row],[Arrive]])</f>
        <v>1</v>
      </c>
    </row>
    <row r="796" spans="1:21" x14ac:dyDescent="0.25">
      <c r="A796" t="s">
        <v>488</v>
      </c>
      <c r="B796" t="s">
        <v>489</v>
      </c>
      <c r="C796" t="s">
        <v>1178</v>
      </c>
      <c r="D796" s="1">
        <v>44153</v>
      </c>
      <c r="E796" s="1">
        <v>44157</v>
      </c>
      <c r="F796">
        <f t="shared" si="38"/>
        <v>4</v>
      </c>
      <c r="G796" s="1">
        <v>44031</v>
      </c>
      <c r="H796" s="2">
        <v>0.58333333333333337</v>
      </c>
      <c r="I796" s="2">
        <v>0.45833333333333331</v>
      </c>
      <c r="J796" t="s">
        <v>1528</v>
      </c>
      <c r="K796" t="s">
        <v>1528</v>
      </c>
      <c r="L796" t="s">
        <v>26</v>
      </c>
      <c r="M796" s="12" t="s">
        <v>18</v>
      </c>
      <c r="N796">
        <v>1</v>
      </c>
      <c r="O796">
        <v>0</v>
      </c>
      <c r="P796" t="s">
        <v>19</v>
      </c>
      <c r="Q796" s="6">
        <v>573</v>
      </c>
      <c r="R796" t="str">
        <f t="shared" si="36"/>
        <v>Ope's 5 Star Short Let Apartment in Lekki_x000C_</v>
      </c>
      <c r="S796" t="str">
        <f t="shared" si="37"/>
        <v>Ope's 5 Star Short Let Apartment in Lekki</v>
      </c>
      <c r="T796">
        <f>Table1[[#This Row],[Adults]]+Table1[[#This Row],[Children]]</f>
        <v>1</v>
      </c>
      <c r="U796">
        <f>_xlfn.DAYS(Table1[[#This Row],[Depart]],Table1[[#This Row],[Arrive]])</f>
        <v>4</v>
      </c>
    </row>
    <row r="797" spans="1:21" x14ac:dyDescent="0.25">
      <c r="A797" t="s">
        <v>1005</v>
      </c>
      <c r="B797" t="s">
        <v>1006</v>
      </c>
      <c r="C797" t="s">
        <v>1175</v>
      </c>
      <c r="D797" s="1">
        <v>44153</v>
      </c>
      <c r="E797" s="1">
        <v>44154</v>
      </c>
      <c r="F797">
        <f t="shared" si="38"/>
        <v>1</v>
      </c>
      <c r="G797" s="1">
        <v>44153</v>
      </c>
      <c r="H797" s="2">
        <v>0.5</v>
      </c>
      <c r="I797" s="2">
        <v>0.58333333333333337</v>
      </c>
      <c r="J797" t="s">
        <v>2081</v>
      </c>
      <c r="K797" t="s">
        <v>2081</v>
      </c>
      <c r="L797" t="s">
        <v>22</v>
      </c>
      <c r="M797" s="12" t="s">
        <v>23</v>
      </c>
      <c r="N797">
        <v>4</v>
      </c>
      <c r="O797">
        <v>0</v>
      </c>
      <c r="P797" t="s">
        <v>19</v>
      </c>
      <c r="Q797" s="6">
        <v>129</v>
      </c>
      <c r="R797" t="str">
        <f t="shared" si="36"/>
        <v>Keji's 5 Star Short let Apartment in Lekki_x000C_</v>
      </c>
      <c r="S797" t="str">
        <f t="shared" si="37"/>
        <v>Keji's 5 Star Short let Apartment in Lekki</v>
      </c>
      <c r="T797">
        <f>Table1[[#This Row],[Adults]]+Table1[[#This Row],[Children]]</f>
        <v>4</v>
      </c>
      <c r="U797">
        <f>_xlfn.DAYS(Table1[[#This Row],[Depart]],Table1[[#This Row],[Arrive]])</f>
        <v>1</v>
      </c>
    </row>
    <row r="798" spans="1:21" x14ac:dyDescent="0.25">
      <c r="A798" t="s">
        <v>416</v>
      </c>
      <c r="B798" t="s">
        <v>417</v>
      </c>
      <c r="C798" t="s">
        <v>1180</v>
      </c>
      <c r="D798" s="1">
        <v>44153</v>
      </c>
      <c r="E798" s="1">
        <v>44154</v>
      </c>
      <c r="F798">
        <f t="shared" si="38"/>
        <v>1</v>
      </c>
      <c r="G798" s="1">
        <v>44142</v>
      </c>
      <c r="H798" s="2">
        <v>0.58333333333333337</v>
      </c>
      <c r="I798" s="2">
        <v>0.45833333333333331</v>
      </c>
      <c r="J798" t="s">
        <v>2095</v>
      </c>
      <c r="K798" t="s">
        <v>2095</v>
      </c>
      <c r="L798" t="s">
        <v>22</v>
      </c>
      <c r="M798" s="12" t="s">
        <v>18</v>
      </c>
      <c r="N798">
        <v>5</v>
      </c>
      <c r="O798">
        <v>0</v>
      </c>
      <c r="P798" t="s">
        <v>19</v>
      </c>
      <c r="Q798" s="6">
        <v>129</v>
      </c>
      <c r="R798" t="str">
        <f t="shared" si="36"/>
        <v>Zoe's 5 Star Short let Apartment in Lekki_x000C_</v>
      </c>
      <c r="S798" t="str">
        <f t="shared" si="37"/>
        <v>Zoe's 5 Star Short let Apartment in Lekki</v>
      </c>
      <c r="T798">
        <f>Table1[[#This Row],[Adults]]+Table1[[#This Row],[Children]]</f>
        <v>5</v>
      </c>
      <c r="U798">
        <f>_xlfn.DAYS(Table1[[#This Row],[Depart]],Table1[[#This Row],[Arrive]])</f>
        <v>1</v>
      </c>
    </row>
    <row r="799" spans="1:21" x14ac:dyDescent="0.25">
      <c r="A799" t="s">
        <v>1005</v>
      </c>
      <c r="B799" t="s">
        <v>1006</v>
      </c>
      <c r="C799" t="s">
        <v>1174</v>
      </c>
      <c r="D799" s="1">
        <v>44153</v>
      </c>
      <c r="E799" s="1">
        <v>44154</v>
      </c>
      <c r="F799">
        <f t="shared" si="38"/>
        <v>1</v>
      </c>
      <c r="G799" s="1">
        <v>44148</v>
      </c>
      <c r="H799" s="2">
        <v>0.45833333333333331</v>
      </c>
      <c r="I799" s="2">
        <v>0.41666666666666669</v>
      </c>
      <c r="J799" t="s">
        <v>2151</v>
      </c>
      <c r="K799" t="s">
        <v>2151</v>
      </c>
      <c r="L799" t="s">
        <v>22</v>
      </c>
      <c r="M799" s="12" t="s">
        <v>18</v>
      </c>
      <c r="N799">
        <v>5</v>
      </c>
      <c r="O799">
        <v>0</v>
      </c>
      <c r="P799" t="s">
        <v>19</v>
      </c>
      <c r="Q799" s="6">
        <v>120</v>
      </c>
      <c r="R799" t="str">
        <f t="shared" si="36"/>
        <v>Sophia Luxury Home_x000C_</v>
      </c>
      <c r="S799" t="str">
        <f t="shared" si="37"/>
        <v>Sophia Luxury Home</v>
      </c>
      <c r="T799">
        <f>Table1[[#This Row],[Adults]]+Table1[[#This Row],[Children]]</f>
        <v>5</v>
      </c>
      <c r="U799">
        <f>_xlfn.DAYS(Table1[[#This Row],[Depart]],Table1[[#This Row],[Arrive]])</f>
        <v>1</v>
      </c>
    </row>
    <row r="800" spans="1:21" x14ac:dyDescent="0.25">
      <c r="A800" t="s">
        <v>875</v>
      </c>
      <c r="B800" t="s">
        <v>876</v>
      </c>
      <c r="C800" t="s">
        <v>1174</v>
      </c>
      <c r="D800" s="1">
        <v>44154</v>
      </c>
      <c r="E800" s="1">
        <v>44159</v>
      </c>
      <c r="F800">
        <f t="shared" si="38"/>
        <v>5</v>
      </c>
      <c r="G800" s="1">
        <v>44142</v>
      </c>
      <c r="H800" s="2">
        <v>0.45833333333333331</v>
      </c>
      <c r="I800" s="2">
        <v>0.41666666666666669</v>
      </c>
      <c r="J800" t="s">
        <v>2028</v>
      </c>
      <c r="K800" t="s">
        <v>2028</v>
      </c>
      <c r="L800" t="s">
        <v>22</v>
      </c>
      <c r="M800" s="12" t="s">
        <v>18</v>
      </c>
      <c r="N800">
        <v>5</v>
      </c>
      <c r="O800">
        <v>0</v>
      </c>
      <c r="P800" t="s">
        <v>19</v>
      </c>
      <c r="Q800" s="6">
        <v>600</v>
      </c>
      <c r="R800" t="str">
        <f t="shared" si="36"/>
        <v>Sophia Luxury Home_x000C_</v>
      </c>
      <c r="S800" t="str">
        <f t="shared" si="37"/>
        <v>Sophia Luxury Home</v>
      </c>
      <c r="T800">
        <f>Table1[[#This Row],[Adults]]+Table1[[#This Row],[Children]]</f>
        <v>5</v>
      </c>
      <c r="U800">
        <f>_xlfn.DAYS(Table1[[#This Row],[Depart]],Table1[[#This Row],[Arrive]])</f>
        <v>5</v>
      </c>
    </row>
    <row r="801" spans="1:21" x14ac:dyDescent="0.25">
      <c r="A801" t="s">
        <v>875</v>
      </c>
      <c r="B801" t="s">
        <v>876</v>
      </c>
      <c r="C801" t="s">
        <v>1174</v>
      </c>
      <c r="D801" s="1">
        <v>44154</v>
      </c>
      <c r="E801" s="1">
        <v>44159</v>
      </c>
      <c r="F801">
        <f t="shared" si="38"/>
        <v>5</v>
      </c>
      <c r="G801" s="1">
        <v>44143</v>
      </c>
      <c r="H801" s="2">
        <v>0.45833333333333331</v>
      </c>
      <c r="I801" s="2">
        <v>0.41666666666666669</v>
      </c>
      <c r="J801" t="s">
        <v>2030</v>
      </c>
      <c r="K801" t="s">
        <v>2030</v>
      </c>
      <c r="L801" t="s">
        <v>22</v>
      </c>
      <c r="M801" s="12" t="s">
        <v>23</v>
      </c>
      <c r="N801">
        <v>6</v>
      </c>
      <c r="O801">
        <v>0</v>
      </c>
      <c r="P801" t="s">
        <v>19</v>
      </c>
      <c r="Q801" s="6">
        <v>600</v>
      </c>
      <c r="R801" t="str">
        <f t="shared" si="36"/>
        <v>Sophia Luxury Home_x000C_</v>
      </c>
      <c r="S801" t="str">
        <f t="shared" si="37"/>
        <v>Sophia Luxury Home</v>
      </c>
      <c r="T801">
        <f>Table1[[#This Row],[Adults]]+Table1[[#This Row],[Children]]</f>
        <v>6</v>
      </c>
      <c r="U801">
        <f>_xlfn.DAYS(Table1[[#This Row],[Depart]],Table1[[#This Row],[Arrive]])</f>
        <v>5</v>
      </c>
    </row>
    <row r="802" spans="1:21" x14ac:dyDescent="0.25">
      <c r="A802" t="s">
        <v>583</v>
      </c>
      <c r="B802" t="s">
        <v>584</v>
      </c>
      <c r="C802" t="s">
        <v>1180</v>
      </c>
      <c r="D802" s="1">
        <v>44154</v>
      </c>
      <c r="E802" s="1">
        <v>44155</v>
      </c>
      <c r="F802">
        <f t="shared" si="38"/>
        <v>1</v>
      </c>
      <c r="G802" s="1">
        <v>44151</v>
      </c>
      <c r="H802" s="2">
        <v>0.58333333333333337</v>
      </c>
      <c r="I802" s="2">
        <v>0.45833333333333331</v>
      </c>
      <c r="J802" t="s">
        <v>2068</v>
      </c>
      <c r="K802" t="s">
        <v>2068</v>
      </c>
      <c r="L802" t="s">
        <v>22</v>
      </c>
      <c r="M802" s="12" t="s">
        <v>18</v>
      </c>
      <c r="N802">
        <v>2</v>
      </c>
      <c r="O802">
        <v>0</v>
      </c>
      <c r="P802" t="s">
        <v>19</v>
      </c>
      <c r="Q802" s="6">
        <v>129</v>
      </c>
      <c r="R802" t="str">
        <f t="shared" si="36"/>
        <v>Zoe's 5 Star Short let Apartment in Lekki_x000C_</v>
      </c>
      <c r="S802" t="str">
        <f t="shared" si="37"/>
        <v>Zoe's 5 Star Short let Apartment in Lekki</v>
      </c>
      <c r="T802">
        <f>Table1[[#This Row],[Adults]]+Table1[[#This Row],[Children]]</f>
        <v>2</v>
      </c>
      <c r="U802">
        <f>_xlfn.DAYS(Table1[[#This Row],[Depart]],Table1[[#This Row],[Arrive]])</f>
        <v>1</v>
      </c>
    </row>
    <row r="803" spans="1:21" x14ac:dyDescent="0.25">
      <c r="A803" t="s">
        <v>1067</v>
      </c>
      <c r="B803" t="s">
        <v>1068</v>
      </c>
      <c r="C803" t="s">
        <v>1180</v>
      </c>
      <c r="D803" s="1">
        <v>44154</v>
      </c>
      <c r="E803" s="1">
        <v>44155</v>
      </c>
      <c r="F803">
        <f t="shared" si="38"/>
        <v>1</v>
      </c>
      <c r="G803" s="1">
        <v>44151</v>
      </c>
      <c r="H803" s="2">
        <v>0.58333333333333337</v>
      </c>
      <c r="I803" s="2">
        <v>0.45833333333333331</v>
      </c>
      <c r="J803" t="s">
        <v>2069</v>
      </c>
      <c r="K803" t="s">
        <v>2069</v>
      </c>
      <c r="L803" t="s">
        <v>22</v>
      </c>
      <c r="M803" s="12" t="s">
        <v>23</v>
      </c>
      <c r="N803">
        <v>2</v>
      </c>
      <c r="O803">
        <v>0</v>
      </c>
      <c r="P803" t="s">
        <v>19</v>
      </c>
      <c r="Q803" s="6">
        <v>129</v>
      </c>
      <c r="R803" t="str">
        <f t="shared" si="36"/>
        <v>Zoe's 5 Star Short let Apartment in Lekki_x000C_</v>
      </c>
      <c r="S803" t="str">
        <f t="shared" si="37"/>
        <v>Zoe's 5 Star Short let Apartment in Lekki</v>
      </c>
      <c r="T803">
        <f>Table1[[#This Row],[Adults]]+Table1[[#This Row],[Children]]</f>
        <v>2</v>
      </c>
      <c r="U803">
        <f>_xlfn.DAYS(Table1[[#This Row],[Depart]],Table1[[#This Row],[Arrive]])</f>
        <v>1</v>
      </c>
    </row>
    <row r="804" spans="1:21" x14ac:dyDescent="0.25">
      <c r="A804" t="s">
        <v>1005</v>
      </c>
      <c r="B804" t="s">
        <v>1006</v>
      </c>
      <c r="C804" t="s">
        <v>1178</v>
      </c>
      <c r="D804" s="1">
        <v>44154</v>
      </c>
      <c r="E804" s="1">
        <v>44155</v>
      </c>
      <c r="F804">
        <f t="shared" si="38"/>
        <v>1</v>
      </c>
      <c r="G804" s="1">
        <v>44154</v>
      </c>
      <c r="H804" s="2">
        <v>0.58333333333333337</v>
      </c>
      <c r="I804" s="2">
        <v>0.45833333333333331</v>
      </c>
      <c r="J804" t="s">
        <v>2088</v>
      </c>
      <c r="K804" t="s">
        <v>2088</v>
      </c>
      <c r="L804" t="s">
        <v>22</v>
      </c>
      <c r="M804" s="12" t="s">
        <v>23</v>
      </c>
      <c r="N804">
        <v>3</v>
      </c>
      <c r="O804">
        <v>0</v>
      </c>
      <c r="P804" t="s">
        <v>19</v>
      </c>
      <c r="Q804" s="6">
        <v>129</v>
      </c>
      <c r="R804" t="str">
        <f t="shared" si="36"/>
        <v>Ope's 5 Star Short Let Apartment in Lekki_x000C_</v>
      </c>
      <c r="S804" t="str">
        <f t="shared" si="37"/>
        <v>Ope's 5 Star Short Let Apartment in Lekki</v>
      </c>
      <c r="T804">
        <f>Table1[[#This Row],[Adults]]+Table1[[#This Row],[Children]]</f>
        <v>3</v>
      </c>
      <c r="U804">
        <f>_xlfn.DAYS(Table1[[#This Row],[Depart]],Table1[[#This Row],[Arrive]])</f>
        <v>1</v>
      </c>
    </row>
    <row r="805" spans="1:21" x14ac:dyDescent="0.25">
      <c r="A805" t="s">
        <v>316</v>
      </c>
      <c r="B805" t="s">
        <v>317</v>
      </c>
      <c r="C805" t="s">
        <v>1178</v>
      </c>
      <c r="D805" s="1">
        <v>44155</v>
      </c>
      <c r="E805" s="1">
        <v>44156</v>
      </c>
      <c r="F805">
        <f t="shared" si="38"/>
        <v>1</v>
      </c>
      <c r="G805" s="1">
        <v>44129</v>
      </c>
      <c r="H805" s="2">
        <v>0.58333333333333337</v>
      </c>
      <c r="I805" s="2">
        <v>0.45833333333333331</v>
      </c>
      <c r="J805" t="s">
        <v>1936</v>
      </c>
      <c r="K805" t="s">
        <v>1936</v>
      </c>
      <c r="L805" t="s">
        <v>22</v>
      </c>
      <c r="M805" s="12" t="s">
        <v>23</v>
      </c>
      <c r="N805">
        <v>4</v>
      </c>
      <c r="O805">
        <v>0</v>
      </c>
      <c r="P805" t="s">
        <v>19</v>
      </c>
      <c r="Q805" s="6">
        <v>129</v>
      </c>
      <c r="R805" t="str">
        <f t="shared" si="36"/>
        <v>Ope's 5 Star Short Let Apartment in Lekki_x000C_</v>
      </c>
      <c r="S805" t="str">
        <f t="shared" si="37"/>
        <v>Ope's 5 Star Short Let Apartment in Lekki</v>
      </c>
      <c r="T805">
        <f>Table1[[#This Row],[Adults]]+Table1[[#This Row],[Children]]</f>
        <v>4</v>
      </c>
      <c r="U805">
        <f>_xlfn.DAYS(Table1[[#This Row],[Depart]],Table1[[#This Row],[Arrive]])</f>
        <v>1</v>
      </c>
    </row>
    <row r="806" spans="1:21" x14ac:dyDescent="0.25">
      <c r="A806" t="s">
        <v>941</v>
      </c>
      <c r="B806" t="s">
        <v>942</v>
      </c>
      <c r="C806" t="s">
        <v>1176</v>
      </c>
      <c r="D806" s="1">
        <v>44155</v>
      </c>
      <c r="E806" s="1">
        <v>44156</v>
      </c>
      <c r="F806">
        <f t="shared" si="38"/>
        <v>1</v>
      </c>
      <c r="G806" s="1">
        <v>44128</v>
      </c>
      <c r="H806" s="2">
        <v>0.58333333333333337</v>
      </c>
      <c r="I806" s="2">
        <v>0.45833333333333331</v>
      </c>
      <c r="J806" t="s">
        <v>2058</v>
      </c>
      <c r="K806" t="s">
        <v>2058</v>
      </c>
      <c r="L806" t="s">
        <v>22</v>
      </c>
      <c r="M806" s="12" t="s">
        <v>18</v>
      </c>
      <c r="N806">
        <v>6</v>
      </c>
      <c r="O806">
        <v>0</v>
      </c>
      <c r="P806" t="s">
        <v>19</v>
      </c>
      <c r="Q806" s="6">
        <v>213.93</v>
      </c>
      <c r="R806" t="str">
        <f t="shared" si="36"/>
        <v>Tiara's Luxury Home Away From Home_x000C_</v>
      </c>
      <c r="S806" t="str">
        <f t="shared" si="37"/>
        <v>Tiara's Luxury Home Away From Home</v>
      </c>
      <c r="T806">
        <f>Table1[[#This Row],[Adults]]+Table1[[#This Row],[Children]]</f>
        <v>6</v>
      </c>
      <c r="U806">
        <f>_xlfn.DAYS(Table1[[#This Row],[Depart]],Table1[[#This Row],[Arrive]])</f>
        <v>1</v>
      </c>
    </row>
    <row r="807" spans="1:21" x14ac:dyDescent="0.25">
      <c r="A807" t="s">
        <v>577</v>
      </c>
      <c r="B807" t="s">
        <v>578</v>
      </c>
      <c r="C807" t="s">
        <v>1180</v>
      </c>
      <c r="D807" s="1">
        <v>44155</v>
      </c>
      <c r="E807" s="1">
        <v>44156</v>
      </c>
      <c r="F807">
        <f t="shared" si="38"/>
        <v>1</v>
      </c>
      <c r="G807" s="1">
        <v>44153</v>
      </c>
      <c r="H807" s="2">
        <v>0.58333333333333337</v>
      </c>
      <c r="I807" s="2">
        <v>0.45833333333333331</v>
      </c>
      <c r="J807" t="s">
        <v>2089</v>
      </c>
      <c r="K807" t="s">
        <v>2089</v>
      </c>
      <c r="L807" t="s">
        <v>22</v>
      </c>
      <c r="M807" s="12" t="s">
        <v>18</v>
      </c>
      <c r="N807">
        <v>5</v>
      </c>
      <c r="O807">
        <v>0</v>
      </c>
      <c r="P807" t="s">
        <v>19</v>
      </c>
      <c r="Q807" s="6">
        <v>129</v>
      </c>
      <c r="R807" t="str">
        <f t="shared" si="36"/>
        <v>Zoe's 5 Star Short let Apartment in Lekki_x000C_</v>
      </c>
      <c r="S807" t="str">
        <f t="shared" si="37"/>
        <v>Zoe's 5 Star Short let Apartment in Lekki</v>
      </c>
      <c r="T807">
        <f>Table1[[#This Row],[Adults]]+Table1[[#This Row],[Children]]</f>
        <v>5</v>
      </c>
      <c r="U807">
        <f>_xlfn.DAYS(Table1[[#This Row],[Depart]],Table1[[#This Row],[Arrive]])</f>
        <v>1</v>
      </c>
    </row>
    <row r="808" spans="1:21" x14ac:dyDescent="0.25">
      <c r="A808" t="s">
        <v>1021</v>
      </c>
      <c r="B808" t="s">
        <v>1022</v>
      </c>
      <c r="C808" t="s">
        <v>1176</v>
      </c>
      <c r="D808" s="1">
        <v>44155</v>
      </c>
      <c r="E808" s="1">
        <v>44157</v>
      </c>
      <c r="F808">
        <f t="shared" si="38"/>
        <v>2</v>
      </c>
      <c r="G808" s="1">
        <v>44150</v>
      </c>
      <c r="H808" s="2">
        <v>0.58333333333333337</v>
      </c>
      <c r="I808" s="2">
        <v>0.45833333333333331</v>
      </c>
      <c r="J808" t="s">
        <v>2099</v>
      </c>
      <c r="K808" t="s">
        <v>2099</v>
      </c>
      <c r="L808" t="s">
        <v>22</v>
      </c>
      <c r="M808" s="12" t="s">
        <v>23</v>
      </c>
      <c r="N808">
        <v>3</v>
      </c>
      <c r="O808">
        <v>0</v>
      </c>
      <c r="P808" t="s">
        <v>19</v>
      </c>
      <c r="Q808" s="6">
        <v>427.85</v>
      </c>
      <c r="R808" t="str">
        <f t="shared" si="36"/>
        <v>Tiara's Luxury Home Away From Home_x000C_</v>
      </c>
      <c r="S808" t="str">
        <f t="shared" si="37"/>
        <v>Tiara's Luxury Home Away From Home</v>
      </c>
      <c r="T808">
        <f>Table1[[#This Row],[Adults]]+Table1[[#This Row],[Children]]</f>
        <v>3</v>
      </c>
      <c r="U808">
        <f>_xlfn.DAYS(Table1[[#This Row],[Depart]],Table1[[#This Row],[Arrive]])</f>
        <v>2</v>
      </c>
    </row>
    <row r="809" spans="1:21" x14ac:dyDescent="0.25">
      <c r="A809" t="s">
        <v>869</v>
      </c>
      <c r="B809" t="s">
        <v>870</v>
      </c>
      <c r="C809" t="s">
        <v>1178</v>
      </c>
      <c r="D809" s="1">
        <v>44156</v>
      </c>
      <c r="E809" s="1">
        <v>44158</v>
      </c>
      <c r="F809">
        <f t="shared" si="38"/>
        <v>2</v>
      </c>
      <c r="G809" s="1">
        <v>44109</v>
      </c>
      <c r="H809" s="2">
        <v>0.58333333333333337</v>
      </c>
      <c r="I809" s="2">
        <v>0.45833333333333331</v>
      </c>
      <c r="J809" t="s">
        <v>1852</v>
      </c>
      <c r="K809" t="s">
        <v>1852</v>
      </c>
      <c r="L809" t="s">
        <v>26</v>
      </c>
      <c r="M809" s="12" t="s">
        <v>18</v>
      </c>
      <c r="N809">
        <v>2</v>
      </c>
      <c r="O809">
        <v>0</v>
      </c>
      <c r="P809" t="s">
        <v>19</v>
      </c>
      <c r="Q809" s="6">
        <v>234</v>
      </c>
      <c r="R809" t="str">
        <f t="shared" si="36"/>
        <v>Ope's 5 Star Short Let Apartment in Lekki_x000C_</v>
      </c>
      <c r="S809" t="str">
        <f t="shared" si="37"/>
        <v>Ope's 5 Star Short Let Apartment in Lekki</v>
      </c>
      <c r="T809">
        <f>Table1[[#This Row],[Adults]]+Table1[[#This Row],[Children]]</f>
        <v>2</v>
      </c>
      <c r="U809">
        <f>_xlfn.DAYS(Table1[[#This Row],[Depart]],Table1[[#This Row],[Arrive]])</f>
        <v>2</v>
      </c>
    </row>
    <row r="810" spans="1:21" x14ac:dyDescent="0.25">
      <c r="A810" t="s">
        <v>889</v>
      </c>
      <c r="B810" t="s">
        <v>890</v>
      </c>
      <c r="C810" t="s">
        <v>1178</v>
      </c>
      <c r="D810" s="1">
        <v>44156</v>
      </c>
      <c r="E810" s="1">
        <v>44157</v>
      </c>
      <c r="F810">
        <f t="shared" si="38"/>
        <v>1</v>
      </c>
      <c r="G810" s="1">
        <v>44117</v>
      </c>
      <c r="H810" s="2">
        <v>0.58333333333333337</v>
      </c>
      <c r="I810" s="2">
        <v>0.45833333333333331</v>
      </c>
      <c r="J810" t="s">
        <v>1867</v>
      </c>
      <c r="K810" t="s">
        <v>1867</v>
      </c>
      <c r="L810" t="s">
        <v>26</v>
      </c>
      <c r="M810" s="12" t="s">
        <v>18</v>
      </c>
      <c r="N810">
        <v>6</v>
      </c>
      <c r="O810">
        <v>0</v>
      </c>
      <c r="P810" t="s">
        <v>19</v>
      </c>
      <c r="Q810" s="6">
        <v>117</v>
      </c>
      <c r="R810" t="str">
        <f t="shared" si="36"/>
        <v>Ope's 5 Star Short Let Apartment in Lekki_x000C_</v>
      </c>
      <c r="S810" t="str">
        <f t="shared" si="37"/>
        <v>Ope's 5 Star Short Let Apartment in Lekki</v>
      </c>
      <c r="T810">
        <f>Table1[[#This Row],[Adults]]+Table1[[#This Row],[Children]]</f>
        <v>6</v>
      </c>
      <c r="U810">
        <f>_xlfn.DAYS(Table1[[#This Row],[Depart]],Table1[[#This Row],[Arrive]])</f>
        <v>1</v>
      </c>
    </row>
    <row r="811" spans="1:21" x14ac:dyDescent="0.25">
      <c r="A811" t="s">
        <v>905</v>
      </c>
      <c r="B811" t="s">
        <v>906</v>
      </c>
      <c r="C811" t="s">
        <v>1175</v>
      </c>
      <c r="D811" s="1">
        <v>44157</v>
      </c>
      <c r="E811" s="1">
        <v>44158</v>
      </c>
      <c r="F811">
        <f t="shared" si="38"/>
        <v>1</v>
      </c>
      <c r="G811" s="1">
        <v>44120</v>
      </c>
      <c r="H811" s="2">
        <v>0.5</v>
      </c>
      <c r="I811" s="2">
        <v>0.58333333333333337</v>
      </c>
      <c r="J811" t="s">
        <v>1881</v>
      </c>
      <c r="K811" t="s">
        <v>1881</v>
      </c>
      <c r="L811" t="s">
        <v>22</v>
      </c>
      <c r="M811" s="12" t="s">
        <v>18</v>
      </c>
      <c r="N811">
        <v>10</v>
      </c>
      <c r="O811">
        <v>0</v>
      </c>
      <c r="P811" t="s">
        <v>19</v>
      </c>
      <c r="Q811" s="6">
        <v>85000</v>
      </c>
      <c r="R811" t="str">
        <f t="shared" si="36"/>
        <v>Keji's 5 Star Short let Apartment in Lekki_x000C_</v>
      </c>
      <c r="S811" t="str">
        <f t="shared" si="37"/>
        <v>Keji's 5 Star Short let Apartment in Lekki</v>
      </c>
      <c r="T811">
        <f>Table1[[#This Row],[Adults]]+Table1[[#This Row],[Children]]</f>
        <v>10</v>
      </c>
      <c r="U811">
        <f>_xlfn.DAYS(Table1[[#This Row],[Depart]],Table1[[#This Row],[Arrive]])</f>
        <v>1</v>
      </c>
    </row>
    <row r="812" spans="1:21" x14ac:dyDescent="0.25">
      <c r="A812" t="s">
        <v>911</v>
      </c>
      <c r="B812" t="s">
        <v>912</v>
      </c>
      <c r="C812" t="s">
        <v>1175</v>
      </c>
      <c r="D812" s="1">
        <v>44157</v>
      </c>
      <c r="E812" s="1">
        <v>44160</v>
      </c>
      <c r="F812">
        <f t="shared" si="38"/>
        <v>3</v>
      </c>
      <c r="G812" s="1">
        <v>44121</v>
      </c>
      <c r="H812" s="2">
        <v>0.5</v>
      </c>
      <c r="I812" s="2">
        <v>0.58333333333333337</v>
      </c>
      <c r="J812" t="s">
        <v>1886</v>
      </c>
      <c r="K812" t="s">
        <v>1886</v>
      </c>
      <c r="L812" t="s">
        <v>22</v>
      </c>
      <c r="M812" s="12" t="s">
        <v>18</v>
      </c>
      <c r="N812">
        <v>1</v>
      </c>
      <c r="O812">
        <v>0</v>
      </c>
      <c r="P812" t="s">
        <v>19</v>
      </c>
      <c r="Q812" s="6">
        <v>390000</v>
      </c>
      <c r="R812" t="str">
        <f t="shared" si="36"/>
        <v>Keji's 5 Star Short let Apartment in Lekki_x000C_</v>
      </c>
      <c r="S812" t="str">
        <f t="shared" si="37"/>
        <v>Keji's 5 Star Short let Apartment in Lekki</v>
      </c>
      <c r="T812">
        <f>Table1[[#This Row],[Adults]]+Table1[[#This Row],[Children]]</f>
        <v>1</v>
      </c>
      <c r="U812">
        <f>_xlfn.DAYS(Table1[[#This Row],[Depart]],Table1[[#This Row],[Arrive]])</f>
        <v>3</v>
      </c>
    </row>
    <row r="813" spans="1:21" x14ac:dyDescent="0.25">
      <c r="A813" t="s">
        <v>1025</v>
      </c>
      <c r="B813" t="s">
        <v>1026</v>
      </c>
      <c r="C813" t="s">
        <v>1175</v>
      </c>
      <c r="D813" s="1">
        <v>44157</v>
      </c>
      <c r="E813" s="1">
        <v>44158</v>
      </c>
      <c r="F813">
        <f t="shared" si="38"/>
        <v>1</v>
      </c>
      <c r="G813" s="1">
        <v>44141</v>
      </c>
      <c r="H813" s="2">
        <v>0.5</v>
      </c>
      <c r="I813" s="2">
        <v>0.58333333333333337</v>
      </c>
      <c r="J813" t="s">
        <v>2022</v>
      </c>
      <c r="K813" t="s">
        <v>2022</v>
      </c>
      <c r="L813" t="s">
        <v>22</v>
      </c>
      <c r="M813" s="12" t="s">
        <v>18</v>
      </c>
      <c r="N813">
        <v>1</v>
      </c>
      <c r="O813">
        <v>0</v>
      </c>
      <c r="P813" t="s">
        <v>19</v>
      </c>
      <c r="Q813" s="6">
        <v>130000</v>
      </c>
      <c r="R813" t="str">
        <f t="shared" si="36"/>
        <v>Keji's 5 Star Short let Apartment in Lekki_x000C_</v>
      </c>
      <c r="S813" t="str">
        <f t="shared" si="37"/>
        <v>Keji's 5 Star Short let Apartment in Lekki</v>
      </c>
      <c r="T813">
        <f>Table1[[#This Row],[Adults]]+Table1[[#This Row],[Children]]</f>
        <v>1</v>
      </c>
      <c r="U813">
        <f>_xlfn.DAYS(Table1[[#This Row],[Depart]],Table1[[#This Row],[Arrive]])</f>
        <v>1</v>
      </c>
    </row>
    <row r="814" spans="1:21" x14ac:dyDescent="0.25">
      <c r="A814" t="s">
        <v>472</v>
      </c>
      <c r="B814" t="s">
        <v>473</v>
      </c>
      <c r="C814" t="s">
        <v>1176</v>
      </c>
      <c r="D814" s="1">
        <v>44157</v>
      </c>
      <c r="E814" s="1">
        <v>44158</v>
      </c>
      <c r="F814">
        <f t="shared" si="38"/>
        <v>1</v>
      </c>
      <c r="G814" s="1">
        <v>44128</v>
      </c>
      <c r="H814" s="2">
        <v>0.58333333333333337</v>
      </c>
      <c r="I814" s="2">
        <v>0.45833333333333331</v>
      </c>
      <c r="J814" t="s">
        <v>2063</v>
      </c>
      <c r="K814" t="s">
        <v>2063</v>
      </c>
      <c r="L814" t="s">
        <v>22</v>
      </c>
      <c r="M814" s="12" t="s">
        <v>18</v>
      </c>
      <c r="N814">
        <v>4</v>
      </c>
      <c r="O814">
        <v>0</v>
      </c>
      <c r="P814" t="s">
        <v>19</v>
      </c>
      <c r="Q814" s="6">
        <v>213.93</v>
      </c>
      <c r="R814" t="str">
        <f t="shared" si="36"/>
        <v>Tiara's Luxury Home Away From Home_x000C_</v>
      </c>
      <c r="S814" t="str">
        <f t="shared" si="37"/>
        <v>Tiara's Luxury Home Away From Home</v>
      </c>
      <c r="T814">
        <f>Table1[[#This Row],[Adults]]+Table1[[#This Row],[Children]]</f>
        <v>4</v>
      </c>
      <c r="U814">
        <f>_xlfn.DAYS(Table1[[#This Row],[Depart]],Table1[[#This Row],[Arrive]])</f>
        <v>1</v>
      </c>
    </row>
    <row r="815" spans="1:21" x14ac:dyDescent="0.25">
      <c r="A815" t="s">
        <v>472</v>
      </c>
      <c r="B815" t="s">
        <v>473</v>
      </c>
      <c r="C815" t="s">
        <v>1178</v>
      </c>
      <c r="D815" s="1">
        <v>44157</v>
      </c>
      <c r="E815" s="1">
        <v>44158</v>
      </c>
      <c r="F815">
        <f t="shared" si="38"/>
        <v>1</v>
      </c>
      <c r="G815" s="1">
        <v>44150</v>
      </c>
      <c r="H815" s="2">
        <v>0.58333333333333337</v>
      </c>
      <c r="I815" s="2">
        <v>0.45833333333333331</v>
      </c>
      <c r="J815" t="s">
        <v>2076</v>
      </c>
      <c r="K815" t="s">
        <v>2076</v>
      </c>
      <c r="L815" t="s">
        <v>22</v>
      </c>
      <c r="M815" s="12" t="s">
        <v>18</v>
      </c>
      <c r="N815">
        <v>3</v>
      </c>
      <c r="O815">
        <v>0</v>
      </c>
      <c r="P815" t="s">
        <v>19</v>
      </c>
      <c r="Q815" s="6">
        <v>129</v>
      </c>
      <c r="R815" t="str">
        <f t="shared" si="36"/>
        <v>Ope's 5 Star Short Let Apartment in Lekki_x000C_</v>
      </c>
      <c r="S815" t="str">
        <f t="shared" si="37"/>
        <v>Ope's 5 Star Short Let Apartment in Lekki</v>
      </c>
      <c r="T815">
        <f>Table1[[#This Row],[Adults]]+Table1[[#This Row],[Children]]</f>
        <v>3</v>
      </c>
      <c r="U815">
        <f>_xlfn.DAYS(Table1[[#This Row],[Depart]],Table1[[#This Row],[Arrive]])</f>
        <v>1</v>
      </c>
    </row>
    <row r="816" spans="1:21" x14ac:dyDescent="0.25">
      <c r="A816" t="s">
        <v>1063</v>
      </c>
      <c r="B816" t="s">
        <v>1064</v>
      </c>
      <c r="C816" t="s">
        <v>1178</v>
      </c>
      <c r="D816" s="1">
        <v>44157</v>
      </c>
      <c r="E816" s="1">
        <v>44159</v>
      </c>
      <c r="F816">
        <f t="shared" si="38"/>
        <v>2</v>
      </c>
      <c r="G816" s="1">
        <v>44151</v>
      </c>
      <c r="H816" s="2">
        <v>0.58333333333333337</v>
      </c>
      <c r="I816" s="2">
        <v>0.45833333333333331</v>
      </c>
      <c r="J816" t="s">
        <v>2077</v>
      </c>
      <c r="K816" t="s">
        <v>2077</v>
      </c>
      <c r="L816" t="s">
        <v>22</v>
      </c>
      <c r="M816" s="12" t="s">
        <v>23</v>
      </c>
      <c r="N816">
        <v>5</v>
      </c>
      <c r="O816">
        <v>0</v>
      </c>
      <c r="P816" t="s">
        <v>19</v>
      </c>
      <c r="Q816" s="6">
        <v>258</v>
      </c>
      <c r="R816" t="str">
        <f t="shared" si="36"/>
        <v>Ope's 5 Star Short Let Apartment in Lekki_x000C_</v>
      </c>
      <c r="S816" t="str">
        <f t="shared" si="37"/>
        <v>Ope's 5 Star Short Let Apartment in Lekki</v>
      </c>
      <c r="T816">
        <f>Table1[[#This Row],[Adults]]+Table1[[#This Row],[Children]]</f>
        <v>5</v>
      </c>
      <c r="U816">
        <f>_xlfn.DAYS(Table1[[#This Row],[Depart]],Table1[[#This Row],[Arrive]])</f>
        <v>2</v>
      </c>
    </row>
    <row r="817" spans="1:21" x14ac:dyDescent="0.25">
      <c r="A817" t="s">
        <v>1095</v>
      </c>
      <c r="B817" t="s">
        <v>1096</v>
      </c>
      <c r="C817" t="s">
        <v>1176</v>
      </c>
      <c r="D817" s="1">
        <v>44157</v>
      </c>
      <c r="E817" s="1">
        <v>44160</v>
      </c>
      <c r="F817">
        <f t="shared" si="38"/>
        <v>3</v>
      </c>
      <c r="G817" s="1">
        <v>44158</v>
      </c>
      <c r="H817" s="2">
        <v>0.58333333333333337</v>
      </c>
      <c r="I817" s="2">
        <v>0.45833333333333331</v>
      </c>
      <c r="J817" t="s">
        <v>2100</v>
      </c>
      <c r="K817" t="s">
        <v>2100</v>
      </c>
      <c r="L817" t="s">
        <v>22</v>
      </c>
      <c r="M817" s="12" t="s">
        <v>23</v>
      </c>
      <c r="N817">
        <v>4</v>
      </c>
      <c r="O817">
        <v>0</v>
      </c>
      <c r="P817" t="s">
        <v>19</v>
      </c>
      <c r="Q817" s="6">
        <v>641.78</v>
      </c>
      <c r="R817" t="str">
        <f t="shared" si="36"/>
        <v>Tiara's Luxury Home Away From Home_x000C_</v>
      </c>
      <c r="S817" t="str">
        <f t="shared" si="37"/>
        <v>Tiara's Luxury Home Away From Home</v>
      </c>
      <c r="T817">
        <f>Table1[[#This Row],[Adults]]+Table1[[#This Row],[Children]]</f>
        <v>4</v>
      </c>
      <c r="U817">
        <f>_xlfn.DAYS(Table1[[#This Row],[Depart]],Table1[[#This Row],[Arrive]])</f>
        <v>3</v>
      </c>
    </row>
    <row r="818" spans="1:21" x14ac:dyDescent="0.25">
      <c r="A818" t="s">
        <v>1063</v>
      </c>
      <c r="B818" t="s">
        <v>1064</v>
      </c>
      <c r="C818" t="s">
        <v>1175</v>
      </c>
      <c r="D818" s="1">
        <v>44158</v>
      </c>
      <c r="E818" s="1">
        <v>44160</v>
      </c>
      <c r="F818">
        <f t="shared" si="38"/>
        <v>2</v>
      </c>
      <c r="G818" s="1">
        <v>44151</v>
      </c>
      <c r="H818" s="2">
        <v>0.5</v>
      </c>
      <c r="I818" s="2">
        <v>0.58333333333333337</v>
      </c>
      <c r="J818" t="s">
        <v>2064</v>
      </c>
      <c r="K818" t="s">
        <v>2064</v>
      </c>
      <c r="L818" t="s">
        <v>22</v>
      </c>
      <c r="M818" s="12" t="s">
        <v>18</v>
      </c>
      <c r="N818">
        <v>3</v>
      </c>
      <c r="O818">
        <v>0</v>
      </c>
      <c r="P818" t="s">
        <v>19</v>
      </c>
      <c r="Q818" s="6">
        <v>170000</v>
      </c>
      <c r="R818" t="str">
        <f t="shared" si="36"/>
        <v>Keji's 5 Star Short let Apartment in Lekki_x000C_</v>
      </c>
      <c r="S818" t="str">
        <f t="shared" si="37"/>
        <v>Keji's 5 Star Short let Apartment in Lekki</v>
      </c>
      <c r="T818">
        <f>Table1[[#This Row],[Adults]]+Table1[[#This Row],[Children]]</f>
        <v>3</v>
      </c>
      <c r="U818">
        <f>_xlfn.DAYS(Table1[[#This Row],[Depart]],Table1[[#This Row],[Arrive]])</f>
        <v>2</v>
      </c>
    </row>
    <row r="819" spans="1:21" x14ac:dyDescent="0.25">
      <c r="A819" t="s">
        <v>1063</v>
      </c>
      <c r="B819" t="s">
        <v>1064</v>
      </c>
      <c r="C819" t="s">
        <v>1175</v>
      </c>
      <c r="D819" s="1">
        <v>44158</v>
      </c>
      <c r="E819" s="1">
        <v>44160</v>
      </c>
      <c r="F819">
        <f t="shared" si="38"/>
        <v>2</v>
      </c>
      <c r="G819" s="1">
        <v>44151</v>
      </c>
      <c r="H819" s="2">
        <v>0.5</v>
      </c>
      <c r="I819" s="2">
        <v>0.58333333333333337</v>
      </c>
      <c r="J819" t="s">
        <v>2070</v>
      </c>
      <c r="K819" t="s">
        <v>2070</v>
      </c>
      <c r="L819" t="s">
        <v>22</v>
      </c>
      <c r="M819" s="12" t="s">
        <v>18</v>
      </c>
      <c r="N819">
        <v>3</v>
      </c>
      <c r="O819">
        <v>0</v>
      </c>
      <c r="P819" t="s">
        <v>19</v>
      </c>
      <c r="Q819" s="6">
        <v>170000</v>
      </c>
      <c r="R819" t="str">
        <f t="shared" si="36"/>
        <v>Keji's 5 Star Short let Apartment in Lekki_x000C_</v>
      </c>
      <c r="S819" t="str">
        <f t="shared" si="37"/>
        <v>Keji's 5 Star Short let Apartment in Lekki</v>
      </c>
      <c r="T819">
        <f>Table1[[#This Row],[Adults]]+Table1[[#This Row],[Children]]</f>
        <v>3</v>
      </c>
      <c r="U819">
        <f>_xlfn.DAYS(Table1[[#This Row],[Depart]],Table1[[#This Row],[Arrive]])</f>
        <v>2</v>
      </c>
    </row>
    <row r="820" spans="1:21" x14ac:dyDescent="0.25">
      <c r="A820" t="s">
        <v>1061</v>
      </c>
      <c r="B820" t="s">
        <v>1062</v>
      </c>
      <c r="C820" t="s">
        <v>1175</v>
      </c>
      <c r="D820" s="1">
        <v>44159</v>
      </c>
      <c r="E820" s="1">
        <v>44162</v>
      </c>
      <c r="F820">
        <f t="shared" si="38"/>
        <v>3</v>
      </c>
      <c r="G820" s="1">
        <v>44149</v>
      </c>
      <c r="H820" s="2">
        <v>0.5</v>
      </c>
      <c r="I820" s="2">
        <v>0.58333333333333337</v>
      </c>
      <c r="J820" t="s">
        <v>2061</v>
      </c>
      <c r="K820" t="s">
        <v>2061</v>
      </c>
      <c r="L820" t="s">
        <v>22</v>
      </c>
      <c r="M820" s="12" t="s">
        <v>18</v>
      </c>
      <c r="N820">
        <v>2</v>
      </c>
      <c r="O820">
        <v>0</v>
      </c>
      <c r="P820" t="s">
        <v>19</v>
      </c>
      <c r="Q820" s="6">
        <v>255000</v>
      </c>
      <c r="R820" t="str">
        <f t="shared" si="36"/>
        <v>Keji's 5 Star Short let Apartment in Lekki_x000C_</v>
      </c>
      <c r="S820" t="str">
        <f t="shared" si="37"/>
        <v>Keji's 5 Star Short let Apartment in Lekki</v>
      </c>
      <c r="T820">
        <f>Table1[[#This Row],[Adults]]+Table1[[#This Row],[Children]]</f>
        <v>2</v>
      </c>
      <c r="U820">
        <f>_xlfn.DAYS(Table1[[#This Row],[Depart]],Table1[[#This Row],[Arrive]])</f>
        <v>3</v>
      </c>
    </row>
    <row r="821" spans="1:21" x14ac:dyDescent="0.25">
      <c r="A821" t="s">
        <v>583</v>
      </c>
      <c r="B821" t="s">
        <v>584</v>
      </c>
      <c r="C821" t="s">
        <v>1178</v>
      </c>
      <c r="D821" s="1">
        <v>44159</v>
      </c>
      <c r="E821" s="1">
        <v>44161</v>
      </c>
      <c r="F821">
        <f t="shared" si="38"/>
        <v>2</v>
      </c>
      <c r="G821" s="1">
        <v>44157</v>
      </c>
      <c r="H821" s="2">
        <v>0.58333333333333337</v>
      </c>
      <c r="I821" s="2">
        <v>0.45833333333333331</v>
      </c>
      <c r="J821" t="s">
        <v>2101</v>
      </c>
      <c r="K821" t="s">
        <v>2101</v>
      </c>
      <c r="L821" t="s">
        <v>22</v>
      </c>
      <c r="M821" s="12" t="s">
        <v>18</v>
      </c>
      <c r="N821">
        <v>5</v>
      </c>
      <c r="O821">
        <v>0</v>
      </c>
      <c r="P821" t="s">
        <v>19</v>
      </c>
      <c r="Q821" s="6">
        <v>258</v>
      </c>
      <c r="R821" t="str">
        <f t="shared" si="36"/>
        <v>Ope's 5 Star Short Let Apartment in Lekki_x000C_</v>
      </c>
      <c r="S821" t="str">
        <f t="shared" si="37"/>
        <v>Ope's 5 Star Short Let Apartment in Lekki</v>
      </c>
      <c r="T821">
        <f>Table1[[#This Row],[Adults]]+Table1[[#This Row],[Children]]</f>
        <v>5</v>
      </c>
      <c r="U821">
        <f>_xlfn.DAYS(Table1[[#This Row],[Depart]],Table1[[#This Row],[Arrive]])</f>
        <v>2</v>
      </c>
    </row>
    <row r="822" spans="1:21" x14ac:dyDescent="0.25">
      <c r="A822" t="s">
        <v>871</v>
      </c>
      <c r="B822" t="s">
        <v>872</v>
      </c>
      <c r="C822" t="s">
        <v>1175</v>
      </c>
      <c r="D822" s="1">
        <v>44159</v>
      </c>
      <c r="E822" s="1">
        <v>44160</v>
      </c>
      <c r="F822">
        <f t="shared" si="38"/>
        <v>1</v>
      </c>
      <c r="G822" s="1">
        <v>44158</v>
      </c>
      <c r="H822" s="2">
        <v>0.5</v>
      </c>
      <c r="I822" s="2">
        <v>0.58333333333333337</v>
      </c>
      <c r="J822" t="s">
        <v>2103</v>
      </c>
      <c r="K822" t="s">
        <v>2103</v>
      </c>
      <c r="L822" t="s">
        <v>22</v>
      </c>
      <c r="M822" s="12" t="s">
        <v>18</v>
      </c>
      <c r="N822">
        <v>1</v>
      </c>
      <c r="O822">
        <v>0</v>
      </c>
      <c r="P822" t="s">
        <v>19</v>
      </c>
      <c r="Q822" s="6">
        <v>85000</v>
      </c>
      <c r="R822" t="str">
        <f t="shared" si="36"/>
        <v>Keji's 5 Star Short let Apartment in Lekki_x000C_</v>
      </c>
      <c r="S822" t="str">
        <f t="shared" si="37"/>
        <v>Keji's 5 Star Short let Apartment in Lekki</v>
      </c>
      <c r="T822">
        <f>Table1[[#This Row],[Adults]]+Table1[[#This Row],[Children]]</f>
        <v>1</v>
      </c>
      <c r="U822">
        <f>_xlfn.DAYS(Table1[[#This Row],[Depart]],Table1[[#This Row],[Arrive]])</f>
        <v>1</v>
      </c>
    </row>
    <row r="823" spans="1:21" x14ac:dyDescent="0.25">
      <c r="A823" t="s">
        <v>1101</v>
      </c>
      <c r="B823" t="s">
        <v>1102</v>
      </c>
      <c r="C823" t="s">
        <v>1178</v>
      </c>
      <c r="D823" s="1">
        <v>44159</v>
      </c>
      <c r="E823" s="1">
        <v>44161</v>
      </c>
      <c r="F823">
        <f t="shared" si="38"/>
        <v>2</v>
      </c>
      <c r="G823" s="1">
        <v>44159</v>
      </c>
      <c r="H823" s="2">
        <v>0.58333333333333337</v>
      </c>
      <c r="I823" s="2">
        <v>0.45833333333333331</v>
      </c>
      <c r="J823" t="s">
        <v>2106</v>
      </c>
      <c r="K823" t="s">
        <v>2106</v>
      </c>
      <c r="L823" t="s">
        <v>22</v>
      </c>
      <c r="M823" s="12" t="s">
        <v>23</v>
      </c>
      <c r="N823">
        <v>6</v>
      </c>
      <c r="O823">
        <v>0</v>
      </c>
      <c r="P823" t="s">
        <v>19</v>
      </c>
      <c r="Q823" s="6">
        <v>258</v>
      </c>
      <c r="R823" t="str">
        <f t="shared" si="36"/>
        <v>Ope's 5 Star Short Let Apartment in Lekki_x000C_</v>
      </c>
      <c r="S823" t="str">
        <f t="shared" si="37"/>
        <v>Ope's 5 Star Short Let Apartment in Lekki</v>
      </c>
      <c r="T823">
        <f>Table1[[#This Row],[Adults]]+Table1[[#This Row],[Children]]</f>
        <v>6</v>
      </c>
      <c r="U823">
        <f>_xlfn.DAYS(Table1[[#This Row],[Depart]],Table1[[#This Row],[Arrive]])</f>
        <v>2</v>
      </c>
    </row>
    <row r="824" spans="1:21" x14ac:dyDescent="0.25">
      <c r="A824" t="s">
        <v>416</v>
      </c>
      <c r="B824" t="s">
        <v>417</v>
      </c>
      <c r="C824" t="s">
        <v>1175</v>
      </c>
      <c r="D824" s="1">
        <v>44160</v>
      </c>
      <c r="E824" s="1">
        <v>44161</v>
      </c>
      <c r="F824">
        <f t="shared" si="38"/>
        <v>1</v>
      </c>
      <c r="G824" s="1">
        <v>44144</v>
      </c>
      <c r="H824" s="2">
        <v>0.5</v>
      </c>
      <c r="I824" s="2">
        <v>0.58333333333333337</v>
      </c>
      <c r="J824" t="s">
        <v>2034</v>
      </c>
      <c r="K824" t="s">
        <v>2034</v>
      </c>
      <c r="L824" t="s">
        <v>22</v>
      </c>
      <c r="M824" s="12" t="s">
        <v>18</v>
      </c>
      <c r="N824">
        <v>1</v>
      </c>
      <c r="O824">
        <v>0</v>
      </c>
      <c r="P824" t="s">
        <v>19</v>
      </c>
      <c r="Q824" s="6">
        <v>130000</v>
      </c>
      <c r="R824" t="str">
        <f t="shared" si="36"/>
        <v>Keji's 5 Star Short let Apartment in Lekki_x000C_</v>
      </c>
      <c r="S824" t="str">
        <f t="shared" si="37"/>
        <v>Keji's 5 Star Short let Apartment in Lekki</v>
      </c>
      <c r="T824">
        <f>Table1[[#This Row],[Adults]]+Table1[[#This Row],[Children]]</f>
        <v>1</v>
      </c>
      <c r="U824">
        <f>_xlfn.DAYS(Table1[[#This Row],[Depart]],Table1[[#This Row],[Arrive]])</f>
        <v>1</v>
      </c>
    </row>
    <row r="825" spans="1:21" x14ac:dyDescent="0.25">
      <c r="A825" t="s">
        <v>1073</v>
      </c>
      <c r="B825" t="s">
        <v>1074</v>
      </c>
      <c r="C825" t="s">
        <v>1175</v>
      </c>
      <c r="D825" s="1">
        <v>44160</v>
      </c>
      <c r="E825" s="1">
        <v>44162</v>
      </c>
      <c r="F825">
        <f t="shared" si="38"/>
        <v>2</v>
      </c>
      <c r="G825" s="1">
        <v>44152</v>
      </c>
      <c r="H825" s="2">
        <v>0.5</v>
      </c>
      <c r="I825" s="2">
        <v>0.58333333333333337</v>
      </c>
      <c r="J825" t="s">
        <v>2078</v>
      </c>
      <c r="K825" t="s">
        <v>2078</v>
      </c>
      <c r="L825" t="s">
        <v>22</v>
      </c>
      <c r="M825" s="12" t="s">
        <v>18</v>
      </c>
      <c r="N825">
        <v>3</v>
      </c>
      <c r="O825">
        <v>0</v>
      </c>
      <c r="P825" t="s">
        <v>19</v>
      </c>
      <c r="Q825" s="6">
        <v>170000</v>
      </c>
      <c r="R825" t="str">
        <f t="shared" si="36"/>
        <v>Keji's 5 Star Short let Apartment in Lekki_x000C_</v>
      </c>
      <c r="S825" t="str">
        <f t="shared" si="37"/>
        <v>Keji's 5 Star Short let Apartment in Lekki</v>
      </c>
      <c r="T825">
        <f>Table1[[#This Row],[Adults]]+Table1[[#This Row],[Children]]</f>
        <v>3</v>
      </c>
      <c r="U825">
        <f>_xlfn.DAYS(Table1[[#This Row],[Depart]],Table1[[#This Row],[Arrive]])</f>
        <v>2</v>
      </c>
    </row>
    <row r="826" spans="1:21" x14ac:dyDescent="0.25">
      <c r="A826" t="s">
        <v>1073</v>
      </c>
      <c r="B826" t="s">
        <v>1074</v>
      </c>
      <c r="C826" t="s">
        <v>1175</v>
      </c>
      <c r="D826" s="1">
        <v>44160</v>
      </c>
      <c r="E826" s="1">
        <v>44162</v>
      </c>
      <c r="F826">
        <f t="shared" si="38"/>
        <v>2</v>
      </c>
      <c r="G826" s="1">
        <v>44155</v>
      </c>
      <c r="H826" s="2">
        <v>0.5</v>
      </c>
      <c r="I826" s="2">
        <v>0.58333333333333337</v>
      </c>
      <c r="J826" t="s">
        <v>2092</v>
      </c>
      <c r="K826" t="s">
        <v>2092</v>
      </c>
      <c r="L826" t="s">
        <v>22</v>
      </c>
      <c r="M826" s="12" t="s">
        <v>18</v>
      </c>
      <c r="N826">
        <v>3</v>
      </c>
      <c r="O826">
        <v>0</v>
      </c>
      <c r="P826" t="s">
        <v>19</v>
      </c>
      <c r="Q826" s="6">
        <v>170000</v>
      </c>
      <c r="R826" t="str">
        <f t="shared" si="36"/>
        <v>Keji's 5 Star Short let Apartment in Lekki_x000C_</v>
      </c>
      <c r="S826" t="str">
        <f t="shared" si="37"/>
        <v>Keji's 5 Star Short let Apartment in Lekki</v>
      </c>
      <c r="T826">
        <f>Table1[[#This Row],[Adults]]+Table1[[#This Row],[Children]]</f>
        <v>3</v>
      </c>
      <c r="U826">
        <f>_xlfn.DAYS(Table1[[#This Row],[Depart]],Table1[[#This Row],[Arrive]])</f>
        <v>2</v>
      </c>
    </row>
    <row r="827" spans="1:21" x14ac:dyDescent="0.25">
      <c r="A827" t="s">
        <v>1091</v>
      </c>
      <c r="B827" t="s">
        <v>1092</v>
      </c>
      <c r="C827" t="s">
        <v>1178</v>
      </c>
      <c r="D827" s="1">
        <v>44160</v>
      </c>
      <c r="E827" s="1">
        <v>44161</v>
      </c>
      <c r="F827">
        <f t="shared" si="38"/>
        <v>1</v>
      </c>
      <c r="G827" s="1">
        <v>44157</v>
      </c>
      <c r="H827" s="2">
        <v>0.58333333333333337</v>
      </c>
      <c r="I827" s="2">
        <v>0.45833333333333331</v>
      </c>
      <c r="J827" t="s">
        <v>2097</v>
      </c>
      <c r="K827" t="s">
        <v>2097</v>
      </c>
      <c r="L827" t="s">
        <v>26</v>
      </c>
      <c r="M827" s="12" t="s">
        <v>18</v>
      </c>
      <c r="N827">
        <v>2</v>
      </c>
      <c r="O827">
        <v>0</v>
      </c>
      <c r="P827" t="s">
        <v>19</v>
      </c>
      <c r="Q827" s="6">
        <v>119</v>
      </c>
      <c r="R827" t="str">
        <f t="shared" si="36"/>
        <v>Ope's 5 Star Short Let Apartment in Lekki_x000C_</v>
      </c>
      <c r="S827" t="str">
        <f t="shared" si="37"/>
        <v>Ope's 5 Star Short Let Apartment in Lekki</v>
      </c>
      <c r="T827">
        <f>Table1[[#This Row],[Adults]]+Table1[[#This Row],[Children]]</f>
        <v>2</v>
      </c>
      <c r="U827">
        <f>_xlfn.DAYS(Table1[[#This Row],[Depart]],Table1[[#This Row],[Arrive]])</f>
        <v>1</v>
      </c>
    </row>
    <row r="828" spans="1:21" x14ac:dyDescent="0.25">
      <c r="A828" t="s">
        <v>1097</v>
      </c>
      <c r="B828" t="s">
        <v>1098</v>
      </c>
      <c r="C828" t="s">
        <v>1176</v>
      </c>
      <c r="D828" s="1">
        <v>44160</v>
      </c>
      <c r="E828" s="1">
        <v>44162</v>
      </c>
      <c r="F828">
        <f t="shared" si="38"/>
        <v>2</v>
      </c>
      <c r="G828" s="1">
        <v>44158</v>
      </c>
      <c r="H828" s="2">
        <v>0.58333333333333337</v>
      </c>
      <c r="I828" s="2">
        <v>0.45833333333333331</v>
      </c>
      <c r="J828" t="s">
        <v>2102</v>
      </c>
      <c r="K828" t="s">
        <v>2102</v>
      </c>
      <c r="L828" t="s">
        <v>22</v>
      </c>
      <c r="M828" s="12" t="s">
        <v>23</v>
      </c>
      <c r="N828">
        <v>5</v>
      </c>
      <c r="O828">
        <v>0</v>
      </c>
      <c r="P828" t="s">
        <v>19</v>
      </c>
      <c r="Q828" s="6">
        <v>427.85</v>
      </c>
      <c r="R828" t="str">
        <f t="shared" si="36"/>
        <v>Tiara's Luxury Home Away From Home_x000C_</v>
      </c>
      <c r="S828" t="str">
        <f t="shared" si="37"/>
        <v>Tiara's Luxury Home Away From Home</v>
      </c>
      <c r="T828">
        <f>Table1[[#This Row],[Adults]]+Table1[[#This Row],[Children]]</f>
        <v>5</v>
      </c>
      <c r="U828">
        <f>_xlfn.DAYS(Table1[[#This Row],[Depart]],Table1[[#This Row],[Arrive]])</f>
        <v>2</v>
      </c>
    </row>
    <row r="829" spans="1:21" x14ac:dyDescent="0.25">
      <c r="A829" t="s">
        <v>416</v>
      </c>
      <c r="B829" t="s">
        <v>417</v>
      </c>
      <c r="C829" t="s">
        <v>1176</v>
      </c>
      <c r="D829" s="1">
        <v>44161</v>
      </c>
      <c r="E829" s="1">
        <v>44165</v>
      </c>
      <c r="F829">
        <f t="shared" si="38"/>
        <v>4</v>
      </c>
      <c r="G829" s="1">
        <v>44088</v>
      </c>
      <c r="H829" s="2">
        <v>0.58333333333333337</v>
      </c>
      <c r="I829" s="2">
        <v>0.45833333333333331</v>
      </c>
      <c r="J829" t="s">
        <v>1783</v>
      </c>
      <c r="K829" t="s">
        <v>1783</v>
      </c>
      <c r="L829" t="s">
        <v>22</v>
      </c>
      <c r="M829" s="12" t="s">
        <v>18</v>
      </c>
      <c r="N829">
        <v>2</v>
      </c>
      <c r="O829">
        <v>0</v>
      </c>
      <c r="P829" t="s">
        <v>19</v>
      </c>
      <c r="Q829" s="6">
        <v>752.5</v>
      </c>
      <c r="R829" t="str">
        <f t="shared" si="36"/>
        <v>Tiara's Luxury Home Away From Home_x000C_</v>
      </c>
      <c r="S829" t="str">
        <f t="shared" si="37"/>
        <v>Tiara's Luxury Home Away From Home</v>
      </c>
      <c r="T829">
        <f>Table1[[#This Row],[Adults]]+Table1[[#This Row],[Children]]</f>
        <v>2</v>
      </c>
      <c r="U829">
        <f>_xlfn.DAYS(Table1[[#This Row],[Depart]],Table1[[#This Row],[Arrive]])</f>
        <v>4</v>
      </c>
    </row>
    <row r="830" spans="1:21" x14ac:dyDescent="0.25">
      <c r="A830" t="s">
        <v>322</v>
      </c>
      <c r="B830" t="s">
        <v>323</v>
      </c>
      <c r="C830" t="s">
        <v>1178</v>
      </c>
      <c r="D830" s="1">
        <v>44161</v>
      </c>
      <c r="E830" s="1">
        <v>44163</v>
      </c>
      <c r="F830">
        <f t="shared" si="38"/>
        <v>2</v>
      </c>
      <c r="G830" s="1">
        <v>44144</v>
      </c>
      <c r="H830" s="2">
        <v>0.58333333333333337</v>
      </c>
      <c r="I830" s="2">
        <v>0.45833333333333331</v>
      </c>
      <c r="J830" t="s">
        <v>2040</v>
      </c>
      <c r="K830" t="s">
        <v>2040</v>
      </c>
      <c r="L830" t="s">
        <v>26</v>
      </c>
      <c r="M830" s="12" t="s">
        <v>18</v>
      </c>
      <c r="N830">
        <v>1</v>
      </c>
      <c r="O830">
        <v>0</v>
      </c>
      <c r="P830" t="s">
        <v>19</v>
      </c>
      <c r="Q830" s="6">
        <v>241</v>
      </c>
      <c r="R830" t="str">
        <f t="shared" si="36"/>
        <v>Ope's 5 Star Short Let Apartment in Lekki_x000C_</v>
      </c>
      <c r="S830" t="str">
        <f t="shared" si="37"/>
        <v>Ope's 5 Star Short Let Apartment in Lekki</v>
      </c>
      <c r="T830">
        <f>Table1[[#This Row],[Adults]]+Table1[[#This Row],[Children]]</f>
        <v>1</v>
      </c>
      <c r="U830">
        <f>_xlfn.DAYS(Table1[[#This Row],[Depart]],Table1[[#This Row],[Arrive]])</f>
        <v>2</v>
      </c>
    </row>
    <row r="831" spans="1:21" x14ac:dyDescent="0.25">
      <c r="A831" t="s">
        <v>1079</v>
      </c>
      <c r="B831" t="s">
        <v>1080</v>
      </c>
      <c r="C831" t="s">
        <v>1178</v>
      </c>
      <c r="D831" s="1">
        <v>44161</v>
      </c>
      <c r="E831" s="1">
        <v>44163</v>
      </c>
      <c r="F831">
        <f t="shared" si="38"/>
        <v>2</v>
      </c>
      <c r="G831" s="1">
        <v>44152</v>
      </c>
      <c r="H831" s="2">
        <v>0.58333333333333337</v>
      </c>
      <c r="I831" s="2">
        <v>0.45833333333333331</v>
      </c>
      <c r="J831" t="s">
        <v>2083</v>
      </c>
      <c r="K831" t="s">
        <v>2083</v>
      </c>
      <c r="L831" t="s">
        <v>22</v>
      </c>
      <c r="M831" s="12" t="s">
        <v>23</v>
      </c>
      <c r="N831">
        <v>6</v>
      </c>
      <c r="O831">
        <v>0</v>
      </c>
      <c r="P831" t="s">
        <v>19</v>
      </c>
      <c r="Q831" s="6">
        <v>258</v>
      </c>
      <c r="R831" t="str">
        <f t="shared" si="36"/>
        <v>Ope's 5 Star Short Let Apartment in Lekki_x000C_</v>
      </c>
      <c r="S831" t="str">
        <f t="shared" si="37"/>
        <v>Ope's 5 Star Short Let Apartment in Lekki</v>
      </c>
      <c r="T831">
        <f>Table1[[#This Row],[Adults]]+Table1[[#This Row],[Children]]</f>
        <v>6</v>
      </c>
      <c r="U831">
        <f>_xlfn.DAYS(Table1[[#This Row],[Depart]],Table1[[#This Row],[Arrive]])</f>
        <v>2</v>
      </c>
    </row>
    <row r="832" spans="1:21" x14ac:dyDescent="0.25">
      <c r="A832" t="s">
        <v>1037</v>
      </c>
      <c r="B832" t="s">
        <v>1038</v>
      </c>
      <c r="C832" t="s">
        <v>1178</v>
      </c>
      <c r="D832" s="1">
        <v>44162</v>
      </c>
      <c r="E832" s="1">
        <v>44163</v>
      </c>
      <c r="F832">
        <f t="shared" si="38"/>
        <v>1</v>
      </c>
      <c r="G832" s="1">
        <v>44144</v>
      </c>
      <c r="H832" s="2">
        <v>0.58333333333333337</v>
      </c>
      <c r="I832" s="2">
        <v>0.45833333333333331</v>
      </c>
      <c r="J832" t="s">
        <v>2041</v>
      </c>
      <c r="K832" t="s">
        <v>2041</v>
      </c>
      <c r="L832" t="s">
        <v>26</v>
      </c>
      <c r="M832" s="12" t="s">
        <v>18</v>
      </c>
      <c r="N832">
        <v>6</v>
      </c>
      <c r="O832">
        <v>0</v>
      </c>
      <c r="P832" t="s">
        <v>19</v>
      </c>
      <c r="Q832" s="6">
        <v>120</v>
      </c>
      <c r="R832" t="str">
        <f t="shared" si="36"/>
        <v>Ope's 5 Star Short Let Apartment in Lekki_x000C_</v>
      </c>
      <c r="S832" t="str">
        <f t="shared" si="37"/>
        <v>Ope's 5 Star Short Let Apartment in Lekki</v>
      </c>
      <c r="T832">
        <f>Table1[[#This Row],[Adults]]+Table1[[#This Row],[Children]]</f>
        <v>6</v>
      </c>
      <c r="U832">
        <f>_xlfn.DAYS(Table1[[#This Row],[Depart]],Table1[[#This Row],[Arrive]])</f>
        <v>1</v>
      </c>
    </row>
    <row r="833" spans="1:21" x14ac:dyDescent="0.25">
      <c r="A833" t="s">
        <v>1021</v>
      </c>
      <c r="B833" t="s">
        <v>1022</v>
      </c>
      <c r="C833" t="s">
        <v>1176</v>
      </c>
      <c r="D833" s="1">
        <v>44162</v>
      </c>
      <c r="E833" s="1">
        <v>44163</v>
      </c>
      <c r="F833">
        <f t="shared" si="38"/>
        <v>1</v>
      </c>
      <c r="G833" s="1">
        <v>44138</v>
      </c>
      <c r="H833" s="2">
        <v>0.58333333333333337</v>
      </c>
      <c r="I833" s="2">
        <v>0.45833333333333331</v>
      </c>
      <c r="J833" t="s">
        <v>2126</v>
      </c>
      <c r="K833" t="s">
        <v>2126</v>
      </c>
      <c r="L833" t="s">
        <v>22</v>
      </c>
      <c r="M833" s="12" t="s">
        <v>23</v>
      </c>
      <c r="N833">
        <v>4</v>
      </c>
      <c r="O833">
        <v>0</v>
      </c>
      <c r="P833" t="s">
        <v>19</v>
      </c>
      <c r="Q833" s="6">
        <v>213.93</v>
      </c>
      <c r="R833" t="str">
        <f t="shared" si="36"/>
        <v>Tiara's Luxury Home Away From Home_x000C_</v>
      </c>
      <c r="S833" t="str">
        <f t="shared" si="37"/>
        <v>Tiara's Luxury Home Away From Home</v>
      </c>
      <c r="T833">
        <f>Table1[[#This Row],[Adults]]+Table1[[#This Row],[Children]]</f>
        <v>4</v>
      </c>
      <c r="U833">
        <f>_xlfn.DAYS(Table1[[#This Row],[Depart]],Table1[[#This Row],[Arrive]])</f>
        <v>1</v>
      </c>
    </row>
    <row r="834" spans="1:21" x14ac:dyDescent="0.25">
      <c r="A834" t="s">
        <v>246</v>
      </c>
      <c r="B834" t="s">
        <v>247</v>
      </c>
      <c r="C834" t="s">
        <v>1175</v>
      </c>
      <c r="D834" s="1">
        <v>44163</v>
      </c>
      <c r="E834" s="1">
        <v>44165</v>
      </c>
      <c r="F834">
        <f t="shared" si="38"/>
        <v>2</v>
      </c>
      <c r="G834" s="1">
        <v>43980</v>
      </c>
      <c r="H834" s="2">
        <v>0.33333333333333331</v>
      </c>
      <c r="I834" s="3">
        <v>1</v>
      </c>
      <c r="J834" t="s">
        <v>1357</v>
      </c>
      <c r="K834" t="s">
        <v>1357</v>
      </c>
      <c r="L834" t="s">
        <v>26</v>
      </c>
      <c r="M834" s="12" t="s">
        <v>18</v>
      </c>
      <c r="N834">
        <v>5</v>
      </c>
      <c r="O834">
        <v>0</v>
      </c>
      <c r="P834" t="s">
        <v>19</v>
      </c>
      <c r="Q834" s="6">
        <v>213</v>
      </c>
      <c r="R834" t="str">
        <f t="shared" ref="R834:R897" si="39">SUBSTITUTE(C:C,"?","'")</f>
        <v>Keji's 5 Star Short let Apartment in Lekki_x000C_</v>
      </c>
      <c r="S834" t="str">
        <f t="shared" ref="S834:S897" si="40">CLEAN(R:R)</f>
        <v>Keji's 5 Star Short let Apartment in Lekki</v>
      </c>
      <c r="T834">
        <f>Table1[[#This Row],[Adults]]+Table1[[#This Row],[Children]]</f>
        <v>5</v>
      </c>
      <c r="U834">
        <f>_xlfn.DAYS(Table1[[#This Row],[Depart]],Table1[[#This Row],[Arrive]])</f>
        <v>2</v>
      </c>
    </row>
    <row r="835" spans="1:21" x14ac:dyDescent="0.25">
      <c r="A835" t="s">
        <v>1003</v>
      </c>
      <c r="B835" t="s">
        <v>1004</v>
      </c>
      <c r="C835" t="s">
        <v>1175</v>
      </c>
      <c r="D835" s="1">
        <v>44163</v>
      </c>
      <c r="E835" s="1">
        <v>44164</v>
      </c>
      <c r="F835">
        <f t="shared" ref="F835:F898" si="41">_xlfn.DAYS(E835,D835)</f>
        <v>1</v>
      </c>
      <c r="G835" s="1">
        <v>44139</v>
      </c>
      <c r="H835" s="2">
        <v>0.5</v>
      </c>
      <c r="I835" s="2">
        <v>0.58333333333333337</v>
      </c>
      <c r="J835" t="s">
        <v>1990</v>
      </c>
      <c r="K835" t="s">
        <v>1990</v>
      </c>
      <c r="L835" t="s">
        <v>22</v>
      </c>
      <c r="M835" s="12" t="s">
        <v>18</v>
      </c>
      <c r="N835">
        <v>8</v>
      </c>
      <c r="O835">
        <v>0</v>
      </c>
      <c r="P835" t="s">
        <v>19</v>
      </c>
      <c r="Q835" s="6">
        <v>130000</v>
      </c>
      <c r="R835" t="str">
        <f t="shared" si="39"/>
        <v>Keji's 5 Star Short let Apartment in Lekki_x000C_</v>
      </c>
      <c r="S835" t="str">
        <f t="shared" si="40"/>
        <v>Keji's 5 Star Short let Apartment in Lekki</v>
      </c>
      <c r="T835">
        <f>Table1[[#This Row],[Adults]]+Table1[[#This Row],[Children]]</f>
        <v>8</v>
      </c>
      <c r="U835">
        <f>_xlfn.DAYS(Table1[[#This Row],[Depart]],Table1[[#This Row],[Arrive]])</f>
        <v>1</v>
      </c>
    </row>
    <row r="836" spans="1:21" x14ac:dyDescent="0.25">
      <c r="A836" t="s">
        <v>1027</v>
      </c>
      <c r="B836" t="s">
        <v>1028</v>
      </c>
      <c r="C836" t="s">
        <v>1175</v>
      </c>
      <c r="D836" s="1">
        <v>44163</v>
      </c>
      <c r="E836" s="1">
        <v>44165</v>
      </c>
      <c r="F836">
        <f t="shared" si="41"/>
        <v>2</v>
      </c>
      <c r="G836" s="1">
        <v>44142</v>
      </c>
      <c r="H836" s="2">
        <v>0.5</v>
      </c>
      <c r="I836" s="2">
        <v>0.58333333333333337</v>
      </c>
      <c r="J836" t="s">
        <v>2023</v>
      </c>
      <c r="K836" t="s">
        <v>2023</v>
      </c>
      <c r="L836" t="s">
        <v>22</v>
      </c>
      <c r="M836" s="12" t="s">
        <v>18</v>
      </c>
      <c r="N836">
        <v>8</v>
      </c>
      <c r="O836">
        <v>0</v>
      </c>
      <c r="P836" t="s">
        <v>19</v>
      </c>
      <c r="Q836" s="6">
        <v>260000</v>
      </c>
      <c r="R836" t="str">
        <f t="shared" si="39"/>
        <v>Keji's 5 Star Short let Apartment in Lekki_x000C_</v>
      </c>
      <c r="S836" t="str">
        <f t="shared" si="40"/>
        <v>Keji's 5 Star Short let Apartment in Lekki</v>
      </c>
      <c r="T836">
        <f>Table1[[#This Row],[Adults]]+Table1[[#This Row],[Children]]</f>
        <v>8</v>
      </c>
      <c r="U836">
        <f>_xlfn.DAYS(Table1[[#This Row],[Depart]],Table1[[#This Row],[Arrive]])</f>
        <v>2</v>
      </c>
    </row>
    <row r="837" spans="1:21" x14ac:dyDescent="0.25">
      <c r="A837" t="s">
        <v>1027</v>
      </c>
      <c r="B837" t="s">
        <v>1028</v>
      </c>
      <c r="C837" t="s">
        <v>1175</v>
      </c>
      <c r="D837" s="1">
        <v>44163</v>
      </c>
      <c r="E837" s="1">
        <v>44165</v>
      </c>
      <c r="F837">
        <f t="shared" si="41"/>
        <v>2</v>
      </c>
      <c r="G837" s="1">
        <v>44142</v>
      </c>
      <c r="H837" s="2">
        <v>0.5</v>
      </c>
      <c r="I837" s="2">
        <v>0.58333333333333337</v>
      </c>
      <c r="J837" t="s">
        <v>2024</v>
      </c>
      <c r="K837" t="s">
        <v>2024</v>
      </c>
      <c r="L837" t="s">
        <v>22</v>
      </c>
      <c r="M837" s="12" t="s">
        <v>18</v>
      </c>
      <c r="N837">
        <v>8</v>
      </c>
      <c r="O837">
        <v>0</v>
      </c>
      <c r="P837" t="s">
        <v>19</v>
      </c>
      <c r="Q837" s="6">
        <v>260000</v>
      </c>
      <c r="R837" t="str">
        <f t="shared" si="39"/>
        <v>Keji's 5 Star Short let Apartment in Lekki_x000C_</v>
      </c>
      <c r="S837" t="str">
        <f t="shared" si="40"/>
        <v>Keji's 5 Star Short let Apartment in Lekki</v>
      </c>
      <c r="T837">
        <f>Table1[[#This Row],[Adults]]+Table1[[#This Row],[Children]]</f>
        <v>8</v>
      </c>
      <c r="U837">
        <f>_xlfn.DAYS(Table1[[#This Row],[Depart]],Table1[[#This Row],[Arrive]])</f>
        <v>2</v>
      </c>
    </row>
    <row r="838" spans="1:21" x14ac:dyDescent="0.25">
      <c r="A838" t="s">
        <v>1027</v>
      </c>
      <c r="B838" t="s">
        <v>1028</v>
      </c>
      <c r="C838" t="s">
        <v>1176</v>
      </c>
      <c r="D838" s="1">
        <v>44163</v>
      </c>
      <c r="E838" s="1">
        <v>44165</v>
      </c>
      <c r="F838">
        <f t="shared" si="41"/>
        <v>2</v>
      </c>
      <c r="G838" s="1">
        <v>44142</v>
      </c>
      <c r="H838" s="2">
        <v>0.58333333333333337</v>
      </c>
      <c r="I838" s="2">
        <v>0.45833333333333331</v>
      </c>
      <c r="J838" t="s">
        <v>2025</v>
      </c>
      <c r="K838" t="s">
        <v>2025</v>
      </c>
      <c r="L838" t="s">
        <v>22</v>
      </c>
      <c r="M838" s="12" t="s">
        <v>23</v>
      </c>
      <c r="N838">
        <v>8</v>
      </c>
      <c r="O838">
        <v>0</v>
      </c>
      <c r="P838" t="s">
        <v>19</v>
      </c>
      <c r="Q838" s="6">
        <v>470.85</v>
      </c>
      <c r="R838" t="str">
        <f t="shared" si="39"/>
        <v>Tiara's Luxury Home Away From Home_x000C_</v>
      </c>
      <c r="S838" t="str">
        <f t="shared" si="40"/>
        <v>Tiara's Luxury Home Away From Home</v>
      </c>
      <c r="T838">
        <f>Table1[[#This Row],[Adults]]+Table1[[#This Row],[Children]]</f>
        <v>8</v>
      </c>
      <c r="U838">
        <f>_xlfn.DAYS(Table1[[#This Row],[Depart]],Table1[[#This Row],[Arrive]])</f>
        <v>2</v>
      </c>
    </row>
    <row r="839" spans="1:21" x14ac:dyDescent="0.25">
      <c r="A839" t="s">
        <v>991</v>
      </c>
      <c r="B839" t="s">
        <v>992</v>
      </c>
      <c r="C839" t="s">
        <v>1178</v>
      </c>
      <c r="D839" s="1">
        <v>44164</v>
      </c>
      <c r="E839" s="1">
        <v>44165</v>
      </c>
      <c r="F839">
        <f t="shared" si="41"/>
        <v>1</v>
      </c>
      <c r="G839" s="1">
        <v>44138</v>
      </c>
      <c r="H839" s="2">
        <v>0.58333333333333337</v>
      </c>
      <c r="I839" s="2">
        <v>0.45833333333333331</v>
      </c>
      <c r="J839" t="s">
        <v>1980</v>
      </c>
      <c r="K839" t="s">
        <v>1980</v>
      </c>
      <c r="L839" t="s">
        <v>26</v>
      </c>
      <c r="M839" s="12" t="s">
        <v>18</v>
      </c>
      <c r="N839">
        <v>1</v>
      </c>
      <c r="O839">
        <v>0</v>
      </c>
      <c r="P839" t="s">
        <v>19</v>
      </c>
      <c r="Q839" s="6">
        <v>120</v>
      </c>
      <c r="R839" t="str">
        <f t="shared" si="39"/>
        <v>Ope's 5 Star Short Let Apartment in Lekki_x000C_</v>
      </c>
      <c r="S839" t="str">
        <f t="shared" si="40"/>
        <v>Ope's 5 Star Short Let Apartment in Lekki</v>
      </c>
      <c r="T839">
        <f>Table1[[#This Row],[Adults]]+Table1[[#This Row],[Children]]</f>
        <v>1</v>
      </c>
      <c r="U839">
        <f>_xlfn.DAYS(Table1[[#This Row],[Depart]],Table1[[#This Row],[Arrive]])</f>
        <v>1</v>
      </c>
    </row>
    <row r="840" spans="1:21" x14ac:dyDescent="0.25">
      <c r="A840" t="s">
        <v>1009</v>
      </c>
      <c r="B840" t="s">
        <v>1010</v>
      </c>
      <c r="C840" t="s">
        <v>1175</v>
      </c>
      <c r="D840" s="1">
        <v>44164</v>
      </c>
      <c r="E840" s="1">
        <v>44165</v>
      </c>
      <c r="F840">
        <f t="shared" si="41"/>
        <v>1</v>
      </c>
      <c r="G840" s="1">
        <v>44140</v>
      </c>
      <c r="H840" s="2">
        <v>0.5</v>
      </c>
      <c r="I840" s="2">
        <v>0.58333333333333337</v>
      </c>
      <c r="J840" t="s">
        <v>1996</v>
      </c>
      <c r="K840" t="s">
        <v>1996</v>
      </c>
      <c r="L840" t="s">
        <v>22</v>
      </c>
      <c r="M840" s="12" t="s">
        <v>18</v>
      </c>
      <c r="N840">
        <v>10</v>
      </c>
      <c r="O840">
        <v>0</v>
      </c>
      <c r="P840" t="s">
        <v>19</v>
      </c>
      <c r="Q840" s="6">
        <v>75000</v>
      </c>
      <c r="R840" t="str">
        <f t="shared" si="39"/>
        <v>Keji's 5 Star Short let Apartment in Lekki_x000C_</v>
      </c>
      <c r="S840" t="str">
        <f t="shared" si="40"/>
        <v>Keji's 5 Star Short let Apartment in Lekki</v>
      </c>
      <c r="T840">
        <f>Table1[[#This Row],[Adults]]+Table1[[#This Row],[Children]]</f>
        <v>10</v>
      </c>
      <c r="U840">
        <f>_xlfn.DAYS(Table1[[#This Row],[Depart]],Table1[[#This Row],[Arrive]])</f>
        <v>1</v>
      </c>
    </row>
    <row r="841" spans="1:21" x14ac:dyDescent="0.25">
      <c r="A841" t="s">
        <v>1009</v>
      </c>
      <c r="B841" t="s">
        <v>1010</v>
      </c>
      <c r="C841" t="s">
        <v>1175</v>
      </c>
      <c r="D841" s="1">
        <v>44164</v>
      </c>
      <c r="E841" s="1">
        <v>44165</v>
      </c>
      <c r="F841">
        <f t="shared" si="41"/>
        <v>1</v>
      </c>
      <c r="G841" s="1">
        <v>44140</v>
      </c>
      <c r="H841" s="2">
        <v>0.5</v>
      </c>
      <c r="I841" s="2">
        <v>0.58333333333333337</v>
      </c>
      <c r="J841" t="s">
        <v>1997</v>
      </c>
      <c r="K841" t="s">
        <v>1997</v>
      </c>
      <c r="L841" t="s">
        <v>22</v>
      </c>
      <c r="M841" s="12" t="s">
        <v>18</v>
      </c>
      <c r="N841">
        <v>10</v>
      </c>
      <c r="O841">
        <v>0</v>
      </c>
      <c r="P841" t="s">
        <v>19</v>
      </c>
      <c r="Q841" s="6">
        <v>75000</v>
      </c>
      <c r="R841" t="str">
        <f t="shared" si="39"/>
        <v>Keji's 5 Star Short let Apartment in Lekki_x000C_</v>
      </c>
      <c r="S841" t="str">
        <f t="shared" si="40"/>
        <v>Keji's 5 Star Short let Apartment in Lekki</v>
      </c>
      <c r="T841">
        <f>Table1[[#This Row],[Adults]]+Table1[[#This Row],[Children]]</f>
        <v>10</v>
      </c>
      <c r="U841">
        <f>_xlfn.DAYS(Table1[[#This Row],[Depart]],Table1[[#This Row],[Arrive]])</f>
        <v>1</v>
      </c>
    </row>
    <row r="842" spans="1:21" x14ac:dyDescent="0.25">
      <c r="A842" t="s">
        <v>1031</v>
      </c>
      <c r="B842" t="s">
        <v>1032</v>
      </c>
      <c r="C842" t="s">
        <v>1178</v>
      </c>
      <c r="D842" s="1">
        <v>44165</v>
      </c>
      <c r="E842" s="1">
        <v>44167</v>
      </c>
      <c r="F842">
        <f t="shared" si="41"/>
        <v>2</v>
      </c>
      <c r="G842" s="1">
        <v>44144</v>
      </c>
      <c r="H842" s="2">
        <v>0.58333333333333337</v>
      </c>
      <c r="I842" s="2">
        <v>0.45833333333333331</v>
      </c>
      <c r="J842" t="s">
        <v>2033</v>
      </c>
      <c r="K842" t="s">
        <v>2033</v>
      </c>
      <c r="L842" t="s">
        <v>26</v>
      </c>
      <c r="M842" s="12" t="s">
        <v>18</v>
      </c>
      <c r="N842">
        <v>4</v>
      </c>
      <c r="O842">
        <v>0</v>
      </c>
      <c r="P842" t="s">
        <v>19</v>
      </c>
      <c r="Q842" s="6">
        <v>241</v>
      </c>
      <c r="R842" t="str">
        <f t="shared" si="39"/>
        <v>Ope's 5 Star Short Let Apartment in Lekki_x000C_</v>
      </c>
      <c r="S842" t="str">
        <f t="shared" si="40"/>
        <v>Ope's 5 Star Short Let Apartment in Lekki</v>
      </c>
      <c r="T842">
        <f>Table1[[#This Row],[Adults]]+Table1[[#This Row],[Children]]</f>
        <v>4</v>
      </c>
      <c r="U842">
        <f>_xlfn.DAYS(Table1[[#This Row],[Depart]],Table1[[#This Row],[Arrive]])</f>
        <v>2</v>
      </c>
    </row>
    <row r="843" spans="1:21" x14ac:dyDescent="0.25">
      <c r="A843" t="s">
        <v>1099</v>
      </c>
      <c r="B843" t="s">
        <v>1100</v>
      </c>
      <c r="C843" t="s">
        <v>1175</v>
      </c>
      <c r="D843" s="1">
        <v>44165</v>
      </c>
      <c r="E843" s="1">
        <v>44166</v>
      </c>
      <c r="F843">
        <f t="shared" si="41"/>
        <v>1</v>
      </c>
      <c r="G843" s="1">
        <v>44158</v>
      </c>
      <c r="H843" s="2">
        <v>0.5</v>
      </c>
      <c r="I843" s="2">
        <v>0.58333333333333337</v>
      </c>
      <c r="J843" t="s">
        <v>2104</v>
      </c>
      <c r="K843" t="s">
        <v>2104</v>
      </c>
      <c r="L843" t="s">
        <v>22</v>
      </c>
      <c r="M843" s="12" t="s">
        <v>18</v>
      </c>
      <c r="N843">
        <v>4</v>
      </c>
      <c r="O843">
        <v>0</v>
      </c>
      <c r="P843" t="s">
        <v>19</v>
      </c>
      <c r="Q843" s="6">
        <v>130000</v>
      </c>
      <c r="R843" t="str">
        <f t="shared" si="39"/>
        <v>Keji's 5 Star Short let Apartment in Lekki_x000C_</v>
      </c>
      <c r="S843" t="str">
        <f t="shared" si="40"/>
        <v>Keji's 5 Star Short let Apartment in Lekki</v>
      </c>
      <c r="T843">
        <f>Table1[[#This Row],[Adults]]+Table1[[#This Row],[Children]]</f>
        <v>4</v>
      </c>
      <c r="U843">
        <f>_xlfn.DAYS(Table1[[#This Row],[Depart]],Table1[[#This Row],[Arrive]])</f>
        <v>1</v>
      </c>
    </row>
    <row r="844" spans="1:21" x14ac:dyDescent="0.25">
      <c r="A844" t="s">
        <v>1133</v>
      </c>
      <c r="B844" t="s">
        <v>1134</v>
      </c>
      <c r="C844" t="s">
        <v>1173</v>
      </c>
      <c r="D844" s="1">
        <v>44165</v>
      </c>
      <c r="E844" s="1">
        <v>44166</v>
      </c>
      <c r="F844">
        <f t="shared" si="41"/>
        <v>1</v>
      </c>
      <c r="G844" s="1">
        <v>44165</v>
      </c>
      <c r="H844" s="2">
        <v>0.33333333333333331</v>
      </c>
      <c r="I844" s="3">
        <v>1</v>
      </c>
      <c r="J844" t="s">
        <v>2130</v>
      </c>
      <c r="K844" t="s">
        <v>2130</v>
      </c>
      <c r="L844" t="s">
        <v>22</v>
      </c>
      <c r="M844" s="12" t="s">
        <v>23</v>
      </c>
      <c r="N844">
        <v>3</v>
      </c>
      <c r="O844">
        <v>0</v>
      </c>
      <c r="P844" t="s">
        <v>19</v>
      </c>
      <c r="Q844" s="6">
        <v>129</v>
      </c>
      <c r="R844" t="str">
        <f t="shared" si="39"/>
        <v xml:space="preserve"> The Daniels 5 Star Short Let Apartment in Lekki_x000C_</v>
      </c>
      <c r="S844" t="str">
        <f t="shared" si="40"/>
        <v xml:space="preserve"> The Daniels 5 Star Short Let Apartment in Lekki</v>
      </c>
      <c r="T844">
        <f>Table1[[#This Row],[Adults]]+Table1[[#This Row],[Children]]</f>
        <v>3</v>
      </c>
      <c r="U844">
        <f>_xlfn.DAYS(Table1[[#This Row],[Depart]],Table1[[#This Row],[Arrive]])</f>
        <v>1</v>
      </c>
    </row>
    <row r="845" spans="1:21" x14ac:dyDescent="0.25">
      <c r="A845" t="s">
        <v>1137</v>
      </c>
      <c r="B845" t="s">
        <v>1138</v>
      </c>
      <c r="C845" t="s">
        <v>1176</v>
      </c>
      <c r="D845" s="1">
        <v>44165</v>
      </c>
      <c r="E845" s="1">
        <v>44169</v>
      </c>
      <c r="F845">
        <f t="shared" si="41"/>
        <v>4</v>
      </c>
      <c r="G845" s="1">
        <v>44165</v>
      </c>
      <c r="H845" s="2">
        <v>0.58333333333333337</v>
      </c>
      <c r="I845" s="2">
        <v>0.45833333333333331</v>
      </c>
      <c r="J845" t="s">
        <v>2132</v>
      </c>
      <c r="K845" t="s">
        <v>2132</v>
      </c>
      <c r="L845" t="s">
        <v>22</v>
      </c>
      <c r="M845" s="12" t="s">
        <v>23</v>
      </c>
      <c r="N845">
        <v>4</v>
      </c>
      <c r="O845">
        <v>0</v>
      </c>
      <c r="P845" t="s">
        <v>19</v>
      </c>
      <c r="Q845" s="6">
        <v>855.7</v>
      </c>
      <c r="R845" t="str">
        <f t="shared" si="39"/>
        <v>Tiara's Luxury Home Away From Home_x000C_</v>
      </c>
      <c r="S845" t="str">
        <f t="shared" si="40"/>
        <v>Tiara's Luxury Home Away From Home</v>
      </c>
      <c r="T845">
        <f>Table1[[#This Row],[Adults]]+Table1[[#This Row],[Children]]</f>
        <v>4</v>
      </c>
      <c r="U845">
        <f>_xlfn.DAYS(Table1[[#This Row],[Depart]],Table1[[#This Row],[Arrive]])</f>
        <v>4</v>
      </c>
    </row>
    <row r="846" spans="1:21" x14ac:dyDescent="0.25">
      <c r="A846" t="s">
        <v>1065</v>
      </c>
      <c r="B846" t="s">
        <v>1066</v>
      </c>
      <c r="C846" t="s">
        <v>1173</v>
      </c>
      <c r="D846" s="1">
        <v>44166</v>
      </c>
      <c r="E846" s="1">
        <v>44168</v>
      </c>
      <c r="F846">
        <f t="shared" si="41"/>
        <v>2</v>
      </c>
      <c r="G846" s="1">
        <v>44151</v>
      </c>
      <c r="H846" s="2">
        <v>0.33333333333333331</v>
      </c>
      <c r="I846" s="3">
        <v>1</v>
      </c>
      <c r="J846" t="s">
        <v>2067</v>
      </c>
      <c r="K846" t="s">
        <v>2067</v>
      </c>
      <c r="L846" t="s">
        <v>26</v>
      </c>
      <c r="M846" s="12" t="s">
        <v>18</v>
      </c>
      <c r="N846">
        <v>1</v>
      </c>
      <c r="O846">
        <v>0</v>
      </c>
      <c r="P846" t="s">
        <v>19</v>
      </c>
      <c r="Q846" s="6">
        <v>241</v>
      </c>
      <c r="R846" t="str">
        <f t="shared" si="39"/>
        <v xml:space="preserve"> The Daniels 5 Star Short Let Apartment in Lekki_x000C_</v>
      </c>
      <c r="S846" t="str">
        <f t="shared" si="40"/>
        <v xml:space="preserve"> The Daniels 5 Star Short Let Apartment in Lekki</v>
      </c>
      <c r="T846">
        <f>Table1[[#This Row],[Adults]]+Table1[[#This Row],[Children]]</f>
        <v>1</v>
      </c>
      <c r="U846">
        <f>_xlfn.DAYS(Table1[[#This Row],[Depart]],Table1[[#This Row],[Arrive]])</f>
        <v>2</v>
      </c>
    </row>
    <row r="847" spans="1:21" x14ac:dyDescent="0.25">
      <c r="A847" t="s">
        <v>1077</v>
      </c>
      <c r="B847" t="s">
        <v>1078</v>
      </c>
      <c r="C847" t="s">
        <v>1175</v>
      </c>
      <c r="D847" s="1">
        <v>44166</v>
      </c>
      <c r="E847" s="1">
        <v>44167</v>
      </c>
      <c r="F847">
        <f t="shared" si="41"/>
        <v>1</v>
      </c>
      <c r="G847" s="1">
        <v>44153</v>
      </c>
      <c r="H847" s="2">
        <v>0.5</v>
      </c>
      <c r="I847" s="2">
        <v>0.58333333333333337</v>
      </c>
      <c r="J847" t="s">
        <v>2082</v>
      </c>
      <c r="K847" t="s">
        <v>2082</v>
      </c>
      <c r="L847" t="s">
        <v>22</v>
      </c>
      <c r="M847" s="12" t="s">
        <v>18</v>
      </c>
      <c r="N847">
        <v>8</v>
      </c>
      <c r="O847">
        <v>0</v>
      </c>
      <c r="P847" t="s">
        <v>19</v>
      </c>
      <c r="Q847" s="6">
        <v>130000</v>
      </c>
      <c r="R847" t="str">
        <f t="shared" si="39"/>
        <v>Keji's 5 Star Short let Apartment in Lekki_x000C_</v>
      </c>
      <c r="S847" t="str">
        <f t="shared" si="40"/>
        <v>Keji's 5 Star Short let Apartment in Lekki</v>
      </c>
      <c r="T847">
        <f>Table1[[#This Row],[Adults]]+Table1[[#This Row],[Children]]</f>
        <v>8</v>
      </c>
      <c r="U847">
        <f>_xlfn.DAYS(Table1[[#This Row],[Depart]],Table1[[#This Row],[Arrive]])</f>
        <v>1</v>
      </c>
    </row>
    <row r="848" spans="1:21" x14ac:dyDescent="0.25">
      <c r="A848" t="s">
        <v>1099</v>
      </c>
      <c r="B848" t="s">
        <v>1100</v>
      </c>
      <c r="C848" t="s">
        <v>1175</v>
      </c>
      <c r="D848" s="1">
        <v>44166</v>
      </c>
      <c r="E848" s="1">
        <v>44167</v>
      </c>
      <c r="F848">
        <f t="shared" si="41"/>
        <v>1</v>
      </c>
      <c r="G848" s="1">
        <v>44158</v>
      </c>
      <c r="H848" s="2">
        <v>0.5</v>
      </c>
      <c r="I848" s="2">
        <v>0.58333333333333337</v>
      </c>
      <c r="J848" t="s">
        <v>2105</v>
      </c>
      <c r="K848" t="s">
        <v>2105</v>
      </c>
      <c r="L848" t="s">
        <v>22</v>
      </c>
      <c r="M848" s="12" t="s">
        <v>18</v>
      </c>
      <c r="N848">
        <v>2</v>
      </c>
      <c r="O848">
        <v>0</v>
      </c>
      <c r="P848" t="s">
        <v>19</v>
      </c>
      <c r="Q848" s="6">
        <v>75000</v>
      </c>
      <c r="R848" t="str">
        <f t="shared" si="39"/>
        <v>Keji's 5 Star Short let Apartment in Lekki_x000C_</v>
      </c>
      <c r="S848" t="str">
        <f t="shared" si="40"/>
        <v>Keji's 5 Star Short let Apartment in Lekki</v>
      </c>
      <c r="T848">
        <f>Table1[[#This Row],[Adults]]+Table1[[#This Row],[Children]]</f>
        <v>2</v>
      </c>
      <c r="U848">
        <f>_xlfn.DAYS(Table1[[#This Row],[Depart]],Table1[[#This Row],[Arrive]])</f>
        <v>1</v>
      </c>
    </row>
    <row r="849" spans="1:21" x14ac:dyDescent="0.25">
      <c r="A849" t="s">
        <v>1151</v>
      </c>
      <c r="B849" t="s">
        <v>1152</v>
      </c>
      <c r="C849" t="s">
        <v>1173</v>
      </c>
      <c r="D849" s="1">
        <v>44166</v>
      </c>
      <c r="E849" s="1">
        <v>44168</v>
      </c>
      <c r="F849">
        <f t="shared" si="41"/>
        <v>2</v>
      </c>
      <c r="G849" s="1">
        <v>44160</v>
      </c>
      <c r="H849" s="2">
        <v>0.33333333333333331</v>
      </c>
      <c r="I849" s="3">
        <v>1</v>
      </c>
      <c r="J849" t="s">
        <v>2144</v>
      </c>
      <c r="K849" t="s">
        <v>2144</v>
      </c>
      <c r="L849" t="s">
        <v>22</v>
      </c>
      <c r="M849" s="12" t="s">
        <v>18</v>
      </c>
      <c r="N849">
        <v>5</v>
      </c>
      <c r="O849">
        <v>0</v>
      </c>
      <c r="P849" t="s">
        <v>19</v>
      </c>
      <c r="Q849" s="6">
        <v>258</v>
      </c>
      <c r="R849" t="str">
        <f t="shared" si="39"/>
        <v xml:space="preserve"> The Daniels 5 Star Short Let Apartment in Lekki_x000C_</v>
      </c>
      <c r="S849" t="str">
        <f t="shared" si="40"/>
        <v xml:space="preserve"> The Daniels 5 Star Short Let Apartment in Lekki</v>
      </c>
      <c r="T849">
        <f>Table1[[#This Row],[Adults]]+Table1[[#This Row],[Children]]</f>
        <v>5</v>
      </c>
      <c r="U849">
        <f>_xlfn.DAYS(Table1[[#This Row],[Depart]],Table1[[#This Row],[Arrive]])</f>
        <v>2</v>
      </c>
    </row>
    <row r="850" spans="1:21" x14ac:dyDescent="0.25">
      <c r="A850" t="s">
        <v>915</v>
      </c>
      <c r="B850" t="s">
        <v>916</v>
      </c>
      <c r="C850" t="s">
        <v>1175</v>
      </c>
      <c r="D850" s="1">
        <v>44167</v>
      </c>
      <c r="E850" s="1">
        <v>44170</v>
      </c>
      <c r="F850">
        <f t="shared" si="41"/>
        <v>3</v>
      </c>
      <c r="G850" s="1">
        <v>44121</v>
      </c>
      <c r="H850" s="2">
        <v>0.5</v>
      </c>
      <c r="I850" s="2">
        <v>0.58333333333333337</v>
      </c>
      <c r="J850" t="s">
        <v>1890</v>
      </c>
      <c r="K850" t="s">
        <v>1890</v>
      </c>
      <c r="L850" t="s">
        <v>22</v>
      </c>
      <c r="M850" s="12" t="s">
        <v>18</v>
      </c>
      <c r="N850">
        <v>1</v>
      </c>
      <c r="O850">
        <v>0</v>
      </c>
      <c r="P850" t="s">
        <v>19</v>
      </c>
      <c r="Q850" s="6">
        <v>255000</v>
      </c>
      <c r="R850" t="str">
        <f t="shared" si="39"/>
        <v>Keji's 5 Star Short let Apartment in Lekki_x000C_</v>
      </c>
      <c r="S850" t="str">
        <f t="shared" si="40"/>
        <v>Keji's 5 Star Short let Apartment in Lekki</v>
      </c>
      <c r="T850">
        <f>Table1[[#This Row],[Adults]]+Table1[[#This Row],[Children]]</f>
        <v>1</v>
      </c>
      <c r="U850">
        <f>_xlfn.DAYS(Table1[[#This Row],[Depart]],Table1[[#This Row],[Arrive]])</f>
        <v>3</v>
      </c>
    </row>
    <row r="851" spans="1:21" x14ac:dyDescent="0.25">
      <c r="A851" t="s">
        <v>927</v>
      </c>
      <c r="B851" t="s">
        <v>928</v>
      </c>
      <c r="C851" t="s">
        <v>1173</v>
      </c>
      <c r="D851" s="1">
        <v>44167</v>
      </c>
      <c r="E851" s="1">
        <v>44175</v>
      </c>
      <c r="F851">
        <f t="shared" si="41"/>
        <v>8</v>
      </c>
      <c r="G851" s="1">
        <v>44124</v>
      </c>
      <c r="H851" s="2">
        <v>0.33333333333333331</v>
      </c>
      <c r="I851" s="3">
        <v>1</v>
      </c>
      <c r="J851" t="s">
        <v>1897</v>
      </c>
      <c r="K851" t="s">
        <v>1897</v>
      </c>
      <c r="L851" t="s">
        <v>26</v>
      </c>
      <c r="M851" s="12" t="s">
        <v>18</v>
      </c>
      <c r="N851">
        <v>6</v>
      </c>
      <c r="O851">
        <v>0</v>
      </c>
      <c r="P851" t="s">
        <v>19</v>
      </c>
      <c r="Q851" s="6">
        <v>916</v>
      </c>
      <c r="R851" t="str">
        <f t="shared" si="39"/>
        <v xml:space="preserve"> The Daniels 5 Star Short Let Apartment in Lekki_x000C_</v>
      </c>
      <c r="S851" t="str">
        <f t="shared" si="40"/>
        <v xml:space="preserve"> The Daniels 5 Star Short Let Apartment in Lekki</v>
      </c>
      <c r="T851">
        <f>Table1[[#This Row],[Adults]]+Table1[[#This Row],[Children]]</f>
        <v>6</v>
      </c>
      <c r="U851">
        <f>_xlfn.DAYS(Table1[[#This Row],[Depart]],Table1[[#This Row],[Arrive]])</f>
        <v>8</v>
      </c>
    </row>
    <row r="852" spans="1:21" x14ac:dyDescent="0.25">
      <c r="A852" t="s">
        <v>1139</v>
      </c>
      <c r="B852" t="s">
        <v>1140</v>
      </c>
      <c r="C852" t="s">
        <v>1175</v>
      </c>
      <c r="D852" s="1">
        <v>44168</v>
      </c>
      <c r="E852" s="1">
        <v>44172</v>
      </c>
      <c r="F852">
        <f t="shared" si="41"/>
        <v>4</v>
      </c>
      <c r="G852" s="1">
        <v>44165</v>
      </c>
      <c r="H852" s="2">
        <v>0.5</v>
      </c>
      <c r="I852" s="2">
        <v>0.58333333333333337</v>
      </c>
      <c r="J852" t="s">
        <v>2133</v>
      </c>
      <c r="K852" t="s">
        <v>2133</v>
      </c>
      <c r="L852" t="s">
        <v>22</v>
      </c>
      <c r="M852" s="12" t="s">
        <v>18</v>
      </c>
      <c r="N852">
        <v>2</v>
      </c>
      <c r="O852">
        <v>0</v>
      </c>
      <c r="P852" t="s">
        <v>19</v>
      </c>
      <c r="Q852" s="6">
        <v>0</v>
      </c>
      <c r="R852" t="str">
        <f t="shared" si="39"/>
        <v>Keji's 5 Star Short let Apartment in Lekki_x000C_</v>
      </c>
      <c r="S852" t="str">
        <f t="shared" si="40"/>
        <v>Keji's 5 Star Short let Apartment in Lekki</v>
      </c>
      <c r="T852">
        <f>Table1[[#This Row],[Adults]]+Table1[[#This Row],[Children]]</f>
        <v>2</v>
      </c>
      <c r="U852">
        <f>_xlfn.DAYS(Table1[[#This Row],[Depart]],Table1[[#This Row],[Arrive]])</f>
        <v>4</v>
      </c>
    </row>
    <row r="853" spans="1:21" x14ac:dyDescent="0.25">
      <c r="A853" t="s">
        <v>1159</v>
      </c>
      <c r="B853" t="s">
        <v>1160</v>
      </c>
      <c r="C853" t="s">
        <v>1173</v>
      </c>
      <c r="D853" s="1">
        <v>44168</v>
      </c>
      <c r="E853" s="1">
        <v>44169</v>
      </c>
      <c r="F853">
        <f t="shared" si="41"/>
        <v>1</v>
      </c>
      <c r="G853" s="1">
        <v>44168</v>
      </c>
      <c r="H853" s="2">
        <v>0.33333333333333331</v>
      </c>
      <c r="I853" s="3">
        <v>1</v>
      </c>
      <c r="J853" t="s">
        <v>2155</v>
      </c>
      <c r="K853" t="s">
        <v>2155</v>
      </c>
      <c r="L853" t="s">
        <v>22</v>
      </c>
      <c r="M853" s="12" t="s">
        <v>18</v>
      </c>
      <c r="N853">
        <v>2</v>
      </c>
      <c r="O853">
        <v>0</v>
      </c>
      <c r="P853" t="s">
        <v>19</v>
      </c>
      <c r="Q853" s="6">
        <v>129</v>
      </c>
      <c r="R853" t="str">
        <f t="shared" si="39"/>
        <v xml:space="preserve"> The Daniels 5 Star Short Let Apartment in Lekki_x000C_</v>
      </c>
      <c r="S853" t="str">
        <f t="shared" si="40"/>
        <v xml:space="preserve"> The Daniels 5 Star Short Let Apartment in Lekki</v>
      </c>
      <c r="T853">
        <f>Table1[[#This Row],[Adults]]+Table1[[#This Row],[Children]]</f>
        <v>2</v>
      </c>
      <c r="U853">
        <f>_xlfn.DAYS(Table1[[#This Row],[Depart]],Table1[[#This Row],[Arrive]])</f>
        <v>1</v>
      </c>
    </row>
    <row r="854" spans="1:21" x14ac:dyDescent="0.25">
      <c r="A854" t="s">
        <v>1159</v>
      </c>
      <c r="B854" t="s">
        <v>1160</v>
      </c>
      <c r="C854" t="s">
        <v>1173</v>
      </c>
      <c r="D854" s="1">
        <v>44168</v>
      </c>
      <c r="E854" s="1">
        <v>44169</v>
      </c>
      <c r="F854">
        <f t="shared" si="41"/>
        <v>1</v>
      </c>
      <c r="G854" s="1">
        <v>44168</v>
      </c>
      <c r="H854" s="2">
        <v>0.33333333333333331</v>
      </c>
      <c r="I854" s="3">
        <v>1</v>
      </c>
      <c r="J854" t="s">
        <v>2156</v>
      </c>
      <c r="K854" t="s">
        <v>2156</v>
      </c>
      <c r="L854" t="s">
        <v>22</v>
      </c>
      <c r="M854" s="12" t="s">
        <v>23</v>
      </c>
      <c r="N854">
        <v>3</v>
      </c>
      <c r="O854">
        <v>0</v>
      </c>
      <c r="P854" t="s">
        <v>19</v>
      </c>
      <c r="Q854" s="6">
        <v>129</v>
      </c>
      <c r="R854" t="str">
        <f t="shared" si="39"/>
        <v xml:space="preserve"> The Daniels 5 Star Short Let Apartment in Lekki_x000C_</v>
      </c>
      <c r="S854" t="str">
        <f t="shared" si="40"/>
        <v xml:space="preserve"> The Daniels 5 Star Short Let Apartment in Lekki</v>
      </c>
      <c r="T854">
        <f>Table1[[#This Row],[Adults]]+Table1[[#This Row],[Children]]</f>
        <v>3</v>
      </c>
      <c r="U854">
        <f>_xlfn.DAYS(Table1[[#This Row],[Depart]],Table1[[#This Row],[Arrive]])</f>
        <v>1</v>
      </c>
    </row>
    <row r="855" spans="1:21" x14ac:dyDescent="0.25">
      <c r="A855" t="s">
        <v>210</v>
      </c>
      <c r="B855" t="s">
        <v>211</v>
      </c>
      <c r="C855" t="s">
        <v>1180</v>
      </c>
      <c r="D855" s="1">
        <v>44169</v>
      </c>
      <c r="E855" s="1">
        <v>44176</v>
      </c>
      <c r="F855">
        <f t="shared" si="41"/>
        <v>7</v>
      </c>
      <c r="G855" s="1">
        <v>44014</v>
      </c>
      <c r="H855" s="2">
        <v>0.58333333333333337</v>
      </c>
      <c r="I855" s="2">
        <v>0.45833333333333331</v>
      </c>
      <c r="J855" t="s">
        <v>2182</v>
      </c>
      <c r="K855" t="s">
        <v>1215</v>
      </c>
      <c r="L855" t="s">
        <v>17</v>
      </c>
      <c r="M855" s="12" t="s">
        <v>18</v>
      </c>
      <c r="N855">
        <v>2</v>
      </c>
      <c r="O855">
        <v>0</v>
      </c>
      <c r="P855" t="s">
        <v>19</v>
      </c>
      <c r="Q855" s="6">
        <v>903</v>
      </c>
      <c r="R855" t="str">
        <f t="shared" si="39"/>
        <v>Zoe's 5 Star Short let Apartment in Lekki_x000C_</v>
      </c>
      <c r="S855" t="str">
        <f t="shared" si="40"/>
        <v>Zoe's 5 Star Short let Apartment in Lekki</v>
      </c>
      <c r="T855">
        <f>Table1[[#This Row],[Adults]]+Table1[[#This Row],[Children]]</f>
        <v>2</v>
      </c>
      <c r="U855">
        <f>_xlfn.DAYS(Table1[[#This Row],[Depart]],Table1[[#This Row],[Arrive]])</f>
        <v>7</v>
      </c>
    </row>
    <row r="856" spans="1:21" x14ac:dyDescent="0.25">
      <c r="A856" t="s">
        <v>909</v>
      </c>
      <c r="B856" t="s">
        <v>910</v>
      </c>
      <c r="C856" t="s">
        <v>1175</v>
      </c>
      <c r="D856" s="1">
        <v>44169</v>
      </c>
      <c r="E856" s="1">
        <v>44170</v>
      </c>
      <c r="F856">
        <f t="shared" si="41"/>
        <v>1</v>
      </c>
      <c r="G856" s="1">
        <v>44120</v>
      </c>
      <c r="H856" s="2">
        <v>0.5</v>
      </c>
      <c r="I856" s="2">
        <v>0.58333333333333337</v>
      </c>
      <c r="J856" t="s">
        <v>1885</v>
      </c>
      <c r="K856" t="s">
        <v>1885</v>
      </c>
      <c r="L856" t="s">
        <v>22</v>
      </c>
      <c r="M856" s="12" t="s">
        <v>18</v>
      </c>
      <c r="N856">
        <v>1</v>
      </c>
      <c r="O856">
        <v>0</v>
      </c>
      <c r="P856" t="s">
        <v>19</v>
      </c>
      <c r="Q856" s="6">
        <v>130000</v>
      </c>
      <c r="R856" t="str">
        <f t="shared" si="39"/>
        <v>Keji's 5 Star Short let Apartment in Lekki_x000C_</v>
      </c>
      <c r="S856" t="str">
        <f t="shared" si="40"/>
        <v>Keji's 5 Star Short let Apartment in Lekki</v>
      </c>
      <c r="T856">
        <f>Table1[[#This Row],[Adults]]+Table1[[#This Row],[Children]]</f>
        <v>1</v>
      </c>
      <c r="U856">
        <f>_xlfn.DAYS(Table1[[#This Row],[Depart]],Table1[[#This Row],[Arrive]])</f>
        <v>1</v>
      </c>
    </row>
    <row r="857" spans="1:21" x14ac:dyDescent="0.25">
      <c r="A857" t="s">
        <v>925</v>
      </c>
      <c r="B857" t="s">
        <v>926</v>
      </c>
      <c r="C857" t="s">
        <v>1175</v>
      </c>
      <c r="D857" s="1">
        <v>44169</v>
      </c>
      <c r="E857" s="1">
        <v>44170</v>
      </c>
      <c r="F857">
        <f t="shared" si="41"/>
        <v>1</v>
      </c>
      <c r="G857" s="1">
        <v>44124</v>
      </c>
      <c r="H857" s="2">
        <v>0.5</v>
      </c>
      <c r="I857" s="2">
        <v>0.58333333333333337</v>
      </c>
      <c r="J857" t="s">
        <v>1896</v>
      </c>
      <c r="K857" t="s">
        <v>1896</v>
      </c>
      <c r="L857" t="s">
        <v>22</v>
      </c>
      <c r="M857" s="12" t="s">
        <v>18</v>
      </c>
      <c r="N857">
        <v>1</v>
      </c>
      <c r="O857">
        <v>0</v>
      </c>
      <c r="P857" t="s">
        <v>19</v>
      </c>
      <c r="Q857" s="6">
        <v>130000</v>
      </c>
      <c r="R857" t="str">
        <f t="shared" si="39"/>
        <v>Keji's 5 Star Short let Apartment in Lekki_x000C_</v>
      </c>
      <c r="S857" t="str">
        <f t="shared" si="40"/>
        <v>Keji's 5 Star Short let Apartment in Lekki</v>
      </c>
      <c r="T857">
        <f>Table1[[#This Row],[Adults]]+Table1[[#This Row],[Children]]</f>
        <v>1</v>
      </c>
      <c r="U857">
        <f>_xlfn.DAYS(Table1[[#This Row],[Depart]],Table1[[#This Row],[Arrive]])</f>
        <v>1</v>
      </c>
    </row>
    <row r="858" spans="1:21" x14ac:dyDescent="0.25">
      <c r="A858" t="s">
        <v>931</v>
      </c>
      <c r="B858" t="s">
        <v>932</v>
      </c>
      <c r="C858" t="s">
        <v>1173</v>
      </c>
      <c r="D858" s="1">
        <v>44169</v>
      </c>
      <c r="E858" s="1">
        <v>44171</v>
      </c>
      <c r="F858">
        <f t="shared" si="41"/>
        <v>2</v>
      </c>
      <c r="G858" s="1">
        <v>44125</v>
      </c>
      <c r="H858" s="2">
        <v>0.33333333333333331</v>
      </c>
      <c r="I858" s="3">
        <v>1</v>
      </c>
      <c r="J858" t="s">
        <v>1899</v>
      </c>
      <c r="K858" t="s">
        <v>1899</v>
      </c>
      <c r="L858" t="s">
        <v>22</v>
      </c>
      <c r="M858" s="12" t="s">
        <v>23</v>
      </c>
      <c r="N858">
        <v>6</v>
      </c>
      <c r="O858">
        <v>0</v>
      </c>
      <c r="P858" t="s">
        <v>19</v>
      </c>
      <c r="Q858" s="6">
        <v>258</v>
      </c>
      <c r="R858" t="str">
        <f t="shared" si="39"/>
        <v xml:space="preserve"> The Daniels 5 Star Short Let Apartment in Lekki_x000C_</v>
      </c>
      <c r="S858" t="str">
        <f t="shared" si="40"/>
        <v xml:space="preserve"> The Daniels 5 Star Short Let Apartment in Lekki</v>
      </c>
      <c r="T858">
        <f>Table1[[#This Row],[Adults]]+Table1[[#This Row],[Children]]</f>
        <v>6</v>
      </c>
      <c r="U858">
        <f>_xlfn.DAYS(Table1[[#This Row],[Depart]],Table1[[#This Row],[Arrive]])</f>
        <v>2</v>
      </c>
    </row>
    <row r="859" spans="1:21" x14ac:dyDescent="0.25">
      <c r="A859" t="s">
        <v>947</v>
      </c>
      <c r="B859" t="s">
        <v>948</v>
      </c>
      <c r="C859" t="s">
        <v>1179</v>
      </c>
      <c r="D859" s="1">
        <v>44169</v>
      </c>
      <c r="E859" s="1">
        <v>44171</v>
      </c>
      <c r="F859">
        <f t="shared" si="41"/>
        <v>2</v>
      </c>
      <c r="G859" s="1">
        <v>44128</v>
      </c>
      <c r="H859" s="2">
        <v>0.33333333333333331</v>
      </c>
      <c r="I859" s="3">
        <v>1</v>
      </c>
      <c r="J859" t="s">
        <v>1928</v>
      </c>
      <c r="K859" t="s">
        <v>1928</v>
      </c>
      <c r="L859" t="s">
        <v>22</v>
      </c>
      <c r="M859" s="12" t="s">
        <v>23</v>
      </c>
      <c r="N859">
        <v>6</v>
      </c>
      <c r="O859">
        <v>0</v>
      </c>
      <c r="P859" t="s">
        <v>19</v>
      </c>
      <c r="Q859" s="6">
        <v>258</v>
      </c>
      <c r="R859" t="str">
        <f t="shared" si="39"/>
        <v>Phiola's 5 Star Short Let Apartment in Lekki_x000C_</v>
      </c>
      <c r="S859" t="str">
        <f t="shared" si="40"/>
        <v>Phiola's 5 Star Short Let Apartment in Lekki</v>
      </c>
      <c r="T859">
        <f>Table1[[#This Row],[Adults]]+Table1[[#This Row],[Children]]</f>
        <v>6</v>
      </c>
      <c r="U859">
        <f>_xlfn.DAYS(Table1[[#This Row],[Depart]],Table1[[#This Row],[Arrive]])</f>
        <v>2</v>
      </c>
    </row>
    <row r="860" spans="1:21" x14ac:dyDescent="0.25">
      <c r="A860" t="s">
        <v>947</v>
      </c>
      <c r="B860" t="s">
        <v>948</v>
      </c>
      <c r="C860" t="s">
        <v>1180</v>
      </c>
      <c r="D860" s="1">
        <v>44169</v>
      </c>
      <c r="E860" s="1">
        <v>44171</v>
      </c>
      <c r="F860">
        <f t="shared" si="41"/>
        <v>2</v>
      </c>
      <c r="G860" s="1">
        <v>44128</v>
      </c>
      <c r="H860" s="2">
        <v>0.58333333333333337</v>
      </c>
      <c r="I860" s="2">
        <v>0.45833333333333331</v>
      </c>
      <c r="J860" t="s">
        <v>1929</v>
      </c>
      <c r="K860" t="s">
        <v>1929</v>
      </c>
      <c r="L860" t="s">
        <v>22</v>
      </c>
      <c r="M860" s="12" t="s">
        <v>23</v>
      </c>
      <c r="N860">
        <v>6</v>
      </c>
      <c r="O860">
        <v>0</v>
      </c>
      <c r="P860" t="s">
        <v>19</v>
      </c>
      <c r="Q860" s="6">
        <v>258</v>
      </c>
      <c r="R860" t="str">
        <f t="shared" si="39"/>
        <v>Zoe's 5 Star Short let Apartment in Lekki_x000C_</v>
      </c>
      <c r="S860" t="str">
        <f t="shared" si="40"/>
        <v>Zoe's 5 Star Short let Apartment in Lekki</v>
      </c>
      <c r="T860">
        <f>Table1[[#This Row],[Adults]]+Table1[[#This Row],[Children]]</f>
        <v>6</v>
      </c>
      <c r="U860">
        <f>_xlfn.DAYS(Table1[[#This Row],[Depart]],Table1[[#This Row],[Arrive]])</f>
        <v>2</v>
      </c>
    </row>
    <row r="861" spans="1:21" x14ac:dyDescent="0.25">
      <c r="A861" t="s">
        <v>1011</v>
      </c>
      <c r="B861" t="s">
        <v>1012</v>
      </c>
      <c r="C861" t="s">
        <v>1177</v>
      </c>
      <c r="D861" s="1">
        <v>44169</v>
      </c>
      <c r="E861" s="1">
        <v>44171</v>
      </c>
      <c r="F861">
        <f t="shared" si="41"/>
        <v>2</v>
      </c>
      <c r="G861" s="1">
        <v>44138</v>
      </c>
      <c r="H861" s="2">
        <v>0.58333333333333337</v>
      </c>
      <c r="I861" s="2">
        <v>0.5</v>
      </c>
      <c r="J861" t="s">
        <v>1999</v>
      </c>
      <c r="K861" t="s">
        <v>1999</v>
      </c>
      <c r="L861" t="s">
        <v>26</v>
      </c>
      <c r="M861" s="12" t="s">
        <v>18</v>
      </c>
      <c r="N861">
        <v>1</v>
      </c>
      <c r="O861">
        <v>0</v>
      </c>
      <c r="P861" t="s">
        <v>19</v>
      </c>
      <c r="Q861" s="6">
        <v>364</v>
      </c>
      <c r="R861" t="str">
        <f t="shared" si="39"/>
        <v>Achikare 's Luxury Home Away from Home_x000C_</v>
      </c>
      <c r="S861" t="str">
        <f t="shared" si="40"/>
        <v>Achikare 's Luxury Home Away from Home</v>
      </c>
      <c r="T861">
        <f>Table1[[#This Row],[Adults]]+Table1[[#This Row],[Children]]</f>
        <v>1</v>
      </c>
      <c r="U861">
        <f>_xlfn.DAYS(Table1[[#This Row],[Depart]],Table1[[#This Row],[Arrive]])</f>
        <v>2</v>
      </c>
    </row>
    <row r="862" spans="1:21" x14ac:dyDescent="0.25">
      <c r="A862" t="s">
        <v>995</v>
      </c>
      <c r="B862" t="s">
        <v>996</v>
      </c>
      <c r="C862" t="s">
        <v>1175</v>
      </c>
      <c r="D862" s="1">
        <v>44169</v>
      </c>
      <c r="E862" s="1">
        <v>44170</v>
      </c>
      <c r="F862">
        <f t="shared" si="41"/>
        <v>1</v>
      </c>
      <c r="G862" s="1">
        <v>44140</v>
      </c>
      <c r="H862" s="2">
        <v>0.5</v>
      </c>
      <c r="I862" s="2">
        <v>0.58333333333333337</v>
      </c>
      <c r="J862" t="s">
        <v>2003</v>
      </c>
      <c r="K862" t="s">
        <v>2003</v>
      </c>
      <c r="L862" t="s">
        <v>22</v>
      </c>
      <c r="M862" s="12" t="s">
        <v>18</v>
      </c>
      <c r="N862">
        <v>1</v>
      </c>
      <c r="O862">
        <v>0</v>
      </c>
      <c r="P862" t="s">
        <v>19</v>
      </c>
      <c r="Q862" s="6">
        <v>130000</v>
      </c>
      <c r="R862" t="str">
        <f t="shared" si="39"/>
        <v>Keji's 5 Star Short let Apartment in Lekki_x000C_</v>
      </c>
      <c r="S862" t="str">
        <f t="shared" si="40"/>
        <v>Keji's 5 Star Short let Apartment in Lekki</v>
      </c>
      <c r="T862">
        <f>Table1[[#This Row],[Adults]]+Table1[[#This Row],[Children]]</f>
        <v>1</v>
      </c>
      <c r="U862">
        <f>_xlfn.DAYS(Table1[[#This Row],[Depart]],Table1[[#This Row],[Arrive]])</f>
        <v>1</v>
      </c>
    </row>
    <row r="863" spans="1:21" x14ac:dyDescent="0.25">
      <c r="A863" t="s">
        <v>995</v>
      </c>
      <c r="B863" t="s">
        <v>996</v>
      </c>
      <c r="C863" t="s">
        <v>1175</v>
      </c>
      <c r="D863" s="1">
        <v>44169</v>
      </c>
      <c r="E863" s="1">
        <v>44170</v>
      </c>
      <c r="F863">
        <f t="shared" si="41"/>
        <v>1</v>
      </c>
      <c r="G863" s="1">
        <v>44140</v>
      </c>
      <c r="H863" s="2">
        <v>0.5</v>
      </c>
      <c r="I863" s="2">
        <v>0.58333333333333337</v>
      </c>
      <c r="J863" t="s">
        <v>2004</v>
      </c>
      <c r="K863" t="s">
        <v>2004</v>
      </c>
      <c r="L863" t="s">
        <v>22</v>
      </c>
      <c r="M863" s="12" t="s">
        <v>18</v>
      </c>
      <c r="N863">
        <v>1</v>
      </c>
      <c r="O863">
        <v>0</v>
      </c>
      <c r="P863" t="s">
        <v>19</v>
      </c>
      <c r="Q863" s="6">
        <v>130000</v>
      </c>
      <c r="R863" t="str">
        <f t="shared" si="39"/>
        <v>Keji's 5 Star Short let Apartment in Lekki_x000C_</v>
      </c>
      <c r="S863" t="str">
        <f t="shared" si="40"/>
        <v>Keji's 5 Star Short let Apartment in Lekki</v>
      </c>
      <c r="T863">
        <f>Table1[[#This Row],[Adults]]+Table1[[#This Row],[Children]]</f>
        <v>1</v>
      </c>
      <c r="U863">
        <f>_xlfn.DAYS(Table1[[#This Row],[Depart]],Table1[[#This Row],[Arrive]])</f>
        <v>1</v>
      </c>
    </row>
    <row r="864" spans="1:21" x14ac:dyDescent="0.25">
      <c r="A864" t="s">
        <v>995</v>
      </c>
      <c r="B864" t="s">
        <v>996</v>
      </c>
      <c r="C864" t="s">
        <v>1175</v>
      </c>
      <c r="D864" s="1">
        <v>44169</v>
      </c>
      <c r="E864" s="1">
        <v>44170</v>
      </c>
      <c r="F864">
        <f t="shared" si="41"/>
        <v>1</v>
      </c>
      <c r="G864" s="1">
        <v>44140</v>
      </c>
      <c r="H864" s="2">
        <v>0.5</v>
      </c>
      <c r="I864" s="2">
        <v>0.58333333333333337</v>
      </c>
      <c r="J864" t="s">
        <v>2006</v>
      </c>
      <c r="K864" t="s">
        <v>2006</v>
      </c>
      <c r="L864" t="s">
        <v>22</v>
      </c>
      <c r="M864" s="12" t="s">
        <v>18</v>
      </c>
      <c r="N864">
        <v>1</v>
      </c>
      <c r="O864">
        <v>0</v>
      </c>
      <c r="P864" t="s">
        <v>19</v>
      </c>
      <c r="Q864" s="6">
        <v>130000</v>
      </c>
      <c r="R864" t="str">
        <f t="shared" si="39"/>
        <v>Keji's 5 Star Short let Apartment in Lekki_x000C_</v>
      </c>
      <c r="S864" t="str">
        <f t="shared" si="40"/>
        <v>Keji's 5 Star Short let Apartment in Lekki</v>
      </c>
      <c r="T864">
        <f>Table1[[#This Row],[Adults]]+Table1[[#This Row],[Children]]</f>
        <v>1</v>
      </c>
      <c r="U864">
        <f>_xlfn.DAYS(Table1[[#This Row],[Depart]],Table1[[#This Row],[Arrive]])</f>
        <v>1</v>
      </c>
    </row>
    <row r="865" spans="1:21" x14ac:dyDescent="0.25">
      <c r="A865" t="s">
        <v>995</v>
      </c>
      <c r="B865" t="s">
        <v>996</v>
      </c>
      <c r="C865" t="s">
        <v>1175</v>
      </c>
      <c r="D865" s="1">
        <v>44169</v>
      </c>
      <c r="E865" s="1">
        <v>44170</v>
      </c>
      <c r="F865">
        <f t="shared" si="41"/>
        <v>1</v>
      </c>
      <c r="G865" s="1">
        <v>44140</v>
      </c>
      <c r="H865" s="2">
        <v>0.5</v>
      </c>
      <c r="I865" s="2">
        <v>0.58333333333333337</v>
      </c>
      <c r="J865" t="s">
        <v>2007</v>
      </c>
      <c r="K865" t="s">
        <v>2007</v>
      </c>
      <c r="L865" t="s">
        <v>22</v>
      </c>
      <c r="M865" s="12" t="s">
        <v>18</v>
      </c>
      <c r="N865">
        <v>1</v>
      </c>
      <c r="O865">
        <v>0</v>
      </c>
      <c r="P865" t="s">
        <v>19</v>
      </c>
      <c r="Q865" s="6">
        <v>130000</v>
      </c>
      <c r="R865" t="str">
        <f t="shared" si="39"/>
        <v>Keji's 5 Star Short let Apartment in Lekki_x000C_</v>
      </c>
      <c r="S865" t="str">
        <f t="shared" si="40"/>
        <v>Keji's 5 Star Short let Apartment in Lekki</v>
      </c>
      <c r="T865">
        <f>Table1[[#This Row],[Adults]]+Table1[[#This Row],[Children]]</f>
        <v>1</v>
      </c>
      <c r="U865">
        <f>_xlfn.DAYS(Table1[[#This Row],[Depart]],Table1[[#This Row],[Arrive]])</f>
        <v>1</v>
      </c>
    </row>
    <row r="866" spans="1:21" x14ac:dyDescent="0.25">
      <c r="A866" t="s">
        <v>995</v>
      </c>
      <c r="B866" t="s">
        <v>996</v>
      </c>
      <c r="C866" t="s">
        <v>1175</v>
      </c>
      <c r="D866" s="1">
        <v>44169</v>
      </c>
      <c r="E866" s="1">
        <v>44170</v>
      </c>
      <c r="F866">
        <f t="shared" si="41"/>
        <v>1</v>
      </c>
      <c r="G866" s="1">
        <v>44140</v>
      </c>
      <c r="H866" s="2">
        <v>0.5</v>
      </c>
      <c r="I866" s="2">
        <v>0.58333333333333337</v>
      </c>
      <c r="J866" t="s">
        <v>2008</v>
      </c>
      <c r="K866" t="s">
        <v>2008</v>
      </c>
      <c r="L866" t="s">
        <v>22</v>
      </c>
      <c r="M866" s="12" t="s">
        <v>18</v>
      </c>
      <c r="N866">
        <v>1</v>
      </c>
      <c r="O866">
        <v>0</v>
      </c>
      <c r="P866" t="s">
        <v>19</v>
      </c>
      <c r="Q866" s="6">
        <v>130000</v>
      </c>
      <c r="R866" t="str">
        <f t="shared" si="39"/>
        <v>Keji's 5 Star Short let Apartment in Lekki_x000C_</v>
      </c>
      <c r="S866" t="str">
        <f t="shared" si="40"/>
        <v>Keji's 5 Star Short let Apartment in Lekki</v>
      </c>
      <c r="T866">
        <f>Table1[[#This Row],[Adults]]+Table1[[#This Row],[Children]]</f>
        <v>1</v>
      </c>
      <c r="U866">
        <f>_xlfn.DAYS(Table1[[#This Row],[Depart]],Table1[[#This Row],[Arrive]])</f>
        <v>1</v>
      </c>
    </row>
    <row r="867" spans="1:21" x14ac:dyDescent="0.25">
      <c r="A867" t="s">
        <v>995</v>
      </c>
      <c r="B867" t="s">
        <v>996</v>
      </c>
      <c r="C867" t="s">
        <v>1175</v>
      </c>
      <c r="D867" s="1">
        <v>44169</v>
      </c>
      <c r="E867" s="1">
        <v>44170</v>
      </c>
      <c r="F867">
        <f t="shared" si="41"/>
        <v>1</v>
      </c>
      <c r="G867" s="1">
        <v>44140</v>
      </c>
      <c r="H867" s="2">
        <v>0.5</v>
      </c>
      <c r="I867" s="2">
        <v>0.58333333333333337</v>
      </c>
      <c r="J867" t="s">
        <v>2009</v>
      </c>
      <c r="K867" t="s">
        <v>2009</v>
      </c>
      <c r="L867" t="s">
        <v>22</v>
      </c>
      <c r="M867" s="12" t="s">
        <v>18</v>
      </c>
      <c r="N867">
        <v>1</v>
      </c>
      <c r="O867">
        <v>0</v>
      </c>
      <c r="P867" t="s">
        <v>19</v>
      </c>
      <c r="Q867" s="6">
        <v>130000</v>
      </c>
      <c r="R867" t="str">
        <f t="shared" si="39"/>
        <v>Keji's 5 Star Short let Apartment in Lekki_x000C_</v>
      </c>
      <c r="S867" t="str">
        <f t="shared" si="40"/>
        <v>Keji's 5 Star Short let Apartment in Lekki</v>
      </c>
      <c r="T867">
        <f>Table1[[#This Row],[Adults]]+Table1[[#This Row],[Children]]</f>
        <v>1</v>
      </c>
      <c r="U867">
        <f>_xlfn.DAYS(Table1[[#This Row],[Depart]],Table1[[#This Row],[Arrive]])</f>
        <v>1</v>
      </c>
    </row>
    <row r="868" spans="1:21" x14ac:dyDescent="0.25">
      <c r="A868" t="s">
        <v>995</v>
      </c>
      <c r="B868" t="s">
        <v>996</v>
      </c>
      <c r="C868" t="s">
        <v>1175</v>
      </c>
      <c r="D868" s="1">
        <v>44169</v>
      </c>
      <c r="E868" s="1">
        <v>44170</v>
      </c>
      <c r="F868">
        <f t="shared" si="41"/>
        <v>1</v>
      </c>
      <c r="G868" s="1">
        <v>44140</v>
      </c>
      <c r="H868" s="2">
        <v>0.5</v>
      </c>
      <c r="I868" s="2">
        <v>0.58333333333333337</v>
      </c>
      <c r="J868" t="s">
        <v>2010</v>
      </c>
      <c r="K868" t="s">
        <v>2010</v>
      </c>
      <c r="L868" t="s">
        <v>22</v>
      </c>
      <c r="M868" s="12" t="s">
        <v>18</v>
      </c>
      <c r="N868">
        <v>1</v>
      </c>
      <c r="O868">
        <v>0</v>
      </c>
      <c r="P868" t="s">
        <v>19</v>
      </c>
      <c r="Q868" s="6">
        <v>130000</v>
      </c>
      <c r="R868" t="str">
        <f t="shared" si="39"/>
        <v>Keji's 5 Star Short let Apartment in Lekki_x000C_</v>
      </c>
      <c r="S868" t="str">
        <f t="shared" si="40"/>
        <v>Keji's 5 Star Short let Apartment in Lekki</v>
      </c>
      <c r="T868">
        <f>Table1[[#This Row],[Adults]]+Table1[[#This Row],[Children]]</f>
        <v>1</v>
      </c>
      <c r="U868">
        <f>_xlfn.DAYS(Table1[[#This Row],[Depart]],Table1[[#This Row],[Arrive]])</f>
        <v>1</v>
      </c>
    </row>
    <row r="869" spans="1:21" x14ac:dyDescent="0.25">
      <c r="A869" t="s">
        <v>995</v>
      </c>
      <c r="B869" t="s">
        <v>996</v>
      </c>
      <c r="C869" t="s">
        <v>1175</v>
      </c>
      <c r="D869" s="1">
        <v>44169</v>
      </c>
      <c r="E869" s="1">
        <v>44170</v>
      </c>
      <c r="F869">
        <f t="shared" si="41"/>
        <v>1</v>
      </c>
      <c r="G869" s="1">
        <v>44140</v>
      </c>
      <c r="H869" s="2">
        <v>0.5</v>
      </c>
      <c r="I869" s="2">
        <v>0.58333333333333337</v>
      </c>
      <c r="J869" t="s">
        <v>2011</v>
      </c>
      <c r="K869" t="s">
        <v>2011</v>
      </c>
      <c r="L869" t="s">
        <v>22</v>
      </c>
      <c r="M869" s="12" t="s">
        <v>18</v>
      </c>
      <c r="N869">
        <v>1</v>
      </c>
      <c r="O869">
        <v>0</v>
      </c>
      <c r="P869" t="s">
        <v>19</v>
      </c>
      <c r="Q869" s="6">
        <v>130000</v>
      </c>
      <c r="R869" t="str">
        <f t="shared" si="39"/>
        <v>Keji's 5 Star Short let Apartment in Lekki_x000C_</v>
      </c>
      <c r="S869" t="str">
        <f t="shared" si="40"/>
        <v>Keji's 5 Star Short let Apartment in Lekki</v>
      </c>
      <c r="T869">
        <f>Table1[[#This Row],[Adults]]+Table1[[#This Row],[Children]]</f>
        <v>1</v>
      </c>
      <c r="U869">
        <f>_xlfn.DAYS(Table1[[#This Row],[Depart]],Table1[[#This Row],[Arrive]])</f>
        <v>1</v>
      </c>
    </row>
    <row r="870" spans="1:21" x14ac:dyDescent="0.25">
      <c r="A870" t="s">
        <v>995</v>
      </c>
      <c r="B870" t="s">
        <v>996</v>
      </c>
      <c r="C870" t="s">
        <v>1175</v>
      </c>
      <c r="D870" s="1">
        <v>44169</v>
      </c>
      <c r="E870" s="1">
        <v>44170</v>
      </c>
      <c r="F870">
        <f t="shared" si="41"/>
        <v>1</v>
      </c>
      <c r="G870" s="1">
        <v>44140</v>
      </c>
      <c r="H870" s="2">
        <v>0.5</v>
      </c>
      <c r="I870" s="2">
        <v>0.58333333333333337</v>
      </c>
      <c r="J870" t="s">
        <v>2012</v>
      </c>
      <c r="K870" t="s">
        <v>2012</v>
      </c>
      <c r="L870" t="s">
        <v>22</v>
      </c>
      <c r="M870" s="12" t="s">
        <v>18</v>
      </c>
      <c r="N870">
        <v>1</v>
      </c>
      <c r="O870">
        <v>0</v>
      </c>
      <c r="P870" t="s">
        <v>19</v>
      </c>
      <c r="Q870" s="6">
        <v>130000</v>
      </c>
      <c r="R870" t="str">
        <f t="shared" si="39"/>
        <v>Keji's 5 Star Short let Apartment in Lekki_x000C_</v>
      </c>
      <c r="S870" t="str">
        <f t="shared" si="40"/>
        <v>Keji's 5 Star Short let Apartment in Lekki</v>
      </c>
      <c r="T870">
        <f>Table1[[#This Row],[Adults]]+Table1[[#This Row],[Children]]</f>
        <v>1</v>
      </c>
      <c r="U870">
        <f>_xlfn.DAYS(Table1[[#This Row],[Depart]],Table1[[#This Row],[Arrive]])</f>
        <v>1</v>
      </c>
    </row>
    <row r="871" spans="1:21" x14ac:dyDescent="0.25">
      <c r="A871" t="s">
        <v>1015</v>
      </c>
      <c r="B871" t="s">
        <v>1016</v>
      </c>
      <c r="C871" t="s">
        <v>1177</v>
      </c>
      <c r="D871" s="1">
        <v>44169</v>
      </c>
      <c r="E871" s="1">
        <v>44171</v>
      </c>
      <c r="F871">
        <f t="shared" si="41"/>
        <v>2</v>
      </c>
      <c r="G871" s="1">
        <v>44140</v>
      </c>
      <c r="H871" s="2">
        <v>0.58333333333333337</v>
      </c>
      <c r="I871" s="2">
        <v>0.5</v>
      </c>
      <c r="J871" t="s">
        <v>2014</v>
      </c>
      <c r="K871" t="s">
        <v>2014</v>
      </c>
      <c r="L871" t="s">
        <v>22</v>
      </c>
      <c r="M871" s="12" t="s">
        <v>23</v>
      </c>
      <c r="N871">
        <v>6</v>
      </c>
      <c r="O871">
        <v>0</v>
      </c>
      <c r="P871" t="s">
        <v>19</v>
      </c>
      <c r="Q871" s="6">
        <v>427.85</v>
      </c>
      <c r="R871" t="str">
        <f t="shared" si="39"/>
        <v>Achikare 's Luxury Home Away from Home_x000C_</v>
      </c>
      <c r="S871" t="str">
        <f t="shared" si="40"/>
        <v>Achikare 's Luxury Home Away from Home</v>
      </c>
      <c r="T871">
        <f>Table1[[#This Row],[Adults]]+Table1[[#This Row],[Children]]</f>
        <v>6</v>
      </c>
      <c r="U871">
        <f>_xlfn.DAYS(Table1[[#This Row],[Depart]],Table1[[#This Row],[Arrive]])</f>
        <v>2</v>
      </c>
    </row>
    <row r="872" spans="1:21" x14ac:dyDescent="0.25">
      <c r="A872" t="s">
        <v>416</v>
      </c>
      <c r="B872" t="s">
        <v>417</v>
      </c>
      <c r="C872" t="s">
        <v>1176</v>
      </c>
      <c r="D872" s="1">
        <v>44169</v>
      </c>
      <c r="E872" s="1">
        <v>44173</v>
      </c>
      <c r="F872">
        <f t="shared" si="41"/>
        <v>4</v>
      </c>
      <c r="G872" s="1">
        <v>44089</v>
      </c>
      <c r="H872" s="2">
        <v>0.58333333333333337</v>
      </c>
      <c r="I872" s="2">
        <v>0.45833333333333331</v>
      </c>
      <c r="J872" t="s">
        <v>2116</v>
      </c>
      <c r="K872" t="s">
        <v>2116</v>
      </c>
      <c r="L872" t="s">
        <v>22</v>
      </c>
      <c r="M872" s="12" t="s">
        <v>18</v>
      </c>
      <c r="N872">
        <v>4</v>
      </c>
      <c r="O872">
        <v>0</v>
      </c>
      <c r="P872" t="s">
        <v>19</v>
      </c>
      <c r="Q872" s="6">
        <v>1283.55</v>
      </c>
      <c r="R872" t="str">
        <f t="shared" si="39"/>
        <v>Tiara's Luxury Home Away From Home_x000C_</v>
      </c>
      <c r="S872" t="str">
        <f t="shared" si="40"/>
        <v>Tiara's Luxury Home Away From Home</v>
      </c>
      <c r="T872">
        <f>Table1[[#This Row],[Adults]]+Table1[[#This Row],[Children]]</f>
        <v>4</v>
      </c>
      <c r="U872">
        <f>_xlfn.DAYS(Table1[[#This Row],[Depart]],Table1[[#This Row],[Arrive]])</f>
        <v>4</v>
      </c>
    </row>
    <row r="873" spans="1:21" x14ac:dyDescent="0.25">
      <c r="A873" t="s">
        <v>847</v>
      </c>
      <c r="B873" t="s">
        <v>848</v>
      </c>
      <c r="C873" t="s">
        <v>1176</v>
      </c>
      <c r="D873" s="1">
        <v>44169</v>
      </c>
      <c r="E873" s="1">
        <v>44181</v>
      </c>
      <c r="F873">
        <f t="shared" si="41"/>
        <v>12</v>
      </c>
      <c r="G873" s="1">
        <v>44150</v>
      </c>
      <c r="H873" s="2">
        <v>0.58333333333333337</v>
      </c>
      <c r="I873" s="2">
        <v>0.45833333333333331</v>
      </c>
      <c r="J873" t="s">
        <v>2117</v>
      </c>
      <c r="K873" t="s">
        <v>2117</v>
      </c>
      <c r="L873" t="s">
        <v>22</v>
      </c>
      <c r="M873" s="12" t="s">
        <v>23</v>
      </c>
      <c r="N873">
        <v>3</v>
      </c>
      <c r="O873">
        <v>0</v>
      </c>
      <c r="P873" t="s">
        <v>19</v>
      </c>
      <c r="Q873" s="6">
        <v>2567.1</v>
      </c>
      <c r="R873" t="str">
        <f t="shared" si="39"/>
        <v>Tiara's Luxury Home Away From Home_x000C_</v>
      </c>
      <c r="S873" t="str">
        <f t="shared" si="40"/>
        <v>Tiara's Luxury Home Away From Home</v>
      </c>
      <c r="T873">
        <f>Table1[[#This Row],[Adults]]+Table1[[#This Row],[Children]]</f>
        <v>3</v>
      </c>
      <c r="U873">
        <f>_xlfn.DAYS(Table1[[#This Row],[Depart]],Table1[[#This Row],[Arrive]])</f>
        <v>12</v>
      </c>
    </row>
    <row r="874" spans="1:21" x14ac:dyDescent="0.25">
      <c r="A874" t="s">
        <v>847</v>
      </c>
      <c r="B874" t="s">
        <v>848</v>
      </c>
      <c r="C874" t="s">
        <v>1177</v>
      </c>
      <c r="D874" s="1">
        <v>44171</v>
      </c>
      <c r="E874" s="1">
        <v>44183</v>
      </c>
      <c r="F874">
        <f t="shared" si="41"/>
        <v>12</v>
      </c>
      <c r="G874" s="1">
        <v>44144</v>
      </c>
      <c r="H874" s="2">
        <v>0.58333333333333337</v>
      </c>
      <c r="I874" s="2">
        <v>0.5</v>
      </c>
      <c r="J874" t="s">
        <v>2037</v>
      </c>
      <c r="K874" t="s">
        <v>2037</v>
      </c>
      <c r="L874" t="s">
        <v>22</v>
      </c>
      <c r="M874" s="12" t="s">
        <v>18</v>
      </c>
      <c r="N874">
        <v>3</v>
      </c>
      <c r="O874">
        <v>0</v>
      </c>
      <c r="P874" t="s">
        <v>19</v>
      </c>
      <c r="Q874" s="6">
        <v>2567.1</v>
      </c>
      <c r="R874" t="str">
        <f t="shared" si="39"/>
        <v>Achikare 's Luxury Home Away from Home_x000C_</v>
      </c>
      <c r="S874" t="str">
        <f t="shared" si="40"/>
        <v>Achikare 's Luxury Home Away from Home</v>
      </c>
      <c r="T874">
        <f>Table1[[#This Row],[Adults]]+Table1[[#This Row],[Children]]</f>
        <v>3</v>
      </c>
      <c r="U874">
        <f>_xlfn.DAYS(Table1[[#This Row],[Depart]],Table1[[#This Row],[Arrive]])</f>
        <v>12</v>
      </c>
    </row>
    <row r="875" spans="1:21" x14ac:dyDescent="0.25">
      <c r="A875" t="s">
        <v>1041</v>
      </c>
      <c r="B875" t="s">
        <v>1042</v>
      </c>
      <c r="C875" t="s">
        <v>1173</v>
      </c>
      <c r="D875" s="1">
        <v>44171</v>
      </c>
      <c r="E875" s="1">
        <v>44173</v>
      </c>
      <c r="F875">
        <f t="shared" si="41"/>
        <v>2</v>
      </c>
      <c r="G875" s="1">
        <v>44145</v>
      </c>
      <c r="H875" s="2">
        <v>0.33333333333333331</v>
      </c>
      <c r="I875" s="3">
        <v>1</v>
      </c>
      <c r="J875" s="4" t="s">
        <v>2044</v>
      </c>
      <c r="K875" s="4" t="s">
        <v>2044</v>
      </c>
      <c r="L875" t="s">
        <v>26</v>
      </c>
      <c r="M875" s="12" t="s">
        <v>18</v>
      </c>
      <c r="N875">
        <v>1</v>
      </c>
      <c r="O875">
        <v>0</v>
      </c>
      <c r="P875" t="s">
        <v>19</v>
      </c>
      <c r="Q875" s="6">
        <v>241</v>
      </c>
      <c r="R875" t="str">
        <f t="shared" si="39"/>
        <v xml:space="preserve"> The Daniels 5 Star Short Let Apartment in Lekki_x000C_</v>
      </c>
      <c r="S875" t="str">
        <f t="shared" si="40"/>
        <v xml:space="preserve"> The Daniels 5 Star Short Let Apartment in Lekki</v>
      </c>
      <c r="T875">
        <f>Table1[[#This Row],[Adults]]+Table1[[#This Row],[Children]]</f>
        <v>1</v>
      </c>
      <c r="U875">
        <f>_xlfn.DAYS(Table1[[#This Row],[Depart]],Table1[[#This Row],[Arrive]])</f>
        <v>2</v>
      </c>
    </row>
    <row r="876" spans="1:21" x14ac:dyDescent="0.25">
      <c r="A876" t="s">
        <v>1077</v>
      </c>
      <c r="B876" t="s">
        <v>1078</v>
      </c>
      <c r="C876" t="s">
        <v>1180</v>
      </c>
      <c r="D876" s="1">
        <v>44171</v>
      </c>
      <c r="E876" s="1">
        <v>44173</v>
      </c>
      <c r="F876">
        <f t="shared" si="41"/>
        <v>2</v>
      </c>
      <c r="G876" s="1">
        <v>44153</v>
      </c>
      <c r="H876" s="2">
        <v>0.5</v>
      </c>
      <c r="I876" s="2">
        <v>0.58333333333333337</v>
      </c>
      <c r="J876" t="s">
        <v>2090</v>
      </c>
      <c r="K876" t="s">
        <v>2090</v>
      </c>
      <c r="L876" t="s">
        <v>22</v>
      </c>
      <c r="M876" s="12" t="s">
        <v>23</v>
      </c>
      <c r="N876">
        <v>1</v>
      </c>
      <c r="O876">
        <v>0</v>
      </c>
      <c r="P876" t="s">
        <v>19</v>
      </c>
      <c r="Q876" s="6">
        <v>258</v>
      </c>
      <c r="R876" t="str">
        <f t="shared" si="39"/>
        <v>Zoe's 5 Star Short let Apartment in Lekki_x000C_</v>
      </c>
      <c r="S876" t="str">
        <f t="shared" si="40"/>
        <v>Zoe's 5 Star Short let Apartment in Lekki</v>
      </c>
      <c r="T876">
        <f>Table1[[#This Row],[Adults]]+Table1[[#This Row],[Children]]</f>
        <v>1</v>
      </c>
      <c r="U876">
        <f>_xlfn.DAYS(Table1[[#This Row],[Depart]],Table1[[#This Row],[Arrive]])</f>
        <v>2</v>
      </c>
    </row>
    <row r="877" spans="1:21" x14ac:dyDescent="0.25">
      <c r="A877" t="s">
        <v>1147</v>
      </c>
      <c r="B877" t="s">
        <v>1148</v>
      </c>
      <c r="C877" t="s">
        <v>1173</v>
      </c>
      <c r="D877" s="1">
        <v>44171</v>
      </c>
      <c r="E877" s="1">
        <v>44173</v>
      </c>
      <c r="F877">
        <f t="shared" si="41"/>
        <v>2</v>
      </c>
      <c r="G877" s="1">
        <v>44166</v>
      </c>
      <c r="H877" s="2">
        <v>0.33333333333333331</v>
      </c>
      <c r="I877" s="3">
        <v>1</v>
      </c>
      <c r="J877" t="s">
        <v>2141</v>
      </c>
      <c r="K877" t="s">
        <v>2141</v>
      </c>
      <c r="L877" t="s">
        <v>26</v>
      </c>
      <c r="M877" s="12" t="s">
        <v>18</v>
      </c>
      <c r="N877">
        <v>1</v>
      </c>
      <c r="O877">
        <v>0</v>
      </c>
      <c r="P877" t="s">
        <v>19</v>
      </c>
      <c r="Q877" s="6">
        <v>241</v>
      </c>
      <c r="R877" t="str">
        <f t="shared" si="39"/>
        <v xml:space="preserve"> The Daniels 5 Star Short Let Apartment in Lekki_x000C_</v>
      </c>
      <c r="S877" t="str">
        <f t="shared" si="40"/>
        <v xml:space="preserve"> The Daniels 5 Star Short Let Apartment in Lekki</v>
      </c>
      <c r="T877">
        <f>Table1[[#This Row],[Adults]]+Table1[[#This Row],[Children]]</f>
        <v>1</v>
      </c>
      <c r="U877">
        <f>_xlfn.DAYS(Table1[[#This Row],[Depart]],Table1[[#This Row],[Arrive]])</f>
        <v>2</v>
      </c>
    </row>
    <row r="878" spans="1:21" x14ac:dyDescent="0.25">
      <c r="A878" t="s">
        <v>1149</v>
      </c>
      <c r="B878" t="s">
        <v>1150</v>
      </c>
      <c r="C878" t="s">
        <v>1175</v>
      </c>
      <c r="D878" s="1">
        <v>44171</v>
      </c>
      <c r="E878" s="1">
        <v>44174</v>
      </c>
      <c r="F878">
        <f t="shared" si="41"/>
        <v>3</v>
      </c>
      <c r="G878" s="1">
        <v>44167</v>
      </c>
      <c r="H878" s="2">
        <v>0.5</v>
      </c>
      <c r="I878" s="2">
        <v>0.58333333333333337</v>
      </c>
      <c r="J878" t="s">
        <v>2142</v>
      </c>
      <c r="K878" t="s">
        <v>2142</v>
      </c>
      <c r="L878" t="s">
        <v>22</v>
      </c>
      <c r="M878" s="12" t="s">
        <v>18</v>
      </c>
      <c r="N878">
        <v>8</v>
      </c>
      <c r="O878">
        <v>0</v>
      </c>
      <c r="P878" t="s">
        <v>19</v>
      </c>
      <c r="Q878" s="6">
        <v>390000</v>
      </c>
      <c r="R878" t="str">
        <f t="shared" si="39"/>
        <v>Keji's 5 Star Short let Apartment in Lekki_x000C_</v>
      </c>
      <c r="S878" t="str">
        <f t="shared" si="40"/>
        <v>Keji's 5 Star Short let Apartment in Lekki</v>
      </c>
      <c r="T878">
        <f>Table1[[#This Row],[Adults]]+Table1[[#This Row],[Children]]</f>
        <v>8</v>
      </c>
      <c r="U878">
        <f>_xlfn.DAYS(Table1[[#This Row],[Depart]],Table1[[#This Row],[Arrive]])</f>
        <v>3</v>
      </c>
    </row>
    <row r="879" spans="1:21" x14ac:dyDescent="0.25">
      <c r="A879" t="s">
        <v>583</v>
      </c>
      <c r="B879" t="s">
        <v>584</v>
      </c>
      <c r="C879" t="s">
        <v>1177</v>
      </c>
      <c r="D879" s="1">
        <v>44171</v>
      </c>
      <c r="E879" s="1">
        <v>44173</v>
      </c>
      <c r="F879">
        <f t="shared" si="41"/>
        <v>2</v>
      </c>
      <c r="G879" s="1">
        <v>44167</v>
      </c>
      <c r="H879" s="2">
        <v>0.58333333333333337</v>
      </c>
      <c r="I879" s="2">
        <v>0.5</v>
      </c>
      <c r="J879" t="s">
        <v>2147</v>
      </c>
      <c r="K879" t="s">
        <v>2147</v>
      </c>
      <c r="L879" t="s">
        <v>22</v>
      </c>
      <c r="M879" s="12" t="s">
        <v>18</v>
      </c>
      <c r="N879">
        <v>4</v>
      </c>
      <c r="O879">
        <v>0</v>
      </c>
      <c r="P879" t="s">
        <v>19</v>
      </c>
      <c r="Q879" s="6">
        <v>427.85</v>
      </c>
      <c r="R879" t="str">
        <f t="shared" si="39"/>
        <v>Achikare 's Luxury Home Away from Home_x000C_</v>
      </c>
      <c r="S879" t="str">
        <f t="shared" si="40"/>
        <v>Achikare 's Luxury Home Away from Home</v>
      </c>
      <c r="T879">
        <f>Table1[[#This Row],[Adults]]+Table1[[#This Row],[Children]]</f>
        <v>4</v>
      </c>
      <c r="U879">
        <f>_xlfn.DAYS(Table1[[#This Row],[Depart]],Table1[[#This Row],[Arrive]])</f>
        <v>2</v>
      </c>
    </row>
    <row r="880" spans="1:21" x14ac:dyDescent="0.25">
      <c r="A880" t="s">
        <v>1149</v>
      </c>
      <c r="B880" t="s">
        <v>1150</v>
      </c>
      <c r="C880" t="s">
        <v>1177</v>
      </c>
      <c r="D880" s="1">
        <v>44171</v>
      </c>
      <c r="E880" s="1">
        <v>44173</v>
      </c>
      <c r="F880">
        <f t="shared" si="41"/>
        <v>2</v>
      </c>
      <c r="G880" s="1">
        <v>44167</v>
      </c>
      <c r="H880" s="2">
        <v>0.58333333333333337</v>
      </c>
      <c r="I880" s="2">
        <v>0.5</v>
      </c>
      <c r="J880" t="s">
        <v>2148</v>
      </c>
      <c r="K880" t="s">
        <v>2148</v>
      </c>
      <c r="L880" t="s">
        <v>22</v>
      </c>
      <c r="M880" s="12" t="s">
        <v>23</v>
      </c>
      <c r="N880">
        <v>4</v>
      </c>
      <c r="O880">
        <v>0</v>
      </c>
      <c r="P880" t="s">
        <v>19</v>
      </c>
      <c r="Q880" s="6">
        <v>427.85</v>
      </c>
      <c r="R880" t="str">
        <f t="shared" si="39"/>
        <v>Achikare 's Luxury Home Away from Home_x000C_</v>
      </c>
      <c r="S880" t="str">
        <f t="shared" si="40"/>
        <v>Achikare 's Luxury Home Away from Home</v>
      </c>
      <c r="T880">
        <f>Table1[[#This Row],[Adults]]+Table1[[#This Row],[Children]]</f>
        <v>4</v>
      </c>
      <c r="U880">
        <f>_xlfn.DAYS(Table1[[#This Row],[Depart]],Table1[[#This Row],[Arrive]])</f>
        <v>2</v>
      </c>
    </row>
    <row r="881" spans="1:21" x14ac:dyDescent="0.25">
      <c r="A881" t="s">
        <v>1137</v>
      </c>
      <c r="B881" t="s">
        <v>1138</v>
      </c>
      <c r="C881" t="s">
        <v>1173</v>
      </c>
      <c r="D881" s="1">
        <v>44171</v>
      </c>
      <c r="E881" s="1">
        <v>44173</v>
      </c>
      <c r="F881">
        <f t="shared" si="41"/>
        <v>2</v>
      </c>
      <c r="G881" s="1">
        <v>44169</v>
      </c>
      <c r="H881" s="2">
        <v>0.33333333333333331</v>
      </c>
      <c r="I881" s="3">
        <v>1</v>
      </c>
      <c r="J881" t="s">
        <v>2158</v>
      </c>
      <c r="K881" t="s">
        <v>2158</v>
      </c>
      <c r="L881" t="s">
        <v>22</v>
      </c>
      <c r="M881" s="12" t="s">
        <v>23</v>
      </c>
      <c r="N881">
        <v>2</v>
      </c>
      <c r="O881">
        <v>0</v>
      </c>
      <c r="P881" t="s">
        <v>19</v>
      </c>
      <c r="Q881" s="6">
        <v>356.12</v>
      </c>
      <c r="R881" t="str">
        <f t="shared" si="39"/>
        <v xml:space="preserve"> The Daniels 5 Star Short Let Apartment in Lekki_x000C_</v>
      </c>
      <c r="S881" t="str">
        <f t="shared" si="40"/>
        <v xml:space="preserve"> The Daniels 5 Star Short Let Apartment in Lekki</v>
      </c>
      <c r="T881">
        <f>Table1[[#This Row],[Adults]]+Table1[[#This Row],[Children]]</f>
        <v>2</v>
      </c>
      <c r="U881">
        <f>_xlfn.DAYS(Table1[[#This Row],[Depart]],Table1[[#This Row],[Arrive]])</f>
        <v>2</v>
      </c>
    </row>
    <row r="882" spans="1:21" x14ac:dyDescent="0.25">
      <c r="A882" t="s">
        <v>416</v>
      </c>
      <c r="B882" t="s">
        <v>417</v>
      </c>
      <c r="C882" t="s">
        <v>1175</v>
      </c>
      <c r="D882" s="1">
        <v>44172</v>
      </c>
      <c r="E882" s="1">
        <v>44173</v>
      </c>
      <c r="F882">
        <f t="shared" si="41"/>
        <v>1</v>
      </c>
      <c r="G882" s="1">
        <v>44144</v>
      </c>
      <c r="H882" s="2">
        <v>0.5</v>
      </c>
      <c r="I882" s="2">
        <v>0.58333333333333337</v>
      </c>
      <c r="J882" t="s">
        <v>2038</v>
      </c>
      <c r="K882" t="s">
        <v>2038</v>
      </c>
      <c r="L882" t="s">
        <v>22</v>
      </c>
      <c r="M882" s="12" t="s">
        <v>18</v>
      </c>
      <c r="N882">
        <v>1</v>
      </c>
      <c r="O882">
        <v>0</v>
      </c>
      <c r="P882" t="s">
        <v>19</v>
      </c>
      <c r="Q882" s="6">
        <v>75000</v>
      </c>
      <c r="R882" t="str">
        <f t="shared" si="39"/>
        <v>Keji's 5 Star Short let Apartment in Lekki_x000C_</v>
      </c>
      <c r="S882" t="str">
        <f t="shared" si="40"/>
        <v>Keji's 5 Star Short let Apartment in Lekki</v>
      </c>
      <c r="T882">
        <f>Table1[[#This Row],[Adults]]+Table1[[#This Row],[Children]]</f>
        <v>1</v>
      </c>
      <c r="U882">
        <f>_xlfn.DAYS(Table1[[#This Row],[Depart]],Table1[[#This Row],[Arrive]])</f>
        <v>1</v>
      </c>
    </row>
    <row r="883" spans="1:21" x14ac:dyDescent="0.25">
      <c r="A883" t="s">
        <v>1055</v>
      </c>
      <c r="B883" t="s">
        <v>1056</v>
      </c>
      <c r="C883" t="s">
        <v>1175</v>
      </c>
      <c r="D883" s="1">
        <v>44172</v>
      </c>
      <c r="E883" s="1">
        <v>44173</v>
      </c>
      <c r="F883">
        <f t="shared" si="41"/>
        <v>1</v>
      </c>
      <c r="G883" s="1">
        <v>44148</v>
      </c>
      <c r="H883" s="2">
        <v>0.5</v>
      </c>
      <c r="I883" s="2">
        <v>0.58333333333333337</v>
      </c>
      <c r="J883" t="s">
        <v>2053</v>
      </c>
      <c r="K883" t="s">
        <v>2053</v>
      </c>
      <c r="L883" t="s">
        <v>22</v>
      </c>
      <c r="M883" s="12" t="s">
        <v>18</v>
      </c>
      <c r="N883">
        <v>1</v>
      </c>
      <c r="O883">
        <v>0</v>
      </c>
      <c r="P883" t="s">
        <v>19</v>
      </c>
      <c r="Q883" s="6">
        <v>75000</v>
      </c>
      <c r="R883" t="str">
        <f t="shared" si="39"/>
        <v>Keji's 5 Star Short let Apartment in Lekki_x000C_</v>
      </c>
      <c r="S883" t="str">
        <f t="shared" si="40"/>
        <v>Keji's 5 Star Short let Apartment in Lekki</v>
      </c>
      <c r="T883">
        <f>Table1[[#This Row],[Adults]]+Table1[[#This Row],[Children]]</f>
        <v>1</v>
      </c>
      <c r="U883">
        <f>_xlfn.DAYS(Table1[[#This Row],[Depart]],Table1[[#This Row],[Arrive]])</f>
        <v>1</v>
      </c>
    </row>
    <row r="884" spans="1:21" x14ac:dyDescent="0.25">
      <c r="A884" t="s">
        <v>416</v>
      </c>
      <c r="B884" t="s">
        <v>417</v>
      </c>
      <c r="C884" t="s">
        <v>1175</v>
      </c>
      <c r="D884" s="1">
        <v>44172</v>
      </c>
      <c r="E884" s="1">
        <v>44176</v>
      </c>
      <c r="F884">
        <f t="shared" si="41"/>
        <v>4</v>
      </c>
      <c r="G884" s="1">
        <v>44148</v>
      </c>
      <c r="H884" s="2">
        <v>0.5</v>
      </c>
      <c r="I884" s="2">
        <v>0.58333333333333337</v>
      </c>
      <c r="J884" t="s">
        <v>2096</v>
      </c>
      <c r="K884" t="s">
        <v>2096</v>
      </c>
      <c r="L884" t="s">
        <v>22</v>
      </c>
      <c r="M884" s="12" t="s">
        <v>18</v>
      </c>
      <c r="N884">
        <v>4</v>
      </c>
      <c r="O884">
        <v>0</v>
      </c>
      <c r="P884" t="s">
        <v>19</v>
      </c>
      <c r="Q884" s="6">
        <v>516</v>
      </c>
      <c r="R884" t="str">
        <f t="shared" si="39"/>
        <v>Keji's 5 Star Short let Apartment in Lekki_x000C_</v>
      </c>
      <c r="S884" t="str">
        <f t="shared" si="40"/>
        <v>Keji's 5 Star Short let Apartment in Lekki</v>
      </c>
      <c r="T884">
        <f>Table1[[#This Row],[Adults]]+Table1[[#This Row],[Children]]</f>
        <v>4</v>
      </c>
      <c r="U884">
        <f>_xlfn.DAYS(Table1[[#This Row],[Depart]],Table1[[#This Row],[Arrive]])</f>
        <v>4</v>
      </c>
    </row>
    <row r="885" spans="1:21" x14ac:dyDescent="0.25">
      <c r="A885" t="s">
        <v>1145</v>
      </c>
      <c r="B885" t="s">
        <v>1146</v>
      </c>
      <c r="C885" t="s">
        <v>1175</v>
      </c>
      <c r="D885" s="1">
        <v>44172</v>
      </c>
      <c r="E885" s="1">
        <v>44175</v>
      </c>
      <c r="F885">
        <f t="shared" si="41"/>
        <v>3</v>
      </c>
      <c r="G885" s="1">
        <v>44166</v>
      </c>
      <c r="H885" s="2">
        <v>0.5</v>
      </c>
      <c r="I885" s="2">
        <v>0.58333333333333337</v>
      </c>
      <c r="J885" t="s">
        <v>2140</v>
      </c>
      <c r="K885" t="s">
        <v>2140</v>
      </c>
      <c r="L885" t="s">
        <v>22</v>
      </c>
      <c r="M885" s="12" t="s">
        <v>18</v>
      </c>
      <c r="N885">
        <v>3</v>
      </c>
      <c r="O885">
        <v>0</v>
      </c>
      <c r="P885" t="s">
        <v>19</v>
      </c>
      <c r="Q885" s="6">
        <v>225000</v>
      </c>
      <c r="R885" t="str">
        <f t="shared" si="39"/>
        <v>Keji's 5 Star Short let Apartment in Lekki_x000C_</v>
      </c>
      <c r="S885" t="str">
        <f t="shared" si="40"/>
        <v>Keji's 5 Star Short let Apartment in Lekki</v>
      </c>
      <c r="T885">
        <f>Table1[[#This Row],[Adults]]+Table1[[#This Row],[Children]]</f>
        <v>3</v>
      </c>
      <c r="U885">
        <f>_xlfn.DAYS(Table1[[#This Row],[Depart]],Table1[[#This Row],[Arrive]])</f>
        <v>3</v>
      </c>
    </row>
    <row r="886" spans="1:21" x14ac:dyDescent="0.25">
      <c r="A886" t="s">
        <v>1107</v>
      </c>
      <c r="B886" t="s">
        <v>1108</v>
      </c>
      <c r="C886" t="s">
        <v>1175</v>
      </c>
      <c r="D886" s="1">
        <v>44173</v>
      </c>
      <c r="E886" s="1">
        <v>44174</v>
      </c>
      <c r="F886">
        <f t="shared" si="41"/>
        <v>1</v>
      </c>
      <c r="G886" s="1">
        <v>44160</v>
      </c>
      <c r="H886" s="2">
        <v>0.5</v>
      </c>
      <c r="I886" s="2">
        <v>0.58333333333333337</v>
      </c>
      <c r="J886" t="s">
        <v>2111</v>
      </c>
      <c r="K886" t="s">
        <v>2111</v>
      </c>
      <c r="L886" t="s">
        <v>22</v>
      </c>
      <c r="M886" s="12" t="s">
        <v>18</v>
      </c>
      <c r="N886">
        <v>1</v>
      </c>
      <c r="O886">
        <v>0</v>
      </c>
      <c r="P886" t="s">
        <v>19</v>
      </c>
      <c r="Q886" s="6">
        <v>130000</v>
      </c>
      <c r="R886" t="str">
        <f t="shared" si="39"/>
        <v>Keji's 5 Star Short let Apartment in Lekki_x000C_</v>
      </c>
      <c r="S886" t="str">
        <f t="shared" si="40"/>
        <v>Keji's 5 Star Short let Apartment in Lekki</v>
      </c>
      <c r="T886">
        <f>Table1[[#This Row],[Adults]]+Table1[[#This Row],[Children]]</f>
        <v>1</v>
      </c>
      <c r="U886">
        <f>_xlfn.DAYS(Table1[[#This Row],[Depart]],Table1[[#This Row],[Arrive]])</f>
        <v>1</v>
      </c>
    </row>
    <row r="887" spans="1:21" x14ac:dyDescent="0.25">
      <c r="A887" t="s">
        <v>923</v>
      </c>
      <c r="B887" t="s">
        <v>924</v>
      </c>
      <c r="C887" t="s">
        <v>1175</v>
      </c>
      <c r="D887" s="1">
        <v>44174</v>
      </c>
      <c r="E887" s="1">
        <v>44181</v>
      </c>
      <c r="F887">
        <f t="shared" si="41"/>
        <v>7</v>
      </c>
      <c r="G887" s="1">
        <v>44124</v>
      </c>
      <c r="H887" s="2">
        <v>0.5</v>
      </c>
      <c r="I887" s="2">
        <v>0.58333333333333337</v>
      </c>
      <c r="J887" t="s">
        <v>1895</v>
      </c>
      <c r="K887" t="s">
        <v>1895</v>
      </c>
      <c r="L887" t="s">
        <v>22</v>
      </c>
      <c r="M887" s="12" t="s">
        <v>18</v>
      </c>
      <c r="N887">
        <v>3</v>
      </c>
      <c r="O887">
        <v>0</v>
      </c>
      <c r="P887" t="s">
        <v>19</v>
      </c>
      <c r="Q887" s="6">
        <v>910000</v>
      </c>
      <c r="R887" t="str">
        <f t="shared" si="39"/>
        <v>Keji's 5 Star Short let Apartment in Lekki_x000C_</v>
      </c>
      <c r="S887" t="str">
        <f t="shared" si="40"/>
        <v>Keji's 5 Star Short let Apartment in Lekki</v>
      </c>
      <c r="T887">
        <f>Table1[[#This Row],[Adults]]+Table1[[#This Row],[Children]]</f>
        <v>3</v>
      </c>
      <c r="U887">
        <f>_xlfn.DAYS(Table1[[#This Row],[Depart]],Table1[[#This Row],[Arrive]])</f>
        <v>7</v>
      </c>
    </row>
    <row r="888" spans="1:21" x14ac:dyDescent="0.25">
      <c r="A888" t="s">
        <v>975</v>
      </c>
      <c r="B888" t="s">
        <v>976</v>
      </c>
      <c r="C888" t="s">
        <v>1173</v>
      </c>
      <c r="D888" s="1">
        <v>44174</v>
      </c>
      <c r="E888" s="1">
        <v>44176</v>
      </c>
      <c r="F888">
        <f t="shared" si="41"/>
        <v>2</v>
      </c>
      <c r="G888" s="1">
        <v>44135</v>
      </c>
      <c r="H888" s="2">
        <v>0.33333333333333331</v>
      </c>
      <c r="I888" s="3">
        <v>1</v>
      </c>
      <c r="J888" t="s">
        <v>1959</v>
      </c>
      <c r="K888" t="s">
        <v>1959</v>
      </c>
      <c r="L888" t="s">
        <v>26</v>
      </c>
      <c r="M888" s="12" t="s">
        <v>18</v>
      </c>
      <c r="N888">
        <v>3</v>
      </c>
      <c r="O888">
        <v>0</v>
      </c>
      <c r="P888" t="s">
        <v>19</v>
      </c>
      <c r="Q888" s="6">
        <v>233</v>
      </c>
      <c r="R888" t="str">
        <f t="shared" si="39"/>
        <v xml:space="preserve"> The Daniels 5 Star Short Let Apartment in Lekki_x000C_</v>
      </c>
      <c r="S888" t="str">
        <f t="shared" si="40"/>
        <v xml:space="preserve"> The Daniels 5 Star Short Let Apartment in Lekki</v>
      </c>
      <c r="T888">
        <f>Table1[[#This Row],[Adults]]+Table1[[#This Row],[Children]]</f>
        <v>3</v>
      </c>
      <c r="U888">
        <f>_xlfn.DAYS(Table1[[#This Row],[Depart]],Table1[[#This Row],[Arrive]])</f>
        <v>2</v>
      </c>
    </row>
    <row r="889" spans="1:21" x14ac:dyDescent="0.25">
      <c r="A889" t="s">
        <v>935</v>
      </c>
      <c r="B889" t="s">
        <v>936</v>
      </c>
      <c r="C889" t="s">
        <v>1175</v>
      </c>
      <c r="D889" s="1">
        <v>44175</v>
      </c>
      <c r="E889" s="1">
        <v>44179</v>
      </c>
      <c r="F889">
        <f t="shared" si="41"/>
        <v>4</v>
      </c>
      <c r="G889" s="1">
        <v>44126</v>
      </c>
      <c r="H889" s="2">
        <v>0.5</v>
      </c>
      <c r="I889" s="2">
        <v>0.58333333333333337</v>
      </c>
      <c r="J889" t="s">
        <v>1903</v>
      </c>
      <c r="K889" t="s">
        <v>1903</v>
      </c>
      <c r="L889" t="s">
        <v>22</v>
      </c>
      <c r="M889" s="12" t="s">
        <v>18</v>
      </c>
      <c r="N889">
        <v>1</v>
      </c>
      <c r="O889">
        <v>0</v>
      </c>
      <c r="P889" t="s">
        <v>19</v>
      </c>
      <c r="Q889" s="6">
        <v>520000</v>
      </c>
      <c r="R889" t="str">
        <f t="shared" si="39"/>
        <v>Keji's 5 Star Short let Apartment in Lekki_x000C_</v>
      </c>
      <c r="S889" t="str">
        <f t="shared" si="40"/>
        <v>Keji's 5 Star Short let Apartment in Lekki</v>
      </c>
      <c r="T889">
        <f>Table1[[#This Row],[Adults]]+Table1[[#This Row],[Children]]</f>
        <v>1</v>
      </c>
      <c r="U889">
        <f>_xlfn.DAYS(Table1[[#This Row],[Depart]],Table1[[#This Row],[Arrive]])</f>
        <v>4</v>
      </c>
    </row>
    <row r="890" spans="1:21" x14ac:dyDescent="0.25">
      <c r="A890" t="s">
        <v>737</v>
      </c>
      <c r="B890" t="s">
        <v>738</v>
      </c>
      <c r="C890" t="s">
        <v>1180</v>
      </c>
      <c r="D890" s="1">
        <v>44176</v>
      </c>
      <c r="E890" s="1">
        <v>44188</v>
      </c>
      <c r="F890">
        <f t="shared" si="41"/>
        <v>12</v>
      </c>
      <c r="G890" s="1">
        <v>44081</v>
      </c>
      <c r="H890" s="2">
        <v>0.58333333333333337</v>
      </c>
      <c r="I890" s="2">
        <v>0.45833333333333331</v>
      </c>
      <c r="J890" t="s">
        <v>1746</v>
      </c>
      <c r="K890" t="s">
        <v>1746</v>
      </c>
      <c r="L890" t="s">
        <v>22</v>
      </c>
      <c r="M890" s="12" t="s">
        <v>18</v>
      </c>
      <c r="N890">
        <v>5</v>
      </c>
      <c r="O890">
        <v>0</v>
      </c>
      <c r="P890" t="s">
        <v>19</v>
      </c>
      <c r="Q890" s="6">
        <v>1419</v>
      </c>
      <c r="R890" t="str">
        <f t="shared" si="39"/>
        <v>Zoe's 5 Star Short let Apartment in Lekki_x000C_</v>
      </c>
      <c r="S890" t="str">
        <f t="shared" si="40"/>
        <v>Zoe's 5 Star Short let Apartment in Lekki</v>
      </c>
      <c r="T890">
        <f>Table1[[#This Row],[Adults]]+Table1[[#This Row],[Children]]</f>
        <v>5</v>
      </c>
      <c r="U890">
        <f>_xlfn.DAYS(Table1[[#This Row],[Depart]],Table1[[#This Row],[Arrive]])</f>
        <v>12</v>
      </c>
    </row>
    <row r="891" spans="1:21" x14ac:dyDescent="0.25">
      <c r="A891" t="s">
        <v>1051</v>
      </c>
      <c r="B891" t="s">
        <v>1052</v>
      </c>
      <c r="C891" t="s">
        <v>1175</v>
      </c>
      <c r="D891" s="1">
        <v>44176</v>
      </c>
      <c r="E891" s="1">
        <v>44179</v>
      </c>
      <c r="F891">
        <f t="shared" si="41"/>
        <v>3</v>
      </c>
      <c r="G891" s="1">
        <v>44147</v>
      </c>
      <c r="H891" s="2">
        <v>0.5</v>
      </c>
      <c r="I891" s="2">
        <v>0.58333333333333337</v>
      </c>
      <c r="J891" t="s">
        <v>2051</v>
      </c>
      <c r="K891" t="s">
        <v>2051</v>
      </c>
      <c r="L891" t="s">
        <v>22</v>
      </c>
      <c r="M891" s="12" t="s">
        <v>18</v>
      </c>
      <c r="N891">
        <v>1</v>
      </c>
      <c r="O891">
        <v>0</v>
      </c>
      <c r="P891" t="s">
        <v>19</v>
      </c>
      <c r="Q891" s="6">
        <v>390000</v>
      </c>
      <c r="R891" t="str">
        <f t="shared" si="39"/>
        <v>Keji's 5 Star Short let Apartment in Lekki_x000C_</v>
      </c>
      <c r="S891" t="str">
        <f t="shared" si="40"/>
        <v>Keji's 5 Star Short let Apartment in Lekki</v>
      </c>
      <c r="T891">
        <f>Table1[[#This Row],[Adults]]+Table1[[#This Row],[Children]]</f>
        <v>1</v>
      </c>
      <c r="U891">
        <f>_xlfn.DAYS(Table1[[#This Row],[Depart]],Table1[[#This Row],[Arrive]])</f>
        <v>3</v>
      </c>
    </row>
    <row r="892" spans="1:21" x14ac:dyDescent="0.25">
      <c r="A892" t="s">
        <v>989</v>
      </c>
      <c r="B892" t="s">
        <v>990</v>
      </c>
      <c r="C892" t="s">
        <v>1180</v>
      </c>
      <c r="D892" s="1">
        <v>44176</v>
      </c>
      <c r="E892" s="1">
        <v>44178</v>
      </c>
      <c r="F892">
        <f t="shared" si="41"/>
        <v>2</v>
      </c>
      <c r="G892" s="1">
        <v>44159</v>
      </c>
      <c r="H892" s="2">
        <v>0.58333333333333337</v>
      </c>
      <c r="I892" s="2">
        <v>0.45833333333333331</v>
      </c>
      <c r="J892" t="s">
        <v>2109</v>
      </c>
      <c r="K892" t="s">
        <v>2109</v>
      </c>
      <c r="L892" t="s">
        <v>22</v>
      </c>
      <c r="M892" s="12" t="s">
        <v>23</v>
      </c>
      <c r="N892">
        <v>6</v>
      </c>
      <c r="O892">
        <v>0</v>
      </c>
      <c r="P892" t="s">
        <v>19</v>
      </c>
      <c r="Q892" s="6">
        <v>258</v>
      </c>
      <c r="R892" t="str">
        <f t="shared" si="39"/>
        <v>Zoe's 5 Star Short let Apartment in Lekki_x000C_</v>
      </c>
      <c r="S892" t="str">
        <f t="shared" si="40"/>
        <v>Zoe's 5 Star Short let Apartment in Lekki</v>
      </c>
      <c r="T892">
        <f>Table1[[#This Row],[Adults]]+Table1[[#This Row],[Children]]</f>
        <v>6</v>
      </c>
      <c r="U892">
        <f>_xlfn.DAYS(Table1[[#This Row],[Depart]],Table1[[#This Row],[Arrive]])</f>
        <v>2</v>
      </c>
    </row>
    <row r="893" spans="1:21" x14ac:dyDescent="0.25">
      <c r="A893" t="s">
        <v>1105</v>
      </c>
      <c r="B893" t="s">
        <v>1106</v>
      </c>
      <c r="C893" t="s">
        <v>1180</v>
      </c>
      <c r="D893" s="1">
        <v>44176</v>
      </c>
      <c r="E893" s="1">
        <v>44178</v>
      </c>
      <c r="F893">
        <f t="shared" si="41"/>
        <v>2</v>
      </c>
      <c r="G893" s="1">
        <v>44159</v>
      </c>
      <c r="H893" s="2">
        <v>0.58333333333333337</v>
      </c>
      <c r="I893" s="2">
        <v>0.45833333333333331</v>
      </c>
      <c r="J893" t="s">
        <v>2110</v>
      </c>
      <c r="K893" t="s">
        <v>2110</v>
      </c>
      <c r="L893" t="s">
        <v>26</v>
      </c>
      <c r="M893" s="12" t="s">
        <v>18</v>
      </c>
      <c r="N893">
        <v>1</v>
      </c>
      <c r="O893">
        <v>0</v>
      </c>
      <c r="P893" t="s">
        <v>19</v>
      </c>
      <c r="Q893" s="6">
        <v>241</v>
      </c>
      <c r="R893" t="str">
        <f t="shared" si="39"/>
        <v>Zoe's 5 Star Short let Apartment in Lekki_x000C_</v>
      </c>
      <c r="S893" t="str">
        <f t="shared" si="40"/>
        <v>Zoe's 5 Star Short let Apartment in Lekki</v>
      </c>
      <c r="T893">
        <f>Table1[[#This Row],[Adults]]+Table1[[#This Row],[Children]]</f>
        <v>1</v>
      </c>
      <c r="U893">
        <f>_xlfn.DAYS(Table1[[#This Row],[Depart]],Table1[[#This Row],[Arrive]])</f>
        <v>2</v>
      </c>
    </row>
    <row r="894" spans="1:21" x14ac:dyDescent="0.25">
      <c r="A894" t="s">
        <v>989</v>
      </c>
      <c r="B894" t="s">
        <v>990</v>
      </c>
      <c r="C894" t="s">
        <v>1179</v>
      </c>
      <c r="D894" s="1">
        <v>44176</v>
      </c>
      <c r="E894" s="1">
        <v>44178</v>
      </c>
      <c r="F894">
        <f t="shared" si="41"/>
        <v>2</v>
      </c>
      <c r="G894" s="1">
        <v>44147</v>
      </c>
      <c r="H894" s="2">
        <v>0.33333333333333331</v>
      </c>
      <c r="I894" s="3">
        <v>1</v>
      </c>
      <c r="J894" t="s">
        <v>2112</v>
      </c>
      <c r="K894" t="s">
        <v>2112</v>
      </c>
      <c r="L894" t="s">
        <v>22</v>
      </c>
      <c r="M894" s="12" t="s">
        <v>18</v>
      </c>
      <c r="N894">
        <v>6</v>
      </c>
      <c r="O894">
        <v>0</v>
      </c>
      <c r="P894" t="s">
        <v>19</v>
      </c>
      <c r="Q894" s="6">
        <v>258</v>
      </c>
      <c r="R894" t="str">
        <f t="shared" si="39"/>
        <v>Phiola's 5 Star Short Let Apartment in Lekki_x000C_</v>
      </c>
      <c r="S894" t="str">
        <f t="shared" si="40"/>
        <v>Phiola's 5 Star Short Let Apartment in Lekki</v>
      </c>
      <c r="T894">
        <f>Table1[[#This Row],[Adults]]+Table1[[#This Row],[Children]]</f>
        <v>6</v>
      </c>
      <c r="U894">
        <f>_xlfn.DAYS(Table1[[#This Row],[Depart]],Table1[[#This Row],[Arrive]])</f>
        <v>2</v>
      </c>
    </row>
    <row r="895" spans="1:21" x14ac:dyDescent="0.25">
      <c r="A895" t="s">
        <v>1117</v>
      </c>
      <c r="B895" t="s">
        <v>1118</v>
      </c>
      <c r="C895" t="s">
        <v>1175</v>
      </c>
      <c r="D895" s="1">
        <v>44176</v>
      </c>
      <c r="E895" s="1">
        <v>44178</v>
      </c>
      <c r="F895">
        <f t="shared" si="41"/>
        <v>2</v>
      </c>
      <c r="G895" s="1">
        <v>44162</v>
      </c>
      <c r="H895" s="2">
        <v>0.5</v>
      </c>
      <c r="I895" s="2">
        <v>0.58333333333333337</v>
      </c>
      <c r="J895" t="s">
        <v>2120</v>
      </c>
      <c r="K895" t="s">
        <v>2120</v>
      </c>
      <c r="L895" t="s">
        <v>22</v>
      </c>
      <c r="M895" s="12" t="s">
        <v>18</v>
      </c>
      <c r="N895">
        <v>10</v>
      </c>
      <c r="O895">
        <v>0</v>
      </c>
      <c r="P895" t="s">
        <v>19</v>
      </c>
      <c r="Q895" s="6">
        <v>0</v>
      </c>
      <c r="R895" t="str">
        <f t="shared" si="39"/>
        <v>Keji's 5 Star Short let Apartment in Lekki_x000C_</v>
      </c>
      <c r="S895" t="str">
        <f t="shared" si="40"/>
        <v>Keji's 5 Star Short let Apartment in Lekki</v>
      </c>
      <c r="T895">
        <f>Table1[[#This Row],[Adults]]+Table1[[#This Row],[Children]]</f>
        <v>10</v>
      </c>
      <c r="U895">
        <f>_xlfn.DAYS(Table1[[#This Row],[Depart]],Table1[[#This Row],[Arrive]])</f>
        <v>2</v>
      </c>
    </row>
    <row r="896" spans="1:21" x14ac:dyDescent="0.25">
      <c r="A896" t="s">
        <v>1117</v>
      </c>
      <c r="B896" t="s">
        <v>1118</v>
      </c>
      <c r="C896" t="s">
        <v>1175</v>
      </c>
      <c r="D896" s="1">
        <v>44176</v>
      </c>
      <c r="E896" s="1">
        <v>44178</v>
      </c>
      <c r="F896">
        <f t="shared" si="41"/>
        <v>2</v>
      </c>
      <c r="G896" s="1">
        <v>44162</v>
      </c>
      <c r="H896" s="2">
        <v>0.5</v>
      </c>
      <c r="I896" s="2">
        <v>0.58333333333333337</v>
      </c>
      <c r="J896" t="s">
        <v>2121</v>
      </c>
      <c r="K896" t="s">
        <v>2121</v>
      </c>
      <c r="L896" t="s">
        <v>22</v>
      </c>
      <c r="M896" s="12" t="s">
        <v>18</v>
      </c>
      <c r="N896">
        <v>10</v>
      </c>
      <c r="O896">
        <v>0</v>
      </c>
      <c r="P896" t="s">
        <v>19</v>
      </c>
      <c r="Q896" s="6">
        <v>0</v>
      </c>
      <c r="R896" t="str">
        <f t="shared" si="39"/>
        <v>Keji's 5 Star Short let Apartment in Lekki_x000C_</v>
      </c>
      <c r="S896" t="str">
        <f t="shared" si="40"/>
        <v>Keji's 5 Star Short let Apartment in Lekki</v>
      </c>
      <c r="T896">
        <f>Table1[[#This Row],[Adults]]+Table1[[#This Row],[Children]]</f>
        <v>10</v>
      </c>
      <c r="U896">
        <f>_xlfn.DAYS(Table1[[#This Row],[Depart]],Table1[[#This Row],[Arrive]])</f>
        <v>2</v>
      </c>
    </row>
    <row r="897" spans="1:21" x14ac:dyDescent="0.25">
      <c r="A897" t="s">
        <v>1111</v>
      </c>
      <c r="B897" t="s">
        <v>1112</v>
      </c>
      <c r="C897" t="s">
        <v>1173</v>
      </c>
      <c r="D897" s="1">
        <v>44177</v>
      </c>
      <c r="E897" s="1">
        <v>44179</v>
      </c>
      <c r="F897">
        <f t="shared" si="41"/>
        <v>2</v>
      </c>
      <c r="G897" s="1">
        <v>44102</v>
      </c>
      <c r="H897" s="2">
        <v>0.33333333333333331</v>
      </c>
      <c r="I897" s="3">
        <v>1</v>
      </c>
      <c r="J897" t="s">
        <v>2115</v>
      </c>
      <c r="K897" t="s">
        <v>2115</v>
      </c>
      <c r="L897" t="s">
        <v>22</v>
      </c>
      <c r="M897" s="12" t="s">
        <v>18</v>
      </c>
      <c r="N897">
        <v>6</v>
      </c>
      <c r="O897">
        <v>0</v>
      </c>
      <c r="P897" t="s">
        <v>19</v>
      </c>
      <c r="Q897" s="6">
        <v>258</v>
      </c>
      <c r="R897" t="str">
        <f t="shared" si="39"/>
        <v xml:space="preserve"> The Daniels 5 Star Short Let Apartment in Lekki_x000C_</v>
      </c>
      <c r="S897" t="str">
        <f t="shared" si="40"/>
        <v xml:space="preserve"> The Daniels 5 Star Short Let Apartment in Lekki</v>
      </c>
      <c r="T897">
        <f>Table1[[#This Row],[Adults]]+Table1[[#This Row],[Children]]</f>
        <v>6</v>
      </c>
      <c r="U897">
        <f>_xlfn.DAYS(Table1[[#This Row],[Depart]],Table1[[#This Row],[Arrive]])</f>
        <v>2</v>
      </c>
    </row>
    <row r="898" spans="1:21" x14ac:dyDescent="0.25">
      <c r="A898" t="s">
        <v>1111</v>
      </c>
      <c r="B898" t="s">
        <v>1112</v>
      </c>
      <c r="C898" t="s">
        <v>1179</v>
      </c>
      <c r="D898" s="1">
        <v>44177</v>
      </c>
      <c r="E898" s="1">
        <v>44179</v>
      </c>
      <c r="F898">
        <f t="shared" si="41"/>
        <v>2</v>
      </c>
      <c r="G898" s="1">
        <v>44161</v>
      </c>
      <c r="H898" s="2">
        <v>0.33333333333333331</v>
      </c>
      <c r="I898" s="3">
        <v>1</v>
      </c>
      <c r="J898" t="s">
        <v>2154</v>
      </c>
      <c r="K898" t="s">
        <v>2154</v>
      </c>
      <c r="L898" t="s">
        <v>22</v>
      </c>
      <c r="M898" s="12" t="s">
        <v>18</v>
      </c>
      <c r="N898">
        <v>5</v>
      </c>
      <c r="O898">
        <v>0</v>
      </c>
      <c r="P898" t="s">
        <v>19</v>
      </c>
      <c r="Q898" s="6">
        <v>258</v>
      </c>
      <c r="R898" t="str">
        <f t="shared" ref="R898:R961" si="42">SUBSTITUTE(C:C,"?","'")</f>
        <v>Phiola's 5 Star Short Let Apartment in Lekki_x000C_</v>
      </c>
      <c r="S898" t="str">
        <f t="shared" ref="S898:S961" si="43">CLEAN(R:R)</f>
        <v>Phiola's 5 Star Short Let Apartment in Lekki</v>
      </c>
      <c r="T898">
        <f>Table1[[#This Row],[Adults]]+Table1[[#This Row],[Children]]</f>
        <v>5</v>
      </c>
      <c r="U898">
        <f>_xlfn.DAYS(Table1[[#This Row],[Depart]],Table1[[#This Row],[Arrive]])</f>
        <v>2</v>
      </c>
    </row>
    <row r="899" spans="1:21" x14ac:dyDescent="0.25">
      <c r="A899" t="s">
        <v>1087</v>
      </c>
      <c r="B899" t="s">
        <v>1088</v>
      </c>
      <c r="C899" t="s">
        <v>1175</v>
      </c>
      <c r="D899" s="1">
        <v>44178</v>
      </c>
      <c r="E899" s="1">
        <v>44180</v>
      </c>
      <c r="F899">
        <f t="shared" ref="F899:F962" si="44">_xlfn.DAYS(E899,D899)</f>
        <v>2</v>
      </c>
      <c r="G899" s="1">
        <v>44154</v>
      </c>
      <c r="H899" s="2">
        <v>0.5</v>
      </c>
      <c r="I899" s="2">
        <v>0.58333333333333337</v>
      </c>
      <c r="J899" t="s">
        <v>2091</v>
      </c>
      <c r="K899" t="s">
        <v>2091</v>
      </c>
      <c r="L899" t="s">
        <v>22</v>
      </c>
      <c r="M899" s="12" t="s">
        <v>18</v>
      </c>
      <c r="N899">
        <v>2</v>
      </c>
      <c r="O899">
        <v>0</v>
      </c>
      <c r="P899" t="s">
        <v>19</v>
      </c>
      <c r="Q899" s="6">
        <v>150000</v>
      </c>
      <c r="R899" t="str">
        <f t="shared" si="42"/>
        <v>Keji's 5 Star Short let Apartment in Lekki_x000C_</v>
      </c>
      <c r="S899" t="str">
        <f t="shared" si="43"/>
        <v>Keji's 5 Star Short let Apartment in Lekki</v>
      </c>
      <c r="T899">
        <f>Table1[[#This Row],[Adults]]+Table1[[#This Row],[Children]]</f>
        <v>2</v>
      </c>
      <c r="U899">
        <f>_xlfn.DAYS(Table1[[#This Row],[Depart]],Table1[[#This Row],[Arrive]])</f>
        <v>2</v>
      </c>
    </row>
    <row r="900" spans="1:21" x14ac:dyDescent="0.25">
      <c r="A900" t="s">
        <v>857</v>
      </c>
      <c r="B900" t="s">
        <v>858</v>
      </c>
      <c r="C900" t="s">
        <v>1175</v>
      </c>
      <c r="D900" s="1">
        <v>44179</v>
      </c>
      <c r="E900" s="1">
        <v>44183</v>
      </c>
      <c r="F900">
        <f t="shared" si="44"/>
        <v>4</v>
      </c>
      <c r="G900" s="1">
        <v>44121</v>
      </c>
      <c r="H900" s="2">
        <v>0.5</v>
      </c>
      <c r="I900" s="2">
        <v>0.58333333333333337</v>
      </c>
      <c r="J900" t="s">
        <v>2056</v>
      </c>
      <c r="K900" t="s">
        <v>2056</v>
      </c>
      <c r="L900" t="s">
        <v>22</v>
      </c>
      <c r="M900" s="12" t="s">
        <v>18</v>
      </c>
      <c r="N900">
        <v>4</v>
      </c>
      <c r="O900">
        <v>0</v>
      </c>
      <c r="P900" t="s">
        <v>19</v>
      </c>
      <c r="Q900" s="6">
        <v>516</v>
      </c>
      <c r="R900" t="str">
        <f t="shared" si="42"/>
        <v>Keji's 5 Star Short let Apartment in Lekki_x000C_</v>
      </c>
      <c r="S900" t="str">
        <f t="shared" si="43"/>
        <v>Keji's 5 Star Short let Apartment in Lekki</v>
      </c>
      <c r="T900">
        <f>Table1[[#This Row],[Adults]]+Table1[[#This Row],[Children]]</f>
        <v>4</v>
      </c>
      <c r="U900">
        <f>_xlfn.DAYS(Table1[[#This Row],[Depart]],Table1[[#This Row],[Arrive]])</f>
        <v>4</v>
      </c>
    </row>
    <row r="901" spans="1:21" x14ac:dyDescent="0.25">
      <c r="A901" t="s">
        <v>843</v>
      </c>
      <c r="B901" t="s">
        <v>844</v>
      </c>
      <c r="C901" t="s">
        <v>1175</v>
      </c>
      <c r="D901" s="1">
        <v>44180</v>
      </c>
      <c r="E901" s="1">
        <v>44181</v>
      </c>
      <c r="F901">
        <f t="shared" si="44"/>
        <v>1</v>
      </c>
      <c r="G901" s="1">
        <v>44107</v>
      </c>
      <c r="H901" s="2">
        <v>0.5</v>
      </c>
      <c r="I901" s="2">
        <v>0.58333333333333337</v>
      </c>
      <c r="J901" t="s">
        <v>1830</v>
      </c>
      <c r="K901" t="s">
        <v>1830</v>
      </c>
      <c r="L901" t="s">
        <v>26</v>
      </c>
      <c r="M901" s="12" t="s">
        <v>18</v>
      </c>
      <c r="N901">
        <v>1</v>
      </c>
      <c r="O901">
        <v>0</v>
      </c>
      <c r="P901" t="s">
        <v>19</v>
      </c>
      <c r="Q901" s="6">
        <v>118</v>
      </c>
      <c r="R901" t="str">
        <f t="shared" si="42"/>
        <v>Keji's 5 Star Short let Apartment in Lekki_x000C_</v>
      </c>
      <c r="S901" t="str">
        <f t="shared" si="43"/>
        <v>Keji's 5 Star Short let Apartment in Lekki</v>
      </c>
      <c r="T901">
        <f>Table1[[#This Row],[Adults]]+Table1[[#This Row],[Children]]</f>
        <v>1</v>
      </c>
      <c r="U901">
        <f>_xlfn.DAYS(Table1[[#This Row],[Depart]],Table1[[#This Row],[Arrive]])</f>
        <v>1</v>
      </c>
    </row>
    <row r="902" spans="1:21" x14ac:dyDescent="0.25">
      <c r="A902" t="s">
        <v>1127</v>
      </c>
      <c r="B902" t="s">
        <v>1128</v>
      </c>
      <c r="C902" t="s">
        <v>1180</v>
      </c>
      <c r="D902" s="1">
        <v>44181</v>
      </c>
      <c r="E902" s="1">
        <v>44184</v>
      </c>
      <c r="F902">
        <f t="shared" si="44"/>
        <v>3</v>
      </c>
      <c r="G902" s="1">
        <v>44163</v>
      </c>
      <c r="H902" s="2">
        <v>0.58333333333333337</v>
      </c>
      <c r="I902" s="2">
        <v>0.45833333333333331</v>
      </c>
      <c r="J902" t="s">
        <v>2127</v>
      </c>
      <c r="K902" t="s">
        <v>2127</v>
      </c>
      <c r="L902" t="s">
        <v>26</v>
      </c>
      <c r="M902" s="12" t="s">
        <v>18</v>
      </c>
      <c r="N902">
        <v>1</v>
      </c>
      <c r="O902">
        <v>0</v>
      </c>
      <c r="P902" t="s">
        <v>19</v>
      </c>
      <c r="Q902" s="6">
        <v>361</v>
      </c>
      <c r="R902" t="str">
        <f t="shared" si="42"/>
        <v>Zoe's 5 Star Short let Apartment in Lekki_x000C_</v>
      </c>
      <c r="S902" t="str">
        <f t="shared" si="43"/>
        <v>Zoe's 5 Star Short let Apartment in Lekki</v>
      </c>
      <c r="T902">
        <f>Table1[[#This Row],[Adults]]+Table1[[#This Row],[Children]]</f>
        <v>1</v>
      </c>
      <c r="U902">
        <f>_xlfn.DAYS(Table1[[#This Row],[Depart]],Table1[[#This Row],[Arrive]])</f>
        <v>3</v>
      </c>
    </row>
    <row r="903" spans="1:21" x14ac:dyDescent="0.25">
      <c r="A903" t="s">
        <v>84</v>
      </c>
      <c r="B903" t="s">
        <v>85</v>
      </c>
      <c r="C903" t="s">
        <v>1180</v>
      </c>
      <c r="D903" s="1">
        <v>44181</v>
      </c>
      <c r="E903" s="1">
        <v>44184</v>
      </c>
      <c r="F903">
        <f t="shared" si="44"/>
        <v>3</v>
      </c>
      <c r="G903" s="1">
        <v>44167</v>
      </c>
      <c r="H903" s="2">
        <v>0.58333333333333337</v>
      </c>
      <c r="I903" s="2">
        <v>0.45833333333333331</v>
      </c>
      <c r="J903" t="s">
        <v>2143</v>
      </c>
      <c r="K903" t="s">
        <v>2143</v>
      </c>
      <c r="L903" t="s">
        <v>26</v>
      </c>
      <c r="M903" s="12" t="s">
        <v>18</v>
      </c>
      <c r="N903">
        <v>1</v>
      </c>
      <c r="O903">
        <v>0</v>
      </c>
      <c r="P903" t="s">
        <v>19</v>
      </c>
      <c r="Q903" s="6">
        <v>361</v>
      </c>
      <c r="R903" t="str">
        <f t="shared" si="42"/>
        <v>Zoe's 5 Star Short let Apartment in Lekki_x000C_</v>
      </c>
      <c r="S903" t="str">
        <f t="shared" si="43"/>
        <v>Zoe's 5 Star Short let Apartment in Lekki</v>
      </c>
      <c r="T903">
        <f>Table1[[#This Row],[Adults]]+Table1[[#This Row],[Children]]</f>
        <v>1</v>
      </c>
      <c r="U903">
        <f>_xlfn.DAYS(Table1[[#This Row],[Depart]],Table1[[#This Row],[Arrive]])</f>
        <v>3</v>
      </c>
    </row>
    <row r="904" spans="1:21" x14ac:dyDescent="0.25">
      <c r="A904" t="s">
        <v>1155</v>
      </c>
      <c r="B904" t="s">
        <v>1156</v>
      </c>
      <c r="C904" t="s">
        <v>1175</v>
      </c>
      <c r="D904" s="1">
        <v>44181</v>
      </c>
      <c r="E904" s="1">
        <v>44182</v>
      </c>
      <c r="F904">
        <f t="shared" si="44"/>
        <v>1</v>
      </c>
      <c r="G904" s="1">
        <v>44167</v>
      </c>
      <c r="H904" s="2">
        <v>0.5</v>
      </c>
      <c r="I904" s="2">
        <v>0.58333333333333337</v>
      </c>
      <c r="J904" t="s">
        <v>2149</v>
      </c>
      <c r="K904" t="s">
        <v>2149</v>
      </c>
      <c r="L904" t="s">
        <v>22</v>
      </c>
      <c r="M904" s="12" t="s">
        <v>18</v>
      </c>
      <c r="N904">
        <v>5</v>
      </c>
      <c r="O904">
        <v>0</v>
      </c>
      <c r="P904" t="s">
        <v>19</v>
      </c>
      <c r="Q904" s="6">
        <v>75000</v>
      </c>
      <c r="R904" t="str">
        <f t="shared" si="42"/>
        <v>Keji's 5 Star Short let Apartment in Lekki_x000C_</v>
      </c>
      <c r="S904" t="str">
        <f t="shared" si="43"/>
        <v>Keji's 5 Star Short let Apartment in Lekki</v>
      </c>
      <c r="T904">
        <f>Table1[[#This Row],[Adults]]+Table1[[#This Row],[Children]]</f>
        <v>5</v>
      </c>
      <c r="U904">
        <f>_xlfn.DAYS(Table1[[#This Row],[Depart]],Table1[[#This Row],[Arrive]])</f>
        <v>1</v>
      </c>
    </row>
    <row r="905" spans="1:21" x14ac:dyDescent="0.25">
      <c r="A905" t="s">
        <v>1155</v>
      </c>
      <c r="B905" t="s">
        <v>1156</v>
      </c>
      <c r="C905" t="s">
        <v>1175</v>
      </c>
      <c r="D905" s="1">
        <v>44181</v>
      </c>
      <c r="E905" s="1">
        <v>44183</v>
      </c>
      <c r="F905">
        <f t="shared" si="44"/>
        <v>2</v>
      </c>
      <c r="G905" s="1">
        <v>44167</v>
      </c>
      <c r="H905" s="2">
        <v>0.5</v>
      </c>
      <c r="I905" s="2">
        <v>0.58333333333333337</v>
      </c>
      <c r="J905" t="s">
        <v>2150</v>
      </c>
      <c r="K905" t="s">
        <v>2150</v>
      </c>
      <c r="L905" t="s">
        <v>22</v>
      </c>
      <c r="M905" s="12" t="s">
        <v>18</v>
      </c>
      <c r="N905">
        <v>6</v>
      </c>
      <c r="O905">
        <v>0</v>
      </c>
      <c r="P905" t="s">
        <v>19</v>
      </c>
      <c r="Q905" s="6">
        <v>150000</v>
      </c>
      <c r="R905" t="str">
        <f t="shared" si="42"/>
        <v>Keji's 5 Star Short let Apartment in Lekki_x000C_</v>
      </c>
      <c r="S905" t="str">
        <f t="shared" si="43"/>
        <v>Keji's 5 Star Short let Apartment in Lekki</v>
      </c>
      <c r="T905">
        <f>Table1[[#This Row],[Adults]]+Table1[[#This Row],[Children]]</f>
        <v>6</v>
      </c>
      <c r="U905">
        <f>_xlfn.DAYS(Table1[[#This Row],[Depart]],Table1[[#This Row],[Arrive]])</f>
        <v>2</v>
      </c>
    </row>
    <row r="906" spans="1:21" x14ac:dyDescent="0.25">
      <c r="A906" t="s">
        <v>1121</v>
      </c>
      <c r="B906" t="s">
        <v>1122</v>
      </c>
      <c r="C906" t="s">
        <v>1175</v>
      </c>
      <c r="D906" s="1">
        <v>44182</v>
      </c>
      <c r="E906" s="1">
        <v>44183</v>
      </c>
      <c r="F906">
        <f t="shared" si="44"/>
        <v>1</v>
      </c>
      <c r="G906" s="1">
        <v>44162</v>
      </c>
      <c r="H906" s="2">
        <v>0.5</v>
      </c>
      <c r="I906" s="2">
        <v>0.58333333333333337</v>
      </c>
      <c r="J906" t="s">
        <v>2123</v>
      </c>
      <c r="K906" t="s">
        <v>2123</v>
      </c>
      <c r="L906" t="s">
        <v>26</v>
      </c>
      <c r="M906" s="12" t="s">
        <v>18</v>
      </c>
      <c r="N906">
        <v>1</v>
      </c>
      <c r="O906">
        <v>0</v>
      </c>
      <c r="P906" t="s">
        <v>19</v>
      </c>
      <c r="Q906" s="6">
        <v>120</v>
      </c>
      <c r="R906" t="str">
        <f t="shared" si="42"/>
        <v>Keji's 5 Star Short let Apartment in Lekki_x000C_</v>
      </c>
      <c r="S906" t="str">
        <f t="shared" si="43"/>
        <v>Keji's 5 Star Short let Apartment in Lekki</v>
      </c>
      <c r="T906">
        <f>Table1[[#This Row],[Adults]]+Table1[[#This Row],[Children]]</f>
        <v>1</v>
      </c>
      <c r="U906">
        <f>_xlfn.DAYS(Table1[[#This Row],[Depart]],Table1[[#This Row],[Arrive]])</f>
        <v>1</v>
      </c>
    </row>
    <row r="907" spans="1:21" x14ac:dyDescent="0.25">
      <c r="A907" t="s">
        <v>416</v>
      </c>
      <c r="B907" t="s">
        <v>417</v>
      </c>
      <c r="C907" t="s">
        <v>1174</v>
      </c>
      <c r="D907" s="1">
        <v>44183</v>
      </c>
      <c r="E907" s="1">
        <v>44193</v>
      </c>
      <c r="F907">
        <f t="shared" si="44"/>
        <v>10</v>
      </c>
      <c r="G907" s="1">
        <v>44137</v>
      </c>
      <c r="H907" s="2">
        <v>0.45833333333333331</v>
      </c>
      <c r="I907" s="2">
        <v>0.41666666666666669</v>
      </c>
      <c r="J907" t="s">
        <v>2031</v>
      </c>
      <c r="K907" t="s">
        <v>2031</v>
      </c>
      <c r="L907" t="s">
        <v>22</v>
      </c>
      <c r="M907" s="12" t="s">
        <v>18</v>
      </c>
      <c r="N907">
        <v>2</v>
      </c>
      <c r="O907">
        <v>0</v>
      </c>
      <c r="P907" t="s">
        <v>19</v>
      </c>
      <c r="Q907" s="6">
        <v>0</v>
      </c>
      <c r="R907" t="str">
        <f t="shared" si="42"/>
        <v>Sophia Luxury Home_x000C_</v>
      </c>
      <c r="S907" t="str">
        <f t="shared" si="43"/>
        <v>Sophia Luxury Home</v>
      </c>
      <c r="T907">
        <f>Table1[[#This Row],[Adults]]+Table1[[#This Row],[Children]]</f>
        <v>2</v>
      </c>
      <c r="U907">
        <f>_xlfn.DAYS(Table1[[#This Row],[Depart]],Table1[[#This Row],[Arrive]])</f>
        <v>10</v>
      </c>
    </row>
    <row r="908" spans="1:21" x14ac:dyDescent="0.25">
      <c r="A908" t="s">
        <v>426</v>
      </c>
      <c r="B908" t="s">
        <v>427</v>
      </c>
      <c r="C908" t="s">
        <v>1177</v>
      </c>
      <c r="D908" s="1">
        <v>44183</v>
      </c>
      <c r="E908" s="1">
        <v>44186</v>
      </c>
      <c r="F908">
        <f t="shared" si="44"/>
        <v>3</v>
      </c>
      <c r="G908" s="1">
        <v>44050</v>
      </c>
      <c r="H908" s="2">
        <v>0.45833333333333331</v>
      </c>
      <c r="I908" s="2">
        <v>0.5</v>
      </c>
      <c r="J908" t="s">
        <v>2066</v>
      </c>
      <c r="K908" t="s">
        <v>2066</v>
      </c>
      <c r="L908" t="s">
        <v>22</v>
      </c>
      <c r="M908" s="12" t="s">
        <v>23</v>
      </c>
      <c r="N908">
        <v>8</v>
      </c>
      <c r="O908">
        <v>0</v>
      </c>
      <c r="P908" t="s">
        <v>19</v>
      </c>
      <c r="Q908" s="6">
        <v>706.27</v>
      </c>
      <c r="R908" t="str">
        <f t="shared" si="42"/>
        <v>Achikare 's Luxury Home Away from Home_x000C_</v>
      </c>
      <c r="S908" t="str">
        <f t="shared" si="43"/>
        <v>Achikare 's Luxury Home Away from Home</v>
      </c>
      <c r="T908">
        <f>Table1[[#This Row],[Adults]]+Table1[[#This Row],[Children]]</f>
        <v>8</v>
      </c>
      <c r="U908">
        <f>_xlfn.DAYS(Table1[[#This Row],[Depart]],Table1[[#This Row],[Arrive]])</f>
        <v>3</v>
      </c>
    </row>
    <row r="909" spans="1:21" x14ac:dyDescent="0.25">
      <c r="A909" t="s">
        <v>426</v>
      </c>
      <c r="B909" t="s">
        <v>427</v>
      </c>
      <c r="C909" t="s">
        <v>1176</v>
      </c>
      <c r="D909" s="1">
        <v>44183</v>
      </c>
      <c r="E909" s="1">
        <v>44185</v>
      </c>
      <c r="F909">
        <f t="shared" si="44"/>
        <v>2</v>
      </c>
      <c r="G909" s="1">
        <v>44046</v>
      </c>
      <c r="H909" s="2">
        <v>0.58333333333333337</v>
      </c>
      <c r="I909" s="2">
        <v>0.45833333333333331</v>
      </c>
      <c r="J909" t="s">
        <v>2114</v>
      </c>
      <c r="K909" t="s">
        <v>2114</v>
      </c>
      <c r="L909" t="s">
        <v>22</v>
      </c>
      <c r="M909" s="12" t="s">
        <v>18</v>
      </c>
      <c r="N909">
        <v>5</v>
      </c>
      <c r="O909">
        <v>0</v>
      </c>
      <c r="P909" t="s">
        <v>19</v>
      </c>
      <c r="Q909" s="6">
        <v>427.85</v>
      </c>
      <c r="R909" t="str">
        <f t="shared" si="42"/>
        <v>Tiara's Luxury Home Away From Home_x000C_</v>
      </c>
      <c r="S909" t="str">
        <f t="shared" si="43"/>
        <v>Tiara's Luxury Home Away From Home</v>
      </c>
      <c r="T909">
        <f>Table1[[#This Row],[Adults]]+Table1[[#This Row],[Children]]</f>
        <v>5</v>
      </c>
      <c r="U909">
        <f>_xlfn.DAYS(Table1[[#This Row],[Depart]],Table1[[#This Row],[Arrive]])</f>
        <v>2</v>
      </c>
    </row>
    <row r="910" spans="1:21" x14ac:dyDescent="0.25">
      <c r="A910" t="s">
        <v>322</v>
      </c>
      <c r="B910" t="s">
        <v>323</v>
      </c>
      <c r="C910" t="s">
        <v>1180</v>
      </c>
      <c r="D910" s="1">
        <v>44183</v>
      </c>
      <c r="E910" s="1">
        <v>44186</v>
      </c>
      <c r="F910">
        <f t="shared" si="44"/>
        <v>3</v>
      </c>
      <c r="G910" s="1">
        <v>44166</v>
      </c>
      <c r="H910" s="2">
        <v>0.58333333333333337</v>
      </c>
      <c r="I910" s="2">
        <v>0.45833333333333331</v>
      </c>
      <c r="J910" t="s">
        <v>2135</v>
      </c>
      <c r="K910" t="s">
        <v>2135</v>
      </c>
      <c r="L910" t="s">
        <v>26</v>
      </c>
      <c r="M910" s="12" t="s">
        <v>18</v>
      </c>
      <c r="N910">
        <v>2</v>
      </c>
      <c r="O910">
        <v>0</v>
      </c>
      <c r="P910" t="s">
        <v>19</v>
      </c>
      <c r="Q910" s="6">
        <v>361</v>
      </c>
      <c r="R910" t="str">
        <f t="shared" si="42"/>
        <v>Zoe's 5 Star Short let Apartment in Lekki_x000C_</v>
      </c>
      <c r="S910" t="str">
        <f t="shared" si="43"/>
        <v>Zoe's 5 Star Short let Apartment in Lekki</v>
      </c>
      <c r="T910">
        <f>Table1[[#This Row],[Adults]]+Table1[[#This Row],[Children]]</f>
        <v>2</v>
      </c>
      <c r="U910">
        <f>_xlfn.DAYS(Table1[[#This Row],[Depart]],Table1[[#This Row],[Arrive]])</f>
        <v>3</v>
      </c>
    </row>
    <row r="911" spans="1:21" x14ac:dyDescent="0.25">
      <c r="A911" t="s">
        <v>1153</v>
      </c>
      <c r="B911" t="s">
        <v>1154</v>
      </c>
      <c r="C911" t="s">
        <v>1175</v>
      </c>
      <c r="D911" s="1">
        <v>44183</v>
      </c>
      <c r="E911" s="1">
        <v>44185</v>
      </c>
      <c r="F911">
        <f t="shared" si="44"/>
        <v>2</v>
      </c>
      <c r="G911" s="1">
        <v>44167</v>
      </c>
      <c r="H911" s="2">
        <v>0.5</v>
      </c>
      <c r="I911" s="2">
        <v>0.58333333333333337</v>
      </c>
      <c r="J911" t="s">
        <v>2145</v>
      </c>
      <c r="K911" t="s">
        <v>2145</v>
      </c>
      <c r="L911" t="s">
        <v>22</v>
      </c>
      <c r="M911" s="12" t="s">
        <v>18</v>
      </c>
      <c r="N911">
        <v>10</v>
      </c>
      <c r="O911">
        <v>0</v>
      </c>
      <c r="P911" t="s">
        <v>19</v>
      </c>
      <c r="Q911" s="6">
        <v>0</v>
      </c>
      <c r="R911" t="str">
        <f t="shared" si="42"/>
        <v>Keji's 5 Star Short let Apartment in Lekki_x000C_</v>
      </c>
      <c r="S911" t="str">
        <f t="shared" si="43"/>
        <v>Keji's 5 Star Short let Apartment in Lekki</v>
      </c>
      <c r="T911">
        <f>Table1[[#This Row],[Adults]]+Table1[[#This Row],[Children]]</f>
        <v>10</v>
      </c>
      <c r="U911">
        <f>_xlfn.DAYS(Table1[[#This Row],[Depart]],Table1[[#This Row],[Arrive]])</f>
        <v>2</v>
      </c>
    </row>
    <row r="912" spans="1:21" x14ac:dyDescent="0.25">
      <c r="A912" t="s">
        <v>1043</v>
      </c>
      <c r="B912" t="s">
        <v>1044</v>
      </c>
      <c r="C912" t="s">
        <v>1175</v>
      </c>
      <c r="D912" s="1">
        <v>44184</v>
      </c>
      <c r="E912" s="1">
        <v>44186</v>
      </c>
      <c r="F912">
        <f t="shared" si="44"/>
        <v>2</v>
      </c>
      <c r="G912" s="1">
        <v>44145</v>
      </c>
      <c r="H912" s="2">
        <v>0.5</v>
      </c>
      <c r="I912" s="2">
        <v>0.58333333333333337</v>
      </c>
      <c r="J912" t="s">
        <v>2045</v>
      </c>
      <c r="K912" t="s">
        <v>2045</v>
      </c>
      <c r="L912" t="s">
        <v>22</v>
      </c>
      <c r="M912" s="12" t="s">
        <v>18</v>
      </c>
      <c r="N912">
        <v>4</v>
      </c>
      <c r="O912">
        <v>0</v>
      </c>
      <c r="P912" t="s">
        <v>19</v>
      </c>
      <c r="Q912" s="6">
        <v>150000</v>
      </c>
      <c r="R912" t="str">
        <f t="shared" si="42"/>
        <v>Keji's 5 Star Short let Apartment in Lekki_x000C_</v>
      </c>
      <c r="S912" t="str">
        <f t="shared" si="43"/>
        <v>Keji's 5 Star Short let Apartment in Lekki</v>
      </c>
      <c r="T912">
        <f>Table1[[#This Row],[Adults]]+Table1[[#This Row],[Children]]</f>
        <v>4</v>
      </c>
      <c r="U912">
        <f>_xlfn.DAYS(Table1[[#This Row],[Depart]],Table1[[#This Row],[Arrive]])</f>
        <v>2</v>
      </c>
    </row>
    <row r="913" spans="1:21" x14ac:dyDescent="0.25">
      <c r="A913" t="s">
        <v>1045</v>
      </c>
      <c r="B913" t="s">
        <v>1046</v>
      </c>
      <c r="C913" t="s">
        <v>1175</v>
      </c>
      <c r="D913" s="1">
        <v>44184</v>
      </c>
      <c r="E913" s="1">
        <v>44186</v>
      </c>
      <c r="F913">
        <f t="shared" si="44"/>
        <v>2</v>
      </c>
      <c r="G913" s="1">
        <v>44146</v>
      </c>
      <c r="H913" s="2">
        <v>0.5</v>
      </c>
      <c r="I913" s="2">
        <v>0.58333333333333337</v>
      </c>
      <c r="J913" t="s">
        <v>2046</v>
      </c>
      <c r="K913" t="s">
        <v>2046</v>
      </c>
      <c r="L913" t="s">
        <v>26</v>
      </c>
      <c r="M913" s="12" t="s">
        <v>18</v>
      </c>
      <c r="N913">
        <v>6</v>
      </c>
      <c r="O913">
        <v>0</v>
      </c>
      <c r="P913" t="s">
        <v>19</v>
      </c>
      <c r="Q913" s="6">
        <v>236</v>
      </c>
      <c r="R913" t="str">
        <f t="shared" si="42"/>
        <v>Keji's 5 Star Short let Apartment in Lekki_x000C_</v>
      </c>
      <c r="S913" t="str">
        <f t="shared" si="43"/>
        <v>Keji's 5 Star Short let Apartment in Lekki</v>
      </c>
      <c r="T913">
        <f>Table1[[#This Row],[Adults]]+Table1[[#This Row],[Children]]</f>
        <v>6</v>
      </c>
      <c r="U913">
        <f>_xlfn.DAYS(Table1[[#This Row],[Depart]],Table1[[#This Row],[Arrive]])</f>
        <v>2</v>
      </c>
    </row>
    <row r="914" spans="1:21" x14ac:dyDescent="0.25">
      <c r="A914" t="s">
        <v>1043</v>
      </c>
      <c r="B914" t="s">
        <v>1044</v>
      </c>
      <c r="C914" t="s">
        <v>1175</v>
      </c>
      <c r="D914" s="1">
        <v>44184</v>
      </c>
      <c r="E914" s="1">
        <v>44186</v>
      </c>
      <c r="F914">
        <f t="shared" si="44"/>
        <v>2</v>
      </c>
      <c r="G914" s="1">
        <v>44150</v>
      </c>
      <c r="H914" s="2">
        <v>0.5</v>
      </c>
      <c r="I914" s="2">
        <v>0.58333333333333337</v>
      </c>
      <c r="J914" t="s">
        <v>2062</v>
      </c>
      <c r="K914" t="s">
        <v>2062</v>
      </c>
      <c r="L914" t="s">
        <v>22</v>
      </c>
      <c r="M914" s="12" t="s">
        <v>23</v>
      </c>
      <c r="N914">
        <v>6</v>
      </c>
      <c r="O914">
        <v>0</v>
      </c>
      <c r="P914" t="s">
        <v>19</v>
      </c>
      <c r="Q914" s="6">
        <v>258</v>
      </c>
      <c r="R914" t="str">
        <f t="shared" si="42"/>
        <v>Keji's 5 Star Short let Apartment in Lekki_x000C_</v>
      </c>
      <c r="S914" t="str">
        <f t="shared" si="43"/>
        <v>Keji's 5 Star Short let Apartment in Lekki</v>
      </c>
      <c r="T914">
        <f>Table1[[#This Row],[Adults]]+Table1[[#This Row],[Children]]</f>
        <v>6</v>
      </c>
      <c r="U914">
        <f>_xlfn.DAYS(Table1[[#This Row],[Depart]],Table1[[#This Row],[Arrive]])</f>
        <v>2</v>
      </c>
    </row>
    <row r="915" spans="1:21" x14ac:dyDescent="0.25">
      <c r="A915" t="s">
        <v>1143</v>
      </c>
      <c r="B915" t="s">
        <v>1144</v>
      </c>
      <c r="C915" t="s">
        <v>1175</v>
      </c>
      <c r="D915" s="1">
        <v>44185</v>
      </c>
      <c r="E915" s="1">
        <v>44188</v>
      </c>
      <c r="F915">
        <f t="shared" si="44"/>
        <v>3</v>
      </c>
      <c r="G915" s="1">
        <v>44166</v>
      </c>
      <c r="H915" s="2">
        <v>0.5</v>
      </c>
      <c r="I915" s="2">
        <v>0.58333333333333337</v>
      </c>
      <c r="J915" t="s">
        <v>2136</v>
      </c>
      <c r="K915" t="s">
        <v>2136</v>
      </c>
      <c r="L915" t="s">
        <v>22</v>
      </c>
      <c r="M915" s="12" t="s">
        <v>18</v>
      </c>
      <c r="N915">
        <v>4</v>
      </c>
      <c r="O915">
        <v>0</v>
      </c>
      <c r="P915" t="s">
        <v>19</v>
      </c>
      <c r="Q915" s="6">
        <v>225000</v>
      </c>
      <c r="R915" t="str">
        <f t="shared" si="42"/>
        <v>Keji's 5 Star Short let Apartment in Lekki_x000C_</v>
      </c>
      <c r="S915" t="str">
        <f t="shared" si="43"/>
        <v>Keji's 5 Star Short let Apartment in Lekki</v>
      </c>
      <c r="T915">
        <f>Table1[[#This Row],[Adults]]+Table1[[#This Row],[Children]]</f>
        <v>4</v>
      </c>
      <c r="U915">
        <f>_xlfn.DAYS(Table1[[#This Row],[Depart]],Table1[[#This Row],[Arrive]])</f>
        <v>3</v>
      </c>
    </row>
    <row r="916" spans="1:21" x14ac:dyDescent="0.25">
      <c r="A916" t="s">
        <v>1143</v>
      </c>
      <c r="B916" t="s">
        <v>1144</v>
      </c>
      <c r="C916" t="s">
        <v>1175</v>
      </c>
      <c r="D916" s="1">
        <v>44185</v>
      </c>
      <c r="E916" s="1">
        <v>44188</v>
      </c>
      <c r="F916">
        <f t="shared" si="44"/>
        <v>3</v>
      </c>
      <c r="G916" s="1">
        <v>44166</v>
      </c>
      <c r="H916" s="2">
        <v>0.5</v>
      </c>
      <c r="I916" s="2">
        <v>0.58333333333333337</v>
      </c>
      <c r="J916" t="s">
        <v>2137</v>
      </c>
      <c r="K916" t="s">
        <v>2137</v>
      </c>
      <c r="L916" t="s">
        <v>22</v>
      </c>
      <c r="M916" s="12" t="s">
        <v>18</v>
      </c>
      <c r="N916">
        <v>4</v>
      </c>
      <c r="O916">
        <v>0</v>
      </c>
      <c r="P916" t="s">
        <v>19</v>
      </c>
      <c r="Q916" s="6">
        <v>225000</v>
      </c>
      <c r="R916" t="str">
        <f t="shared" si="42"/>
        <v>Keji's 5 Star Short let Apartment in Lekki_x000C_</v>
      </c>
      <c r="S916" t="str">
        <f t="shared" si="43"/>
        <v>Keji's 5 Star Short let Apartment in Lekki</v>
      </c>
      <c r="T916">
        <f>Table1[[#This Row],[Adults]]+Table1[[#This Row],[Children]]</f>
        <v>4</v>
      </c>
      <c r="U916">
        <f>_xlfn.DAYS(Table1[[#This Row],[Depart]],Table1[[#This Row],[Arrive]])</f>
        <v>3</v>
      </c>
    </row>
    <row r="917" spans="1:21" x14ac:dyDescent="0.25">
      <c r="A917" t="s">
        <v>1143</v>
      </c>
      <c r="B917" t="s">
        <v>1144</v>
      </c>
      <c r="C917" t="s">
        <v>1175</v>
      </c>
      <c r="D917" s="1">
        <v>44185</v>
      </c>
      <c r="E917" s="1">
        <v>44188</v>
      </c>
      <c r="F917">
        <f t="shared" si="44"/>
        <v>3</v>
      </c>
      <c r="G917" s="1">
        <v>44166</v>
      </c>
      <c r="H917" s="2">
        <v>0.5</v>
      </c>
      <c r="I917" s="2">
        <v>0.58333333333333337</v>
      </c>
      <c r="J917" t="s">
        <v>2138</v>
      </c>
      <c r="K917" t="s">
        <v>2138</v>
      </c>
      <c r="L917" t="s">
        <v>22</v>
      </c>
      <c r="M917" s="12" t="s">
        <v>18</v>
      </c>
      <c r="N917">
        <v>4</v>
      </c>
      <c r="O917">
        <v>0</v>
      </c>
      <c r="P917" t="s">
        <v>19</v>
      </c>
      <c r="Q917" s="6">
        <v>225000</v>
      </c>
      <c r="R917" t="str">
        <f t="shared" si="42"/>
        <v>Keji's 5 Star Short let Apartment in Lekki_x000C_</v>
      </c>
      <c r="S917" t="str">
        <f t="shared" si="43"/>
        <v>Keji's 5 Star Short let Apartment in Lekki</v>
      </c>
      <c r="T917">
        <f>Table1[[#This Row],[Adults]]+Table1[[#This Row],[Children]]</f>
        <v>4</v>
      </c>
      <c r="U917">
        <f>_xlfn.DAYS(Table1[[#This Row],[Depart]],Table1[[#This Row],[Arrive]])</f>
        <v>3</v>
      </c>
    </row>
    <row r="918" spans="1:21" x14ac:dyDescent="0.25">
      <c r="A918" t="s">
        <v>1143</v>
      </c>
      <c r="B918" t="s">
        <v>1144</v>
      </c>
      <c r="C918" t="s">
        <v>1175</v>
      </c>
      <c r="D918" s="1">
        <v>44185</v>
      </c>
      <c r="E918" s="1">
        <v>44188</v>
      </c>
      <c r="F918">
        <f t="shared" si="44"/>
        <v>3</v>
      </c>
      <c r="G918" s="1">
        <v>44166</v>
      </c>
      <c r="H918" s="2">
        <v>0.5</v>
      </c>
      <c r="I918" s="2">
        <v>0.58333333333333337</v>
      </c>
      <c r="J918" t="s">
        <v>2139</v>
      </c>
      <c r="K918" t="s">
        <v>2139</v>
      </c>
      <c r="L918" t="s">
        <v>22</v>
      </c>
      <c r="M918" s="12" t="s">
        <v>18</v>
      </c>
      <c r="N918">
        <v>4</v>
      </c>
      <c r="O918">
        <v>0</v>
      </c>
      <c r="P918" t="s">
        <v>19</v>
      </c>
      <c r="Q918" s="6">
        <v>225000</v>
      </c>
      <c r="R918" t="str">
        <f t="shared" si="42"/>
        <v>Keji's 5 Star Short let Apartment in Lekki_x000C_</v>
      </c>
      <c r="S918" t="str">
        <f t="shared" si="43"/>
        <v>Keji's 5 Star Short let Apartment in Lekki</v>
      </c>
      <c r="T918">
        <f>Table1[[#This Row],[Adults]]+Table1[[#This Row],[Children]]</f>
        <v>4</v>
      </c>
      <c r="U918">
        <f>_xlfn.DAYS(Table1[[#This Row],[Depart]],Table1[[#This Row],[Arrive]])</f>
        <v>3</v>
      </c>
    </row>
    <row r="919" spans="1:21" x14ac:dyDescent="0.25">
      <c r="A919" t="s">
        <v>611</v>
      </c>
      <c r="B919" t="s">
        <v>612</v>
      </c>
      <c r="C919" t="s">
        <v>1180</v>
      </c>
      <c r="D919" s="1">
        <v>44186</v>
      </c>
      <c r="E919" s="1">
        <v>44187</v>
      </c>
      <c r="F919">
        <f t="shared" si="44"/>
        <v>1</v>
      </c>
      <c r="G919" s="1">
        <v>44056</v>
      </c>
      <c r="H919" s="2">
        <v>0.58333333333333337</v>
      </c>
      <c r="I919" s="2">
        <v>0.45833333333333331</v>
      </c>
      <c r="J919" t="s">
        <v>1633</v>
      </c>
      <c r="K919" t="s">
        <v>1633</v>
      </c>
      <c r="L919" t="s">
        <v>26</v>
      </c>
      <c r="M919" s="12" t="s">
        <v>18</v>
      </c>
      <c r="N919">
        <v>4</v>
      </c>
      <c r="O919">
        <v>0</v>
      </c>
      <c r="P919" t="s">
        <v>19</v>
      </c>
      <c r="Q919" s="6">
        <v>140</v>
      </c>
      <c r="R919" t="str">
        <f t="shared" si="42"/>
        <v>Zoe's 5 Star Short let Apartment in Lekki_x000C_</v>
      </c>
      <c r="S919" t="str">
        <f t="shared" si="43"/>
        <v>Zoe's 5 Star Short let Apartment in Lekki</v>
      </c>
      <c r="T919">
        <f>Table1[[#This Row],[Adults]]+Table1[[#This Row],[Children]]</f>
        <v>4</v>
      </c>
      <c r="U919">
        <f>_xlfn.DAYS(Table1[[#This Row],[Depart]],Table1[[#This Row],[Arrive]])</f>
        <v>1</v>
      </c>
    </row>
    <row r="920" spans="1:21" x14ac:dyDescent="0.25">
      <c r="A920" t="s">
        <v>454</v>
      </c>
      <c r="B920" t="s">
        <v>455</v>
      </c>
      <c r="C920" t="s">
        <v>1177</v>
      </c>
      <c r="D920" s="1">
        <v>44186</v>
      </c>
      <c r="E920" s="1">
        <v>44194</v>
      </c>
      <c r="F920">
        <f t="shared" si="44"/>
        <v>8</v>
      </c>
      <c r="G920" s="1">
        <v>44079</v>
      </c>
      <c r="H920" s="2">
        <v>0.45833333333333331</v>
      </c>
      <c r="I920" s="2">
        <v>0.41666666666666669</v>
      </c>
      <c r="J920" t="s">
        <v>1831</v>
      </c>
      <c r="K920" t="s">
        <v>1831</v>
      </c>
      <c r="L920" t="s">
        <v>22</v>
      </c>
      <c r="M920" s="12" t="s">
        <v>18</v>
      </c>
      <c r="N920">
        <v>6</v>
      </c>
      <c r="O920">
        <v>0</v>
      </c>
      <c r="P920" t="s">
        <v>19</v>
      </c>
      <c r="Q920" s="6">
        <v>1118</v>
      </c>
      <c r="R920" t="str">
        <f t="shared" si="42"/>
        <v>Achikare 's Luxury Home Away from Home_x000C_</v>
      </c>
      <c r="S920" t="str">
        <f t="shared" si="43"/>
        <v>Achikare 's Luxury Home Away from Home</v>
      </c>
      <c r="T920">
        <f>Table1[[#This Row],[Adults]]+Table1[[#This Row],[Children]]</f>
        <v>6</v>
      </c>
      <c r="U920">
        <f>_xlfn.DAYS(Table1[[#This Row],[Depart]],Table1[[#This Row],[Arrive]])</f>
        <v>8</v>
      </c>
    </row>
    <row r="921" spans="1:21" x14ac:dyDescent="0.25">
      <c r="A921" t="s">
        <v>845</v>
      </c>
      <c r="B921" t="s">
        <v>846</v>
      </c>
      <c r="C921" t="s">
        <v>1177</v>
      </c>
      <c r="D921" s="1">
        <v>44186</v>
      </c>
      <c r="E921" s="1">
        <v>44194</v>
      </c>
      <c r="F921">
        <f t="shared" si="44"/>
        <v>8</v>
      </c>
      <c r="G921" s="1">
        <v>44079</v>
      </c>
      <c r="H921" s="2">
        <v>0.58333333333333337</v>
      </c>
      <c r="I921" s="2">
        <v>0.5</v>
      </c>
      <c r="J921" t="s">
        <v>1832</v>
      </c>
      <c r="K921" t="s">
        <v>1832</v>
      </c>
      <c r="L921" t="s">
        <v>22</v>
      </c>
      <c r="M921" s="12" t="s">
        <v>23</v>
      </c>
      <c r="N921">
        <v>6</v>
      </c>
      <c r="O921">
        <v>0</v>
      </c>
      <c r="P921" t="s">
        <v>19</v>
      </c>
      <c r="Q921" s="6">
        <v>1505</v>
      </c>
      <c r="R921" t="str">
        <f t="shared" si="42"/>
        <v>Achikare 's Luxury Home Away from Home_x000C_</v>
      </c>
      <c r="S921" t="str">
        <f t="shared" si="43"/>
        <v>Achikare 's Luxury Home Away from Home</v>
      </c>
      <c r="T921">
        <f>Table1[[#This Row],[Adults]]+Table1[[#This Row],[Children]]</f>
        <v>6</v>
      </c>
      <c r="U921">
        <f>_xlfn.DAYS(Table1[[#This Row],[Depart]],Table1[[#This Row],[Arrive]])</f>
        <v>8</v>
      </c>
    </row>
    <row r="922" spans="1:21" x14ac:dyDescent="0.25">
      <c r="A922" t="s">
        <v>737</v>
      </c>
      <c r="B922" t="s">
        <v>738</v>
      </c>
      <c r="C922" t="s">
        <v>1176</v>
      </c>
      <c r="D922" s="1">
        <v>44188</v>
      </c>
      <c r="E922" s="1">
        <v>44194</v>
      </c>
      <c r="F922">
        <f t="shared" si="44"/>
        <v>6</v>
      </c>
      <c r="G922" s="1">
        <v>44081</v>
      </c>
      <c r="H922" s="2">
        <v>0.58333333333333337</v>
      </c>
      <c r="I922" s="2">
        <v>0.45833333333333331</v>
      </c>
      <c r="J922" t="s">
        <v>1747</v>
      </c>
      <c r="K922" t="s">
        <v>1747</v>
      </c>
      <c r="L922" t="s">
        <v>22</v>
      </c>
      <c r="M922" s="12" t="s">
        <v>18</v>
      </c>
      <c r="N922">
        <v>5</v>
      </c>
      <c r="O922">
        <v>0</v>
      </c>
      <c r="P922" t="s">
        <v>19</v>
      </c>
      <c r="Q922" s="6">
        <v>806.25</v>
      </c>
      <c r="R922" t="str">
        <f t="shared" si="42"/>
        <v>Tiara's Luxury Home Away From Home_x000C_</v>
      </c>
      <c r="S922" t="str">
        <f t="shared" si="43"/>
        <v>Tiara's Luxury Home Away From Home</v>
      </c>
      <c r="T922">
        <f>Table1[[#This Row],[Adults]]+Table1[[#This Row],[Children]]</f>
        <v>5</v>
      </c>
      <c r="U922">
        <f>_xlfn.DAYS(Table1[[#This Row],[Depart]],Table1[[#This Row],[Arrive]])</f>
        <v>6</v>
      </c>
    </row>
    <row r="923" spans="1:21" x14ac:dyDescent="0.25">
      <c r="A923" t="s">
        <v>1035</v>
      </c>
      <c r="B923" t="s">
        <v>1036</v>
      </c>
      <c r="C923" t="s">
        <v>1180</v>
      </c>
      <c r="D923" s="1">
        <v>44188</v>
      </c>
      <c r="E923" s="1">
        <v>44191</v>
      </c>
      <c r="F923">
        <f t="shared" si="44"/>
        <v>3</v>
      </c>
      <c r="G923" s="1">
        <v>44067</v>
      </c>
      <c r="H923" s="2">
        <v>0.58333333333333337</v>
      </c>
      <c r="I923" s="2">
        <v>0.45833333333333331</v>
      </c>
      <c r="J923" t="s">
        <v>2039</v>
      </c>
      <c r="K923" t="s">
        <v>2039</v>
      </c>
      <c r="L923" t="s">
        <v>22</v>
      </c>
      <c r="M923" s="12" t="s">
        <v>18</v>
      </c>
      <c r="N923">
        <v>6</v>
      </c>
      <c r="O923">
        <v>0</v>
      </c>
      <c r="P923" t="s">
        <v>19</v>
      </c>
      <c r="Q923" s="6">
        <v>354.75</v>
      </c>
      <c r="R923" t="str">
        <f t="shared" si="42"/>
        <v>Zoe's 5 Star Short let Apartment in Lekki_x000C_</v>
      </c>
      <c r="S923" t="str">
        <f t="shared" si="43"/>
        <v>Zoe's 5 Star Short let Apartment in Lekki</v>
      </c>
      <c r="T923">
        <f>Table1[[#This Row],[Adults]]+Table1[[#This Row],[Children]]</f>
        <v>6</v>
      </c>
      <c r="U923">
        <f>_xlfn.DAYS(Table1[[#This Row],[Depart]],Table1[[#This Row],[Arrive]])</f>
        <v>3</v>
      </c>
    </row>
    <row r="924" spans="1:21" x14ac:dyDescent="0.25">
      <c r="A924" t="s">
        <v>897</v>
      </c>
      <c r="B924" t="s">
        <v>898</v>
      </c>
      <c r="C924" t="s">
        <v>1180</v>
      </c>
      <c r="D924" s="1">
        <v>44189</v>
      </c>
      <c r="E924" s="1">
        <v>44194</v>
      </c>
      <c r="F924">
        <f t="shared" si="44"/>
        <v>5</v>
      </c>
      <c r="G924" s="1">
        <v>44154</v>
      </c>
      <c r="H924" s="2">
        <v>0.58333333333333337</v>
      </c>
      <c r="I924" s="2">
        <v>0.45833333333333331</v>
      </c>
      <c r="J924" t="s">
        <v>2146</v>
      </c>
      <c r="K924" t="s">
        <v>2146</v>
      </c>
      <c r="L924" t="s">
        <v>22</v>
      </c>
      <c r="M924" s="12" t="s">
        <v>18</v>
      </c>
      <c r="N924">
        <v>2</v>
      </c>
      <c r="O924">
        <v>0</v>
      </c>
      <c r="P924" t="s">
        <v>19</v>
      </c>
      <c r="Q924" s="6">
        <v>645</v>
      </c>
      <c r="R924" t="str">
        <f t="shared" si="42"/>
        <v>Zoe's 5 Star Short let Apartment in Lekki_x000C_</v>
      </c>
      <c r="S924" t="str">
        <f t="shared" si="43"/>
        <v>Zoe's 5 Star Short let Apartment in Lekki</v>
      </c>
      <c r="T924">
        <f>Table1[[#This Row],[Adults]]+Table1[[#This Row],[Children]]</f>
        <v>2</v>
      </c>
      <c r="U924">
        <f>_xlfn.DAYS(Table1[[#This Row],[Depart]],Table1[[#This Row],[Arrive]])</f>
        <v>5</v>
      </c>
    </row>
    <row r="925" spans="1:21" x14ac:dyDescent="0.25">
      <c r="A925" t="s">
        <v>665</v>
      </c>
      <c r="B925" t="s">
        <v>666</v>
      </c>
      <c r="C925" t="s">
        <v>1180</v>
      </c>
      <c r="D925" s="1">
        <v>44190</v>
      </c>
      <c r="E925" s="1">
        <v>44192</v>
      </c>
      <c r="F925">
        <f t="shared" si="44"/>
        <v>2</v>
      </c>
      <c r="G925" s="1">
        <v>44067</v>
      </c>
      <c r="H925" s="2">
        <v>0.58333333333333337</v>
      </c>
      <c r="I925" s="2">
        <v>0.45833333333333331</v>
      </c>
      <c r="J925" t="s">
        <v>1671</v>
      </c>
      <c r="K925" t="s">
        <v>1671</v>
      </c>
      <c r="L925" t="s">
        <v>26</v>
      </c>
      <c r="M925" s="12" t="s">
        <v>18</v>
      </c>
      <c r="N925">
        <v>6</v>
      </c>
      <c r="O925">
        <v>0</v>
      </c>
      <c r="P925" t="s">
        <v>19</v>
      </c>
      <c r="Q925" s="6">
        <v>281</v>
      </c>
      <c r="R925" t="str">
        <f t="shared" si="42"/>
        <v>Zoe's 5 Star Short let Apartment in Lekki_x000C_</v>
      </c>
      <c r="S925" t="str">
        <f t="shared" si="43"/>
        <v>Zoe's 5 Star Short let Apartment in Lekki</v>
      </c>
      <c r="T925">
        <f>Table1[[#This Row],[Adults]]+Table1[[#This Row],[Children]]</f>
        <v>6</v>
      </c>
      <c r="U925">
        <f>_xlfn.DAYS(Table1[[#This Row],[Depart]],Table1[[#This Row],[Arrive]])</f>
        <v>2</v>
      </c>
    </row>
    <row r="926" spans="1:21" x14ac:dyDescent="0.25">
      <c r="A926" t="s">
        <v>669</v>
      </c>
      <c r="B926" t="s">
        <v>670</v>
      </c>
      <c r="C926" t="s">
        <v>1175</v>
      </c>
      <c r="D926" s="1">
        <v>44191</v>
      </c>
      <c r="E926" s="1">
        <v>44197</v>
      </c>
      <c r="F926">
        <f t="shared" si="44"/>
        <v>6</v>
      </c>
      <c r="G926" s="1">
        <v>44068</v>
      </c>
      <c r="H926" s="2">
        <v>0.33333333333333331</v>
      </c>
      <c r="I926" s="3">
        <v>1</v>
      </c>
      <c r="J926" t="s">
        <v>1673</v>
      </c>
      <c r="K926" t="s">
        <v>1673</v>
      </c>
      <c r="L926" t="s">
        <v>26</v>
      </c>
      <c r="M926" s="12" t="s">
        <v>18</v>
      </c>
      <c r="N926">
        <v>1</v>
      </c>
      <c r="O926">
        <v>0</v>
      </c>
      <c r="P926" t="s">
        <v>19</v>
      </c>
      <c r="Q926" s="6">
        <v>633</v>
      </c>
      <c r="R926" t="str">
        <f t="shared" si="42"/>
        <v>Keji's 5 Star Short let Apartment in Lekki_x000C_</v>
      </c>
      <c r="S926" t="str">
        <f t="shared" si="43"/>
        <v>Keji's 5 Star Short let Apartment in Lekki</v>
      </c>
      <c r="T926">
        <f>Table1[[#This Row],[Adults]]+Table1[[#This Row],[Children]]</f>
        <v>1</v>
      </c>
      <c r="U926">
        <f>_xlfn.DAYS(Table1[[#This Row],[Depart]],Table1[[#This Row],[Arrive]])</f>
        <v>6</v>
      </c>
    </row>
    <row r="927" spans="1:21" x14ac:dyDescent="0.25">
      <c r="A927" t="s">
        <v>797</v>
      </c>
      <c r="B927" t="s">
        <v>798</v>
      </c>
      <c r="C927" t="s">
        <v>1175</v>
      </c>
      <c r="D927" s="1">
        <v>44191</v>
      </c>
      <c r="E927" s="1">
        <v>44205</v>
      </c>
      <c r="F927">
        <f t="shared" si="44"/>
        <v>14</v>
      </c>
      <c r="G927" s="1">
        <v>44091</v>
      </c>
      <c r="H927" s="2">
        <v>0.33333333333333331</v>
      </c>
      <c r="I927" s="3">
        <v>1</v>
      </c>
      <c r="J927" s="4" t="s">
        <v>1791</v>
      </c>
      <c r="K927" s="4" t="s">
        <v>1791</v>
      </c>
      <c r="L927" t="s">
        <v>26</v>
      </c>
      <c r="M927" s="12" t="s">
        <v>18</v>
      </c>
      <c r="N927">
        <v>1</v>
      </c>
      <c r="O927">
        <v>0</v>
      </c>
      <c r="P927" t="s">
        <v>19</v>
      </c>
      <c r="Q927" s="6">
        <v>1632</v>
      </c>
      <c r="R927" t="str">
        <f t="shared" si="42"/>
        <v>Keji's 5 Star Short let Apartment in Lekki_x000C_</v>
      </c>
      <c r="S927" t="str">
        <f t="shared" si="43"/>
        <v>Keji's 5 Star Short let Apartment in Lekki</v>
      </c>
      <c r="T927">
        <f>Table1[[#This Row],[Adults]]+Table1[[#This Row],[Children]]</f>
        <v>1</v>
      </c>
      <c r="U927">
        <f>_xlfn.DAYS(Table1[[#This Row],[Depart]],Table1[[#This Row],[Arrive]])</f>
        <v>14</v>
      </c>
    </row>
    <row r="928" spans="1:21" x14ac:dyDescent="0.25">
      <c r="A928" t="s">
        <v>1081</v>
      </c>
      <c r="B928" t="s">
        <v>1082</v>
      </c>
      <c r="C928" t="s">
        <v>1175</v>
      </c>
      <c r="D928" s="1">
        <v>44191</v>
      </c>
      <c r="E928" s="1">
        <v>44201</v>
      </c>
      <c r="F928">
        <f t="shared" si="44"/>
        <v>10</v>
      </c>
      <c r="G928" s="1">
        <v>44153</v>
      </c>
      <c r="H928" s="2">
        <v>0.5</v>
      </c>
      <c r="I928" s="2">
        <v>0.58333333333333337</v>
      </c>
      <c r="J928" t="s">
        <v>2084</v>
      </c>
      <c r="K928" t="s">
        <v>2084</v>
      </c>
      <c r="L928" t="s">
        <v>22</v>
      </c>
      <c r="M928" s="12" t="s">
        <v>18</v>
      </c>
      <c r="N928">
        <v>2</v>
      </c>
      <c r="O928">
        <v>0</v>
      </c>
      <c r="P928" t="s">
        <v>19</v>
      </c>
      <c r="Q928" s="6">
        <v>750000</v>
      </c>
      <c r="R928" t="str">
        <f t="shared" si="42"/>
        <v>Keji's 5 Star Short let Apartment in Lekki_x000C_</v>
      </c>
      <c r="S928" t="str">
        <f t="shared" si="43"/>
        <v>Keji's 5 Star Short let Apartment in Lekki</v>
      </c>
      <c r="T928">
        <f>Table1[[#This Row],[Adults]]+Table1[[#This Row],[Children]]</f>
        <v>2</v>
      </c>
      <c r="U928">
        <f>_xlfn.DAYS(Table1[[#This Row],[Depart]],Table1[[#This Row],[Arrive]])</f>
        <v>10</v>
      </c>
    </row>
    <row r="929" spans="1:21" x14ac:dyDescent="0.25">
      <c r="A929" t="s">
        <v>1081</v>
      </c>
      <c r="B929" t="s">
        <v>1082</v>
      </c>
      <c r="C929" t="s">
        <v>1175</v>
      </c>
      <c r="D929" s="1">
        <v>44191</v>
      </c>
      <c r="E929" s="1">
        <v>44198</v>
      </c>
      <c r="F929">
        <f t="shared" si="44"/>
        <v>7</v>
      </c>
      <c r="G929" s="1">
        <v>44153</v>
      </c>
      <c r="H929" s="2">
        <v>0.5</v>
      </c>
      <c r="I929" s="2">
        <v>0.58333333333333337</v>
      </c>
      <c r="J929" t="s">
        <v>2085</v>
      </c>
      <c r="K929" t="s">
        <v>2085</v>
      </c>
      <c r="L929" t="s">
        <v>22</v>
      </c>
      <c r="M929" s="12" t="s">
        <v>18</v>
      </c>
      <c r="N929">
        <v>2</v>
      </c>
      <c r="O929">
        <v>0</v>
      </c>
      <c r="P929" t="s">
        <v>19</v>
      </c>
      <c r="Q929" s="6">
        <v>525000</v>
      </c>
      <c r="R929" t="str">
        <f t="shared" si="42"/>
        <v>Keji's 5 Star Short let Apartment in Lekki_x000C_</v>
      </c>
      <c r="S929" t="str">
        <f t="shared" si="43"/>
        <v>Keji's 5 Star Short let Apartment in Lekki</v>
      </c>
      <c r="T929">
        <f>Table1[[#This Row],[Adults]]+Table1[[#This Row],[Children]]</f>
        <v>2</v>
      </c>
      <c r="U929">
        <f>_xlfn.DAYS(Table1[[#This Row],[Depart]],Table1[[#This Row],[Arrive]])</f>
        <v>7</v>
      </c>
    </row>
    <row r="930" spans="1:21" x14ac:dyDescent="0.25">
      <c r="A930" t="s">
        <v>1131</v>
      </c>
      <c r="B930" t="s">
        <v>1132</v>
      </c>
      <c r="C930" t="s">
        <v>1175</v>
      </c>
      <c r="D930" s="1">
        <v>44191</v>
      </c>
      <c r="E930" s="1">
        <v>44194</v>
      </c>
      <c r="F930">
        <f t="shared" si="44"/>
        <v>3</v>
      </c>
      <c r="G930" s="1">
        <v>44164</v>
      </c>
      <c r="H930" s="2">
        <v>0.5</v>
      </c>
      <c r="I930" s="2">
        <v>0.58333333333333337</v>
      </c>
      <c r="J930" t="s">
        <v>2129</v>
      </c>
      <c r="K930" t="s">
        <v>2129</v>
      </c>
      <c r="L930" t="s">
        <v>22</v>
      </c>
      <c r="M930" s="12" t="s">
        <v>18</v>
      </c>
      <c r="N930">
        <v>2</v>
      </c>
      <c r="O930">
        <v>0</v>
      </c>
      <c r="P930" t="s">
        <v>19</v>
      </c>
      <c r="Q930" s="6">
        <v>0</v>
      </c>
      <c r="R930" t="str">
        <f t="shared" si="42"/>
        <v>Keji's 5 Star Short let Apartment in Lekki_x000C_</v>
      </c>
      <c r="S930" t="str">
        <f t="shared" si="43"/>
        <v>Keji's 5 Star Short let Apartment in Lekki</v>
      </c>
      <c r="T930">
        <f>Table1[[#This Row],[Adults]]+Table1[[#This Row],[Children]]</f>
        <v>2</v>
      </c>
      <c r="U930">
        <f>_xlfn.DAYS(Table1[[#This Row],[Depart]],Table1[[#This Row],[Arrive]])</f>
        <v>3</v>
      </c>
    </row>
    <row r="931" spans="1:21" x14ac:dyDescent="0.25">
      <c r="A931" t="s">
        <v>24</v>
      </c>
      <c r="B931" t="s">
        <v>25</v>
      </c>
      <c r="C931" t="s">
        <v>1173</v>
      </c>
      <c r="D931" s="1">
        <v>44192</v>
      </c>
      <c r="E931" s="1">
        <v>44201</v>
      </c>
      <c r="F931">
        <f t="shared" si="44"/>
        <v>9</v>
      </c>
      <c r="G931" s="1">
        <v>43873</v>
      </c>
      <c r="H931" s="2">
        <v>0.33333333333333331</v>
      </c>
      <c r="I931" s="3">
        <v>1</v>
      </c>
      <c r="J931" t="s">
        <v>1184</v>
      </c>
      <c r="K931" t="s">
        <v>1184</v>
      </c>
      <c r="L931" t="s">
        <v>26</v>
      </c>
      <c r="M931" s="12" t="s">
        <v>18</v>
      </c>
      <c r="N931">
        <v>6</v>
      </c>
      <c r="O931">
        <v>0</v>
      </c>
      <c r="P931" t="s">
        <v>19</v>
      </c>
      <c r="Q931" s="6">
        <v>954</v>
      </c>
      <c r="R931" t="str">
        <f t="shared" si="42"/>
        <v xml:space="preserve"> The Daniels 5 Star Short Let Apartment in Lekki_x000C_</v>
      </c>
      <c r="S931" t="str">
        <f t="shared" si="43"/>
        <v xml:space="preserve"> The Daniels 5 Star Short Let Apartment in Lekki</v>
      </c>
      <c r="T931">
        <f>Table1[[#This Row],[Adults]]+Table1[[#This Row],[Children]]</f>
        <v>6</v>
      </c>
      <c r="U931">
        <f>_xlfn.DAYS(Table1[[#This Row],[Depart]],Table1[[#This Row],[Arrive]])</f>
        <v>9</v>
      </c>
    </row>
    <row r="932" spans="1:21" x14ac:dyDescent="0.25">
      <c r="A932" t="s">
        <v>314</v>
      </c>
      <c r="B932" t="s">
        <v>315</v>
      </c>
      <c r="C932" t="s">
        <v>1180</v>
      </c>
      <c r="D932" s="1">
        <v>44192</v>
      </c>
      <c r="E932" s="1">
        <v>44200</v>
      </c>
      <c r="F932">
        <f t="shared" si="44"/>
        <v>8</v>
      </c>
      <c r="G932" s="1">
        <v>43990</v>
      </c>
      <c r="H932" s="2">
        <v>0.58333333333333337</v>
      </c>
      <c r="I932" s="2">
        <v>0.45833333333333331</v>
      </c>
      <c r="J932" t="s">
        <v>1412</v>
      </c>
      <c r="K932" t="s">
        <v>1412</v>
      </c>
      <c r="L932" t="s">
        <v>26</v>
      </c>
      <c r="M932" s="12" t="s">
        <v>18</v>
      </c>
      <c r="N932">
        <v>6</v>
      </c>
      <c r="O932">
        <v>0</v>
      </c>
      <c r="P932" t="s">
        <v>19</v>
      </c>
      <c r="Q932" s="6">
        <v>824</v>
      </c>
      <c r="R932" t="str">
        <f t="shared" si="42"/>
        <v>Zoe's 5 Star Short let Apartment in Lekki_x000C_</v>
      </c>
      <c r="S932" t="str">
        <f t="shared" si="43"/>
        <v>Zoe's 5 Star Short let Apartment in Lekki</v>
      </c>
      <c r="T932">
        <f>Table1[[#This Row],[Adults]]+Table1[[#This Row],[Children]]</f>
        <v>6</v>
      </c>
      <c r="U932">
        <f>_xlfn.DAYS(Table1[[#This Row],[Depart]],Table1[[#This Row],[Arrive]])</f>
        <v>8</v>
      </c>
    </row>
    <row r="933" spans="1:21" x14ac:dyDescent="0.25">
      <c r="A933" t="s">
        <v>763</v>
      </c>
      <c r="B933" t="s">
        <v>764</v>
      </c>
      <c r="C933" t="s">
        <v>1175</v>
      </c>
      <c r="D933" s="1">
        <v>44192</v>
      </c>
      <c r="E933" s="1">
        <v>44197</v>
      </c>
      <c r="F933">
        <f t="shared" si="44"/>
        <v>5</v>
      </c>
      <c r="G933" s="1">
        <v>44084</v>
      </c>
      <c r="H933" s="2">
        <v>0.33333333333333331</v>
      </c>
      <c r="I933" s="3">
        <v>1</v>
      </c>
      <c r="J933" t="s">
        <v>1767</v>
      </c>
      <c r="K933" t="s">
        <v>1767</v>
      </c>
      <c r="L933" t="s">
        <v>26</v>
      </c>
      <c r="M933" s="12" t="s">
        <v>18</v>
      </c>
      <c r="N933">
        <v>4</v>
      </c>
      <c r="O933">
        <v>0</v>
      </c>
      <c r="P933" t="s">
        <v>19</v>
      </c>
      <c r="Q933" s="6">
        <v>528</v>
      </c>
      <c r="R933" t="str">
        <f t="shared" si="42"/>
        <v>Keji's 5 Star Short let Apartment in Lekki_x000C_</v>
      </c>
      <c r="S933" t="str">
        <f t="shared" si="43"/>
        <v>Keji's 5 Star Short let Apartment in Lekki</v>
      </c>
      <c r="T933">
        <f>Table1[[#This Row],[Adults]]+Table1[[#This Row],[Children]]</f>
        <v>4</v>
      </c>
      <c r="U933">
        <f>_xlfn.DAYS(Table1[[#This Row],[Depart]],Table1[[#This Row],[Arrive]])</f>
        <v>5</v>
      </c>
    </row>
    <row r="934" spans="1:21" x14ac:dyDescent="0.25">
      <c r="A934" t="s">
        <v>1029</v>
      </c>
      <c r="B934" t="s">
        <v>1030</v>
      </c>
      <c r="C934" t="s">
        <v>1175</v>
      </c>
      <c r="D934" s="1">
        <v>44192</v>
      </c>
      <c r="E934" s="1">
        <v>44193</v>
      </c>
      <c r="F934">
        <f t="shared" si="44"/>
        <v>1</v>
      </c>
      <c r="G934" s="1">
        <v>44144</v>
      </c>
      <c r="H934" s="2">
        <v>0.5</v>
      </c>
      <c r="I934" s="2">
        <v>0.58333333333333337</v>
      </c>
      <c r="J934" t="s">
        <v>2032</v>
      </c>
      <c r="K934" t="s">
        <v>2032</v>
      </c>
      <c r="L934" t="s">
        <v>22</v>
      </c>
      <c r="M934" s="12" t="s">
        <v>18</v>
      </c>
      <c r="N934">
        <v>10</v>
      </c>
      <c r="O934">
        <v>0</v>
      </c>
      <c r="P934" t="s">
        <v>19</v>
      </c>
      <c r="Q934" s="6">
        <v>75000</v>
      </c>
      <c r="R934" t="str">
        <f t="shared" si="42"/>
        <v>Keji's 5 Star Short let Apartment in Lekki_x000C_</v>
      </c>
      <c r="S934" t="str">
        <f t="shared" si="43"/>
        <v>Keji's 5 Star Short let Apartment in Lekki</v>
      </c>
      <c r="T934">
        <f>Table1[[#This Row],[Adults]]+Table1[[#This Row],[Children]]</f>
        <v>10</v>
      </c>
      <c r="U934">
        <f>_xlfn.DAYS(Table1[[#This Row],[Depart]],Table1[[#This Row],[Arrive]])</f>
        <v>1</v>
      </c>
    </row>
    <row r="935" spans="1:21" x14ac:dyDescent="0.25">
      <c r="A935" t="s">
        <v>1071</v>
      </c>
      <c r="B935" t="s">
        <v>1072</v>
      </c>
      <c r="C935" t="s">
        <v>1175</v>
      </c>
      <c r="D935" s="1">
        <v>44192</v>
      </c>
      <c r="E935" s="1">
        <v>44200</v>
      </c>
      <c r="F935">
        <f t="shared" si="44"/>
        <v>8</v>
      </c>
      <c r="G935" s="1">
        <v>44152</v>
      </c>
      <c r="H935" s="2">
        <v>0.5</v>
      </c>
      <c r="I935" s="2">
        <v>0.58333333333333337</v>
      </c>
      <c r="J935" t="s">
        <v>2074</v>
      </c>
      <c r="K935" t="s">
        <v>2074</v>
      </c>
      <c r="L935" t="s">
        <v>22</v>
      </c>
      <c r="M935" s="12" t="s">
        <v>18</v>
      </c>
      <c r="N935">
        <v>6</v>
      </c>
      <c r="O935">
        <v>0</v>
      </c>
      <c r="P935" t="s">
        <v>19</v>
      </c>
      <c r="Q935" s="6">
        <v>600000</v>
      </c>
      <c r="R935" t="str">
        <f t="shared" si="42"/>
        <v>Keji's 5 Star Short let Apartment in Lekki_x000C_</v>
      </c>
      <c r="S935" t="str">
        <f t="shared" si="43"/>
        <v>Keji's 5 Star Short let Apartment in Lekki</v>
      </c>
      <c r="T935">
        <f>Table1[[#This Row],[Adults]]+Table1[[#This Row],[Children]]</f>
        <v>6</v>
      </c>
      <c r="U935">
        <f>_xlfn.DAYS(Table1[[#This Row],[Depart]],Table1[[#This Row],[Arrive]])</f>
        <v>8</v>
      </c>
    </row>
    <row r="936" spans="1:21" x14ac:dyDescent="0.25">
      <c r="A936" t="s">
        <v>1071</v>
      </c>
      <c r="B936" t="s">
        <v>1072</v>
      </c>
      <c r="C936" t="s">
        <v>1175</v>
      </c>
      <c r="D936" s="1">
        <v>44192</v>
      </c>
      <c r="E936" s="1">
        <v>44200</v>
      </c>
      <c r="F936">
        <f t="shared" si="44"/>
        <v>8</v>
      </c>
      <c r="G936" s="1">
        <v>44152</v>
      </c>
      <c r="H936" s="2">
        <v>0.5</v>
      </c>
      <c r="I936" s="2">
        <v>0.58333333333333337</v>
      </c>
      <c r="J936" t="s">
        <v>2075</v>
      </c>
      <c r="K936" t="s">
        <v>2075</v>
      </c>
      <c r="L936" t="s">
        <v>22</v>
      </c>
      <c r="M936" s="12" t="s">
        <v>18</v>
      </c>
      <c r="N936">
        <v>6</v>
      </c>
      <c r="O936">
        <v>0</v>
      </c>
      <c r="P936" t="s">
        <v>19</v>
      </c>
      <c r="Q936" s="6">
        <v>600000</v>
      </c>
      <c r="R936" t="str">
        <f t="shared" si="42"/>
        <v>Keji's 5 Star Short let Apartment in Lekki_x000C_</v>
      </c>
      <c r="S936" t="str">
        <f t="shared" si="43"/>
        <v>Keji's 5 Star Short let Apartment in Lekki</v>
      </c>
      <c r="T936">
        <f>Table1[[#This Row],[Adults]]+Table1[[#This Row],[Children]]</f>
        <v>6</v>
      </c>
      <c r="U936">
        <f>_xlfn.DAYS(Table1[[#This Row],[Depart]],Table1[[#This Row],[Arrive]])</f>
        <v>8</v>
      </c>
    </row>
    <row r="937" spans="1:21" x14ac:dyDescent="0.25">
      <c r="A937" t="s">
        <v>1165</v>
      </c>
      <c r="B937" t="s">
        <v>1166</v>
      </c>
      <c r="C937" t="s">
        <v>1175</v>
      </c>
      <c r="D937" s="1">
        <v>44192</v>
      </c>
      <c r="E937" s="1">
        <v>44195</v>
      </c>
      <c r="F937">
        <f t="shared" si="44"/>
        <v>3</v>
      </c>
      <c r="G937" s="1">
        <v>44170</v>
      </c>
      <c r="H937" s="2">
        <v>0.5</v>
      </c>
      <c r="I937" s="2">
        <v>0.58333333333333337</v>
      </c>
      <c r="J937" t="s">
        <v>2161</v>
      </c>
      <c r="K937" t="s">
        <v>2161</v>
      </c>
      <c r="L937" t="s">
        <v>22</v>
      </c>
      <c r="M937" s="12" t="s">
        <v>18</v>
      </c>
      <c r="N937">
        <v>6</v>
      </c>
      <c r="O937">
        <v>0</v>
      </c>
      <c r="P937" t="s">
        <v>19</v>
      </c>
      <c r="Q937" s="6">
        <v>225000</v>
      </c>
      <c r="R937" t="str">
        <f t="shared" si="42"/>
        <v>Keji's 5 Star Short let Apartment in Lekki_x000C_</v>
      </c>
      <c r="S937" t="str">
        <f t="shared" si="43"/>
        <v>Keji's 5 Star Short let Apartment in Lekki</v>
      </c>
      <c r="T937">
        <f>Table1[[#This Row],[Adults]]+Table1[[#This Row],[Children]]</f>
        <v>6</v>
      </c>
      <c r="U937">
        <f>_xlfn.DAYS(Table1[[#This Row],[Depart]],Table1[[#This Row],[Arrive]])</f>
        <v>3</v>
      </c>
    </row>
    <row r="938" spans="1:21" x14ac:dyDescent="0.25">
      <c r="A938" t="s">
        <v>1167</v>
      </c>
      <c r="B938" t="s">
        <v>1168</v>
      </c>
      <c r="C938" t="s">
        <v>1175</v>
      </c>
      <c r="D938" s="1">
        <v>44192</v>
      </c>
      <c r="E938" s="1">
        <v>44195</v>
      </c>
      <c r="F938">
        <f t="shared" si="44"/>
        <v>3</v>
      </c>
      <c r="G938" s="1">
        <v>44170</v>
      </c>
      <c r="H938" s="2">
        <v>0.5</v>
      </c>
      <c r="I938" s="2">
        <v>0.58333333333333337</v>
      </c>
      <c r="J938" t="s">
        <v>2162</v>
      </c>
      <c r="K938" t="s">
        <v>2162</v>
      </c>
      <c r="L938" t="s">
        <v>22</v>
      </c>
      <c r="M938" s="12" t="s">
        <v>18</v>
      </c>
      <c r="N938">
        <v>6</v>
      </c>
      <c r="O938">
        <v>0</v>
      </c>
      <c r="P938" t="s">
        <v>19</v>
      </c>
      <c r="Q938" s="6">
        <v>225000</v>
      </c>
      <c r="R938" t="str">
        <f t="shared" si="42"/>
        <v>Keji's 5 Star Short let Apartment in Lekki_x000C_</v>
      </c>
      <c r="S938" t="str">
        <f t="shared" si="43"/>
        <v>Keji's 5 Star Short let Apartment in Lekki</v>
      </c>
      <c r="T938">
        <f>Table1[[#This Row],[Adults]]+Table1[[#This Row],[Children]]</f>
        <v>6</v>
      </c>
      <c r="U938">
        <f>_xlfn.DAYS(Table1[[#This Row],[Depart]],Table1[[#This Row],[Arrive]])</f>
        <v>3</v>
      </c>
    </row>
    <row r="939" spans="1:21" x14ac:dyDescent="0.25">
      <c r="A939" t="s">
        <v>1167</v>
      </c>
      <c r="B939" t="s">
        <v>1168</v>
      </c>
      <c r="C939" t="s">
        <v>1175</v>
      </c>
      <c r="D939" s="1">
        <v>44192</v>
      </c>
      <c r="E939" s="1">
        <v>44195</v>
      </c>
      <c r="F939">
        <f t="shared" si="44"/>
        <v>3</v>
      </c>
      <c r="G939" s="1">
        <v>44170</v>
      </c>
      <c r="H939" s="2">
        <v>0.5</v>
      </c>
      <c r="I939" s="2">
        <v>0.58333333333333337</v>
      </c>
      <c r="J939" t="s">
        <v>2163</v>
      </c>
      <c r="K939" t="s">
        <v>2163</v>
      </c>
      <c r="L939" t="s">
        <v>22</v>
      </c>
      <c r="M939" s="12" t="s">
        <v>18</v>
      </c>
      <c r="N939">
        <v>6</v>
      </c>
      <c r="O939">
        <v>0</v>
      </c>
      <c r="P939" t="s">
        <v>19</v>
      </c>
      <c r="Q939" s="6">
        <v>225000</v>
      </c>
      <c r="R939" t="str">
        <f t="shared" si="42"/>
        <v>Keji's 5 Star Short let Apartment in Lekki_x000C_</v>
      </c>
      <c r="S939" t="str">
        <f t="shared" si="43"/>
        <v>Keji's 5 Star Short let Apartment in Lekki</v>
      </c>
      <c r="T939">
        <f>Table1[[#This Row],[Adults]]+Table1[[#This Row],[Children]]</f>
        <v>6</v>
      </c>
      <c r="U939">
        <f>_xlfn.DAYS(Table1[[#This Row],[Depart]],Table1[[#This Row],[Arrive]])</f>
        <v>3</v>
      </c>
    </row>
    <row r="940" spans="1:21" x14ac:dyDescent="0.25">
      <c r="A940" t="s">
        <v>416</v>
      </c>
      <c r="B940" t="s">
        <v>417</v>
      </c>
      <c r="C940" t="s">
        <v>1176</v>
      </c>
      <c r="D940" s="1">
        <v>44193</v>
      </c>
      <c r="E940" s="1">
        <v>44201</v>
      </c>
      <c r="F940">
        <f t="shared" si="44"/>
        <v>8</v>
      </c>
      <c r="G940" s="1">
        <v>44089</v>
      </c>
      <c r="H940" s="2">
        <v>0.58333333333333337</v>
      </c>
      <c r="I940" s="2">
        <v>0.45833333333333331</v>
      </c>
      <c r="J940" t="s">
        <v>2057</v>
      </c>
      <c r="K940" t="s">
        <v>2057</v>
      </c>
      <c r="L940" t="s">
        <v>22</v>
      </c>
      <c r="M940" s="12" t="s">
        <v>18</v>
      </c>
      <c r="N940">
        <v>4</v>
      </c>
      <c r="O940">
        <v>0</v>
      </c>
      <c r="P940" t="s">
        <v>19</v>
      </c>
      <c r="Q940" s="6">
        <v>1505</v>
      </c>
      <c r="R940" t="str">
        <f t="shared" si="42"/>
        <v>Tiara's Luxury Home Away From Home_x000C_</v>
      </c>
      <c r="S940" t="str">
        <f t="shared" si="43"/>
        <v>Tiara's Luxury Home Away From Home</v>
      </c>
      <c r="T940">
        <f>Table1[[#This Row],[Adults]]+Table1[[#This Row],[Children]]</f>
        <v>4</v>
      </c>
      <c r="U940">
        <f>_xlfn.DAYS(Table1[[#This Row],[Depart]],Table1[[#This Row],[Arrive]])</f>
        <v>8</v>
      </c>
    </row>
    <row r="941" spans="1:21" x14ac:dyDescent="0.25">
      <c r="A941" t="s">
        <v>1083</v>
      </c>
      <c r="B941" t="s">
        <v>1084</v>
      </c>
      <c r="C941" t="s">
        <v>1175</v>
      </c>
      <c r="D941" s="1">
        <v>44193</v>
      </c>
      <c r="E941" s="1">
        <v>44198</v>
      </c>
      <c r="F941">
        <f t="shared" si="44"/>
        <v>5</v>
      </c>
      <c r="G941" s="1">
        <v>44153</v>
      </c>
      <c r="H941" s="2">
        <v>0.5</v>
      </c>
      <c r="I941" s="2">
        <v>0.58333333333333337</v>
      </c>
      <c r="J941" t="s">
        <v>2086</v>
      </c>
      <c r="K941" t="s">
        <v>2086</v>
      </c>
      <c r="L941" t="s">
        <v>22</v>
      </c>
      <c r="M941" s="12" t="s">
        <v>18</v>
      </c>
      <c r="N941">
        <v>2</v>
      </c>
      <c r="O941">
        <v>0</v>
      </c>
      <c r="P941" t="s">
        <v>19</v>
      </c>
      <c r="Q941" s="6">
        <v>375000</v>
      </c>
      <c r="R941" t="str">
        <f t="shared" si="42"/>
        <v>Keji's 5 Star Short let Apartment in Lekki_x000C_</v>
      </c>
      <c r="S941" t="str">
        <f t="shared" si="43"/>
        <v>Keji's 5 Star Short let Apartment in Lekki</v>
      </c>
      <c r="T941">
        <f>Table1[[#This Row],[Adults]]+Table1[[#This Row],[Children]]</f>
        <v>2</v>
      </c>
      <c r="U941">
        <f>_xlfn.DAYS(Table1[[#This Row],[Depart]],Table1[[#This Row],[Arrive]])</f>
        <v>5</v>
      </c>
    </row>
    <row r="942" spans="1:21" x14ac:dyDescent="0.25">
      <c r="A942" t="s">
        <v>1085</v>
      </c>
      <c r="B942" t="s">
        <v>1086</v>
      </c>
      <c r="C942" t="s">
        <v>1175</v>
      </c>
      <c r="D942" s="1">
        <v>44193</v>
      </c>
      <c r="E942" s="1">
        <v>44198</v>
      </c>
      <c r="F942">
        <f t="shared" si="44"/>
        <v>5</v>
      </c>
      <c r="G942" s="1">
        <v>44154</v>
      </c>
      <c r="H942" s="2">
        <v>0.5</v>
      </c>
      <c r="I942" s="2">
        <v>0.58333333333333337</v>
      </c>
      <c r="J942" t="s">
        <v>2087</v>
      </c>
      <c r="K942" t="s">
        <v>2087</v>
      </c>
      <c r="L942" t="s">
        <v>22</v>
      </c>
      <c r="M942" s="12" t="s">
        <v>18</v>
      </c>
      <c r="N942">
        <v>4</v>
      </c>
      <c r="O942">
        <v>0</v>
      </c>
      <c r="P942" t="s">
        <v>19</v>
      </c>
      <c r="Q942" s="6">
        <v>375000</v>
      </c>
      <c r="R942" t="str">
        <f t="shared" si="42"/>
        <v>Keji's 5 Star Short let Apartment in Lekki_x000C_</v>
      </c>
      <c r="S942" t="str">
        <f t="shared" si="43"/>
        <v>Keji's 5 Star Short let Apartment in Lekki</v>
      </c>
      <c r="T942">
        <f>Table1[[#This Row],[Adults]]+Table1[[#This Row],[Children]]</f>
        <v>4</v>
      </c>
      <c r="U942">
        <f>_xlfn.DAYS(Table1[[#This Row],[Depart]],Table1[[#This Row],[Arrive]])</f>
        <v>5</v>
      </c>
    </row>
    <row r="943" spans="1:21" x14ac:dyDescent="0.25">
      <c r="A943" t="s">
        <v>104</v>
      </c>
      <c r="B943" t="s">
        <v>105</v>
      </c>
      <c r="C943" t="s">
        <v>1173</v>
      </c>
      <c r="D943" s="1">
        <v>44196</v>
      </c>
      <c r="E943" s="1">
        <v>44198</v>
      </c>
      <c r="F943">
        <f t="shared" si="44"/>
        <v>2</v>
      </c>
      <c r="G943" s="1">
        <v>43897</v>
      </c>
      <c r="H943" s="2">
        <v>0.33333333333333331</v>
      </c>
      <c r="I943" s="3">
        <v>1</v>
      </c>
      <c r="J943" t="s">
        <v>1231</v>
      </c>
      <c r="K943" t="s">
        <v>1231</v>
      </c>
      <c r="L943" t="s">
        <v>26</v>
      </c>
      <c r="M943" s="12" t="s">
        <v>18</v>
      </c>
      <c r="N943">
        <v>1</v>
      </c>
      <c r="O943">
        <v>0</v>
      </c>
      <c r="P943" t="s">
        <v>19</v>
      </c>
      <c r="Q943" s="6">
        <v>212</v>
      </c>
      <c r="R943" t="str">
        <f t="shared" si="42"/>
        <v xml:space="preserve"> The Daniels 5 Star Short Let Apartment in Lekki_x000C_</v>
      </c>
      <c r="S943" t="str">
        <f t="shared" si="43"/>
        <v xml:space="preserve"> The Daniels 5 Star Short Let Apartment in Lekki</v>
      </c>
      <c r="T943">
        <f>Table1[[#This Row],[Adults]]+Table1[[#This Row],[Children]]</f>
        <v>1</v>
      </c>
      <c r="U943">
        <f>_xlfn.DAYS(Table1[[#This Row],[Depart]],Table1[[#This Row],[Arrive]])</f>
        <v>2</v>
      </c>
    </row>
    <row r="944" spans="1:21" x14ac:dyDescent="0.25">
      <c r="A944" t="s">
        <v>887</v>
      </c>
      <c r="B944" t="s">
        <v>888</v>
      </c>
      <c r="C944" t="s">
        <v>1173</v>
      </c>
      <c r="D944" s="1">
        <v>44196</v>
      </c>
      <c r="E944" s="1">
        <v>44210</v>
      </c>
      <c r="F944">
        <f t="shared" si="44"/>
        <v>14</v>
      </c>
      <c r="G944" s="1">
        <v>44116</v>
      </c>
      <c r="H944" s="2">
        <v>0.33333333333333331</v>
      </c>
      <c r="I944" s="3">
        <v>1</v>
      </c>
      <c r="J944" t="s">
        <v>1864</v>
      </c>
      <c r="K944" t="s">
        <v>1864</v>
      </c>
      <c r="L944" t="s">
        <v>26</v>
      </c>
      <c r="M944" s="12" t="s">
        <v>18</v>
      </c>
      <c r="N944">
        <v>1</v>
      </c>
      <c r="O944">
        <v>0</v>
      </c>
      <c r="P944" t="s">
        <v>19</v>
      </c>
      <c r="Q944" s="6">
        <v>1594</v>
      </c>
      <c r="R944" t="str">
        <f t="shared" si="42"/>
        <v xml:space="preserve"> The Daniels 5 Star Short Let Apartment in Lekki_x000C_</v>
      </c>
      <c r="S944" t="str">
        <f t="shared" si="43"/>
        <v xml:space="preserve"> The Daniels 5 Star Short Let Apartment in Lekki</v>
      </c>
      <c r="T944">
        <f>Table1[[#This Row],[Adults]]+Table1[[#This Row],[Children]]</f>
        <v>1</v>
      </c>
      <c r="U944">
        <f>_xlfn.DAYS(Table1[[#This Row],[Depart]],Table1[[#This Row],[Arrive]])</f>
        <v>14</v>
      </c>
    </row>
    <row r="945" spans="1:21" x14ac:dyDescent="0.25">
      <c r="A945" t="s">
        <v>416</v>
      </c>
      <c r="B945" t="s">
        <v>417</v>
      </c>
      <c r="C945" t="s">
        <v>1177</v>
      </c>
      <c r="D945" s="1">
        <v>44196</v>
      </c>
      <c r="E945" s="1">
        <v>44198</v>
      </c>
      <c r="F945">
        <f t="shared" si="44"/>
        <v>2</v>
      </c>
      <c r="G945" s="1">
        <v>44139</v>
      </c>
      <c r="H945" s="2">
        <v>0.58333333333333337</v>
      </c>
      <c r="I945" s="2">
        <v>0.5</v>
      </c>
      <c r="J945" t="s">
        <v>2000</v>
      </c>
      <c r="K945" t="s">
        <v>2000</v>
      </c>
      <c r="L945" t="s">
        <v>22</v>
      </c>
      <c r="M945" s="12" t="s">
        <v>18</v>
      </c>
      <c r="N945">
        <v>2</v>
      </c>
      <c r="O945">
        <v>0</v>
      </c>
      <c r="P945" t="s">
        <v>19</v>
      </c>
      <c r="Q945" s="6">
        <v>427.85</v>
      </c>
      <c r="R945" t="str">
        <f t="shared" si="42"/>
        <v>Achikare 's Luxury Home Away from Home_x000C_</v>
      </c>
      <c r="S945" t="str">
        <f t="shared" si="43"/>
        <v>Achikare 's Luxury Home Away from Home</v>
      </c>
      <c r="T945">
        <f>Table1[[#This Row],[Adults]]+Table1[[#This Row],[Children]]</f>
        <v>2</v>
      </c>
      <c r="U945">
        <f>_xlfn.DAYS(Table1[[#This Row],[Depart]],Table1[[#This Row],[Arrive]])</f>
        <v>2</v>
      </c>
    </row>
    <row r="946" spans="1:21" x14ac:dyDescent="0.25">
      <c r="A946" t="s">
        <v>1013</v>
      </c>
      <c r="B946" t="s">
        <v>1014</v>
      </c>
      <c r="C946" t="s">
        <v>1177</v>
      </c>
      <c r="D946" s="1">
        <v>44196</v>
      </c>
      <c r="E946" s="1">
        <v>44198</v>
      </c>
      <c r="F946">
        <f t="shared" si="44"/>
        <v>2</v>
      </c>
      <c r="G946" s="1">
        <v>44140</v>
      </c>
      <c r="H946" s="2">
        <v>0.58333333333333337</v>
      </c>
      <c r="I946" s="2">
        <v>0.5</v>
      </c>
      <c r="J946" t="s">
        <v>2001</v>
      </c>
      <c r="K946" t="s">
        <v>2001</v>
      </c>
      <c r="L946" t="s">
        <v>22</v>
      </c>
      <c r="M946" s="12" t="s">
        <v>23</v>
      </c>
      <c r="N946">
        <v>4</v>
      </c>
      <c r="O946">
        <v>0</v>
      </c>
      <c r="P946" t="s">
        <v>19</v>
      </c>
      <c r="Q946" s="6">
        <v>427.85</v>
      </c>
      <c r="R946" t="str">
        <f t="shared" si="42"/>
        <v>Achikare 's Luxury Home Away from Home_x000C_</v>
      </c>
      <c r="S946" t="str">
        <f t="shared" si="43"/>
        <v>Achikare 's Luxury Home Away from Home</v>
      </c>
      <c r="T946">
        <f>Table1[[#This Row],[Adults]]+Table1[[#This Row],[Children]]</f>
        <v>4</v>
      </c>
      <c r="U946">
        <f>_xlfn.DAYS(Table1[[#This Row],[Depart]],Table1[[#This Row],[Arrive]])</f>
        <v>2</v>
      </c>
    </row>
    <row r="947" spans="1:21" x14ac:dyDescent="0.25">
      <c r="A947" t="s">
        <v>1109</v>
      </c>
      <c r="B947" t="s">
        <v>1110</v>
      </c>
      <c r="C947" t="s">
        <v>1173</v>
      </c>
      <c r="D947" s="1">
        <v>44196</v>
      </c>
      <c r="E947" s="1">
        <v>44203</v>
      </c>
      <c r="F947">
        <f t="shared" si="44"/>
        <v>7</v>
      </c>
      <c r="G947" s="1">
        <v>44159</v>
      </c>
      <c r="H947" s="2">
        <v>0.33333333333333331</v>
      </c>
      <c r="I947" s="3">
        <v>1</v>
      </c>
      <c r="J947" t="s">
        <v>2113</v>
      </c>
      <c r="K947" t="s">
        <v>2113</v>
      </c>
      <c r="L947" t="s">
        <v>26</v>
      </c>
      <c r="M947" s="12" t="s">
        <v>18</v>
      </c>
      <c r="N947">
        <v>3</v>
      </c>
      <c r="O947">
        <v>0</v>
      </c>
      <c r="P947" t="s">
        <v>19</v>
      </c>
      <c r="Q947" s="6">
        <v>801</v>
      </c>
      <c r="R947" t="str">
        <f t="shared" si="42"/>
        <v xml:space="preserve"> The Daniels 5 Star Short Let Apartment in Lekki_x000C_</v>
      </c>
      <c r="S947" t="str">
        <f t="shared" si="43"/>
        <v xml:space="preserve"> The Daniels 5 Star Short Let Apartment in Lekki</v>
      </c>
      <c r="T947">
        <f>Table1[[#This Row],[Adults]]+Table1[[#This Row],[Children]]</f>
        <v>3</v>
      </c>
      <c r="U947">
        <f>_xlfn.DAYS(Table1[[#This Row],[Depart]],Table1[[#This Row],[Arrive]])</f>
        <v>7</v>
      </c>
    </row>
    <row r="948" spans="1:21" x14ac:dyDescent="0.25">
      <c r="A948" t="s">
        <v>1123</v>
      </c>
      <c r="B948" t="s">
        <v>1124</v>
      </c>
      <c r="C948" t="s">
        <v>1173</v>
      </c>
      <c r="D948" s="1">
        <v>44196</v>
      </c>
      <c r="E948" s="1">
        <v>44206</v>
      </c>
      <c r="F948">
        <f t="shared" si="44"/>
        <v>10</v>
      </c>
      <c r="G948" s="1">
        <v>44161</v>
      </c>
      <c r="H948" s="2">
        <v>0.33333333333333331</v>
      </c>
      <c r="I948" s="3">
        <v>1</v>
      </c>
      <c r="J948" s="4" t="s">
        <v>2124</v>
      </c>
      <c r="K948" s="4" t="s">
        <v>2124</v>
      </c>
      <c r="L948" t="s">
        <v>26</v>
      </c>
      <c r="M948" s="12" t="s">
        <v>18</v>
      </c>
      <c r="N948">
        <v>1</v>
      </c>
      <c r="O948">
        <v>0</v>
      </c>
      <c r="P948" t="s">
        <v>19</v>
      </c>
      <c r="Q948" s="6">
        <v>1144</v>
      </c>
      <c r="R948" t="str">
        <f t="shared" si="42"/>
        <v xml:space="preserve"> The Daniels 5 Star Short Let Apartment in Lekki_x000C_</v>
      </c>
      <c r="S948" t="str">
        <f t="shared" si="43"/>
        <v xml:space="preserve"> The Daniels 5 Star Short Let Apartment in Lekki</v>
      </c>
      <c r="T948">
        <f>Table1[[#This Row],[Adults]]+Table1[[#This Row],[Children]]</f>
        <v>1</v>
      </c>
      <c r="U948">
        <f>_xlfn.DAYS(Table1[[#This Row],[Depart]],Table1[[#This Row],[Arrive]])</f>
        <v>10</v>
      </c>
    </row>
    <row r="949" spans="1:21" x14ac:dyDescent="0.25">
      <c r="A949" t="s">
        <v>1135</v>
      </c>
      <c r="B949" t="s">
        <v>1136</v>
      </c>
      <c r="C949" t="s">
        <v>1175</v>
      </c>
      <c r="D949" s="1">
        <v>44196</v>
      </c>
      <c r="E949" s="1">
        <v>44197</v>
      </c>
      <c r="F949">
        <f t="shared" si="44"/>
        <v>1</v>
      </c>
      <c r="G949" s="1">
        <v>44165</v>
      </c>
      <c r="H949" s="2">
        <v>0.5</v>
      </c>
      <c r="I949" s="2">
        <v>0.58333333333333337</v>
      </c>
      <c r="J949" t="s">
        <v>2131</v>
      </c>
      <c r="K949" t="s">
        <v>2131</v>
      </c>
      <c r="L949" t="s">
        <v>22</v>
      </c>
      <c r="M949" s="12" t="s">
        <v>18</v>
      </c>
      <c r="N949">
        <v>1</v>
      </c>
      <c r="O949">
        <v>0</v>
      </c>
      <c r="P949" t="s">
        <v>19</v>
      </c>
      <c r="Q949" s="6">
        <v>85000</v>
      </c>
      <c r="R949" t="str">
        <f t="shared" si="42"/>
        <v>Keji's 5 Star Short let Apartment in Lekki_x000C_</v>
      </c>
      <c r="S949" t="str">
        <f t="shared" si="43"/>
        <v>Keji's 5 Star Short let Apartment in Lekki</v>
      </c>
      <c r="T949">
        <f>Table1[[#This Row],[Adults]]+Table1[[#This Row],[Children]]</f>
        <v>1</v>
      </c>
      <c r="U949">
        <f>_xlfn.DAYS(Table1[[#This Row],[Depart]],Table1[[#This Row],[Arrive]])</f>
        <v>1</v>
      </c>
    </row>
    <row r="950" spans="1:21" x14ac:dyDescent="0.25">
      <c r="A950" t="s">
        <v>424</v>
      </c>
      <c r="B950" t="s">
        <v>425</v>
      </c>
      <c r="C950" t="s">
        <v>1173</v>
      </c>
      <c r="D950" s="1">
        <v>44196</v>
      </c>
      <c r="E950" s="1">
        <v>44198</v>
      </c>
      <c r="F950">
        <f t="shared" si="44"/>
        <v>2</v>
      </c>
      <c r="G950" s="1">
        <v>44170</v>
      </c>
      <c r="H950" s="2">
        <v>0.33333333333333331</v>
      </c>
      <c r="I950" s="3">
        <v>1</v>
      </c>
      <c r="J950" t="s">
        <v>2160</v>
      </c>
      <c r="K950" t="s">
        <v>2160</v>
      </c>
      <c r="L950" t="s">
        <v>26</v>
      </c>
      <c r="M950" s="12" t="s">
        <v>18</v>
      </c>
      <c r="N950">
        <v>1</v>
      </c>
      <c r="O950">
        <v>0</v>
      </c>
      <c r="P950" t="s">
        <v>19</v>
      </c>
      <c r="Q950" s="6">
        <v>241</v>
      </c>
      <c r="R950" t="str">
        <f t="shared" si="42"/>
        <v xml:space="preserve"> The Daniels 5 Star Short Let Apartment in Lekki_x000C_</v>
      </c>
      <c r="S950" t="str">
        <f t="shared" si="43"/>
        <v xml:space="preserve"> The Daniels 5 Star Short Let Apartment in Lekki</v>
      </c>
      <c r="T950">
        <f>Table1[[#This Row],[Adults]]+Table1[[#This Row],[Children]]</f>
        <v>1</v>
      </c>
      <c r="U950">
        <f>_xlfn.DAYS(Table1[[#This Row],[Depart]],Table1[[#This Row],[Arrive]])</f>
        <v>2</v>
      </c>
    </row>
    <row r="951" spans="1:21" x14ac:dyDescent="0.25">
      <c r="A951" t="s">
        <v>959</v>
      </c>
      <c r="B951" t="s">
        <v>960</v>
      </c>
      <c r="C951" t="s">
        <v>1175</v>
      </c>
      <c r="D951" s="1">
        <v>44197</v>
      </c>
      <c r="E951" s="1">
        <v>44256</v>
      </c>
      <c r="F951">
        <f t="shared" si="44"/>
        <v>59</v>
      </c>
      <c r="G951" s="1">
        <v>44133</v>
      </c>
      <c r="H951" s="2">
        <v>0.5</v>
      </c>
      <c r="I951" s="2">
        <v>0.58333333333333337</v>
      </c>
      <c r="J951" t="s">
        <v>1947</v>
      </c>
      <c r="K951" t="s">
        <v>1947</v>
      </c>
      <c r="L951" t="s">
        <v>22</v>
      </c>
      <c r="M951" s="12" t="s">
        <v>18</v>
      </c>
      <c r="N951">
        <v>4</v>
      </c>
      <c r="O951">
        <v>0</v>
      </c>
      <c r="P951" t="s">
        <v>19</v>
      </c>
      <c r="Q951" s="6">
        <v>260000</v>
      </c>
      <c r="R951" t="str">
        <f t="shared" si="42"/>
        <v>Keji's 5 Star Short let Apartment in Lekki_x000C_</v>
      </c>
      <c r="S951" t="str">
        <f t="shared" si="43"/>
        <v>Keji's 5 Star Short let Apartment in Lekki</v>
      </c>
      <c r="T951">
        <f>Table1[[#This Row],[Adults]]+Table1[[#This Row],[Children]]</f>
        <v>4</v>
      </c>
      <c r="U951">
        <f>_xlfn.DAYS(Table1[[#This Row],[Depart]],Table1[[#This Row],[Arrive]])</f>
        <v>59</v>
      </c>
    </row>
    <row r="952" spans="1:21" x14ac:dyDescent="0.25">
      <c r="A952" t="s">
        <v>1113</v>
      </c>
      <c r="B952" t="s">
        <v>1114</v>
      </c>
      <c r="C952" t="s">
        <v>1178</v>
      </c>
      <c r="D952" s="1">
        <v>44197</v>
      </c>
      <c r="E952" s="1">
        <v>44199</v>
      </c>
      <c r="F952">
        <f t="shared" si="44"/>
        <v>2</v>
      </c>
      <c r="G952" s="1">
        <v>44161</v>
      </c>
      <c r="H952" s="2">
        <v>0.58333333333333337</v>
      </c>
      <c r="I952" s="2">
        <v>0.45833333333333331</v>
      </c>
      <c r="J952" t="s">
        <v>2118</v>
      </c>
      <c r="K952" t="s">
        <v>2118</v>
      </c>
      <c r="L952" t="s">
        <v>26</v>
      </c>
      <c r="M952" s="12" t="s">
        <v>18</v>
      </c>
      <c r="N952">
        <v>6</v>
      </c>
      <c r="O952">
        <v>0</v>
      </c>
      <c r="P952" t="s">
        <v>19</v>
      </c>
      <c r="Q952" s="6">
        <v>233</v>
      </c>
      <c r="R952" t="str">
        <f t="shared" si="42"/>
        <v>Ope's 5 Star Short Let Apartment in Lekki_x000C_</v>
      </c>
      <c r="S952" t="str">
        <f t="shared" si="43"/>
        <v>Ope's 5 Star Short Let Apartment in Lekki</v>
      </c>
      <c r="T952">
        <f>Table1[[#This Row],[Adults]]+Table1[[#This Row],[Children]]</f>
        <v>6</v>
      </c>
      <c r="U952">
        <f>_xlfn.DAYS(Table1[[#This Row],[Depart]],Table1[[#This Row],[Arrive]])</f>
        <v>2</v>
      </c>
    </row>
    <row r="953" spans="1:21" x14ac:dyDescent="0.25">
      <c r="A953" t="s">
        <v>106</v>
      </c>
      <c r="B953" t="s">
        <v>107</v>
      </c>
      <c r="C953" t="s">
        <v>1175</v>
      </c>
      <c r="D953" s="1">
        <v>44200</v>
      </c>
      <c r="E953" s="1">
        <v>44210</v>
      </c>
      <c r="F953">
        <f t="shared" si="44"/>
        <v>10</v>
      </c>
      <c r="G953" s="1">
        <v>43900</v>
      </c>
      <c r="H953" s="2">
        <v>0.33333333333333331</v>
      </c>
      <c r="I953" s="3">
        <v>1</v>
      </c>
      <c r="J953" t="s">
        <v>1232</v>
      </c>
      <c r="K953" t="s">
        <v>1232</v>
      </c>
      <c r="L953" t="s">
        <v>26</v>
      </c>
      <c r="M953" s="12" t="s">
        <v>18</v>
      </c>
      <c r="N953">
        <v>4</v>
      </c>
      <c r="O953">
        <v>0</v>
      </c>
      <c r="P953" t="s">
        <v>19</v>
      </c>
      <c r="Q953" s="6">
        <v>1029</v>
      </c>
      <c r="R953" t="str">
        <f t="shared" si="42"/>
        <v>Keji's 5 Star Short let Apartment in Lekki_x000C_</v>
      </c>
      <c r="S953" t="str">
        <f t="shared" si="43"/>
        <v>Keji's 5 Star Short let Apartment in Lekki</v>
      </c>
      <c r="T953">
        <f>Table1[[#This Row],[Adults]]+Table1[[#This Row],[Children]]</f>
        <v>4</v>
      </c>
      <c r="U953">
        <f>_xlfn.DAYS(Table1[[#This Row],[Depart]],Table1[[#This Row],[Arrive]])</f>
        <v>10</v>
      </c>
    </row>
    <row r="954" spans="1:21" x14ac:dyDescent="0.25">
      <c r="A954" t="s">
        <v>106</v>
      </c>
      <c r="B954" t="s">
        <v>107</v>
      </c>
      <c r="C954" t="s">
        <v>1179</v>
      </c>
      <c r="D954" s="1">
        <v>44200</v>
      </c>
      <c r="E954" s="1">
        <v>44210</v>
      </c>
      <c r="F954">
        <f t="shared" si="44"/>
        <v>10</v>
      </c>
      <c r="G954" s="1">
        <v>43900</v>
      </c>
      <c r="H954" s="2">
        <v>0.33333333333333331</v>
      </c>
      <c r="I954" s="3">
        <v>1</v>
      </c>
      <c r="J954" t="s">
        <v>1233</v>
      </c>
      <c r="K954" t="s">
        <v>1233</v>
      </c>
      <c r="L954" t="s">
        <v>26</v>
      </c>
      <c r="M954" s="12" t="s">
        <v>18</v>
      </c>
      <c r="N954">
        <v>4</v>
      </c>
      <c r="O954">
        <v>0</v>
      </c>
      <c r="P954" t="s">
        <v>19</v>
      </c>
      <c r="Q954" s="6">
        <v>1048</v>
      </c>
      <c r="R954" t="str">
        <f t="shared" si="42"/>
        <v>Phiola's 5 Star Short Let Apartment in Lekki_x000C_</v>
      </c>
      <c r="S954" t="str">
        <f t="shared" si="43"/>
        <v>Phiola's 5 Star Short Let Apartment in Lekki</v>
      </c>
      <c r="T954">
        <f>Table1[[#This Row],[Adults]]+Table1[[#This Row],[Children]]</f>
        <v>4</v>
      </c>
      <c r="U954">
        <f>_xlfn.DAYS(Table1[[#This Row],[Depart]],Table1[[#This Row],[Arrive]])</f>
        <v>10</v>
      </c>
    </row>
    <row r="955" spans="1:21" x14ac:dyDescent="0.25">
      <c r="A955" t="s">
        <v>106</v>
      </c>
      <c r="B955" t="s">
        <v>107</v>
      </c>
      <c r="C955" t="s">
        <v>1178</v>
      </c>
      <c r="D955" s="1">
        <v>44200</v>
      </c>
      <c r="E955" s="1">
        <v>44210</v>
      </c>
      <c r="F955">
        <f t="shared" si="44"/>
        <v>10</v>
      </c>
      <c r="G955" s="1">
        <v>43900</v>
      </c>
      <c r="H955" s="2">
        <v>0.33333333333333331</v>
      </c>
      <c r="I955" s="3">
        <v>1</v>
      </c>
      <c r="J955" t="s">
        <v>1234</v>
      </c>
      <c r="K955" t="s">
        <v>1234</v>
      </c>
      <c r="L955" t="s">
        <v>26</v>
      </c>
      <c r="M955" s="12" t="s">
        <v>18</v>
      </c>
      <c r="N955">
        <v>4</v>
      </c>
      <c r="O955">
        <v>0</v>
      </c>
      <c r="P955" t="s">
        <v>19</v>
      </c>
      <c r="Q955" s="6">
        <v>1061</v>
      </c>
      <c r="R955" t="str">
        <f t="shared" si="42"/>
        <v>Ope's 5 Star Short Let Apartment in Lekki_x000C_</v>
      </c>
      <c r="S955" t="str">
        <f t="shared" si="43"/>
        <v>Ope's 5 Star Short Let Apartment in Lekki</v>
      </c>
      <c r="T955">
        <f>Table1[[#This Row],[Adults]]+Table1[[#This Row],[Children]]</f>
        <v>4</v>
      </c>
      <c r="U955">
        <f>_xlfn.DAYS(Table1[[#This Row],[Depart]],Table1[[#This Row],[Arrive]])</f>
        <v>10</v>
      </c>
    </row>
    <row r="956" spans="1:21" x14ac:dyDescent="0.25">
      <c r="A956" t="s">
        <v>106</v>
      </c>
      <c r="B956" t="s">
        <v>107</v>
      </c>
      <c r="C956" t="s">
        <v>1173</v>
      </c>
      <c r="D956" s="1">
        <v>44200</v>
      </c>
      <c r="E956" s="1">
        <v>44210</v>
      </c>
      <c r="F956">
        <f t="shared" si="44"/>
        <v>10</v>
      </c>
      <c r="G956" s="1">
        <v>43900</v>
      </c>
      <c r="H956" s="2">
        <v>0.33333333333333331</v>
      </c>
      <c r="I956" s="3">
        <v>1</v>
      </c>
      <c r="J956" t="s">
        <v>1245</v>
      </c>
      <c r="K956" t="s">
        <v>1245</v>
      </c>
      <c r="L956" t="s">
        <v>26</v>
      </c>
      <c r="M956" s="12" t="s">
        <v>18</v>
      </c>
      <c r="N956">
        <v>4</v>
      </c>
      <c r="O956">
        <v>0</v>
      </c>
      <c r="P956" t="s">
        <v>19</v>
      </c>
      <c r="Q956" s="6">
        <v>1061</v>
      </c>
      <c r="R956" t="str">
        <f t="shared" si="42"/>
        <v xml:space="preserve"> The Daniels 5 Star Short Let Apartment in Lekki_x000C_</v>
      </c>
      <c r="S956" t="str">
        <f t="shared" si="43"/>
        <v xml:space="preserve"> The Daniels 5 Star Short Let Apartment in Lekki</v>
      </c>
      <c r="T956">
        <f>Table1[[#This Row],[Adults]]+Table1[[#This Row],[Children]]</f>
        <v>4</v>
      </c>
      <c r="U956">
        <f>_xlfn.DAYS(Table1[[#This Row],[Depart]],Table1[[#This Row],[Arrive]])</f>
        <v>10</v>
      </c>
    </row>
    <row r="957" spans="1:21" x14ac:dyDescent="0.25">
      <c r="A957" t="s">
        <v>380</v>
      </c>
      <c r="B957" t="s">
        <v>381</v>
      </c>
      <c r="C957" t="s">
        <v>1175</v>
      </c>
      <c r="D957" s="1">
        <v>44200</v>
      </c>
      <c r="E957" s="1">
        <v>44210</v>
      </c>
      <c r="F957">
        <f t="shared" si="44"/>
        <v>10</v>
      </c>
      <c r="G957" s="1">
        <v>44004</v>
      </c>
      <c r="H957" s="2">
        <v>0.33333333333333331</v>
      </c>
      <c r="I957" s="3">
        <v>1</v>
      </c>
      <c r="J957" t="s">
        <v>1452</v>
      </c>
      <c r="K957" t="s">
        <v>1452</v>
      </c>
      <c r="L957" t="s">
        <v>26</v>
      </c>
      <c r="M957" s="12" t="s">
        <v>18</v>
      </c>
      <c r="N957">
        <v>4</v>
      </c>
      <c r="O957">
        <v>0</v>
      </c>
      <c r="P957" t="s">
        <v>19</v>
      </c>
      <c r="Q957" s="6">
        <v>1029</v>
      </c>
      <c r="R957" t="str">
        <f t="shared" si="42"/>
        <v>Keji's 5 Star Short let Apartment in Lekki_x000C_</v>
      </c>
      <c r="S957" t="str">
        <f t="shared" si="43"/>
        <v>Keji's 5 Star Short let Apartment in Lekki</v>
      </c>
      <c r="T957">
        <f>Table1[[#This Row],[Adults]]+Table1[[#This Row],[Children]]</f>
        <v>4</v>
      </c>
      <c r="U957">
        <f>_xlfn.DAYS(Table1[[#This Row],[Depart]],Table1[[#This Row],[Arrive]])</f>
        <v>10</v>
      </c>
    </row>
    <row r="958" spans="1:21" x14ac:dyDescent="0.25">
      <c r="A958" t="s">
        <v>380</v>
      </c>
      <c r="B958" t="s">
        <v>381</v>
      </c>
      <c r="C958" t="s">
        <v>1176</v>
      </c>
      <c r="D958" s="1">
        <v>44201</v>
      </c>
      <c r="E958" s="1">
        <v>44217</v>
      </c>
      <c r="F958">
        <f t="shared" si="44"/>
        <v>16</v>
      </c>
      <c r="G958" s="1">
        <v>44086</v>
      </c>
      <c r="H958" s="2">
        <v>0.58333333333333337</v>
      </c>
      <c r="I958" s="2">
        <v>0.45833333333333331</v>
      </c>
      <c r="J958" t="s">
        <v>1773</v>
      </c>
      <c r="K958" t="s">
        <v>1773</v>
      </c>
      <c r="L958" t="s">
        <v>26</v>
      </c>
      <c r="M958" s="12" t="s">
        <v>18</v>
      </c>
      <c r="N958">
        <v>2</v>
      </c>
      <c r="O958">
        <v>0</v>
      </c>
      <c r="P958" t="s">
        <v>19</v>
      </c>
      <c r="Q958" s="6">
        <v>1707</v>
      </c>
      <c r="R958" t="str">
        <f t="shared" si="42"/>
        <v>Tiara's Luxury Home Away From Home_x000C_</v>
      </c>
      <c r="S958" t="str">
        <f t="shared" si="43"/>
        <v>Tiara's Luxury Home Away From Home</v>
      </c>
      <c r="T958">
        <f>Table1[[#This Row],[Adults]]+Table1[[#This Row],[Children]]</f>
        <v>2</v>
      </c>
      <c r="U958">
        <f>_xlfn.DAYS(Table1[[#This Row],[Depart]],Table1[[#This Row],[Arrive]])</f>
        <v>16</v>
      </c>
    </row>
    <row r="959" spans="1:21" x14ac:dyDescent="0.25">
      <c r="A959" t="s">
        <v>1115</v>
      </c>
      <c r="B959" t="s">
        <v>1116</v>
      </c>
      <c r="C959" t="s">
        <v>1173</v>
      </c>
      <c r="D959" s="1">
        <v>44201</v>
      </c>
      <c r="E959" s="1">
        <v>44204</v>
      </c>
      <c r="F959">
        <f t="shared" si="44"/>
        <v>3</v>
      </c>
      <c r="G959" s="1">
        <v>44162</v>
      </c>
      <c r="H959" s="2">
        <v>0.33333333333333331</v>
      </c>
      <c r="I959" s="3">
        <v>1</v>
      </c>
      <c r="J959" t="s">
        <v>2119</v>
      </c>
      <c r="K959" t="s">
        <v>2119</v>
      </c>
      <c r="L959" t="s">
        <v>26</v>
      </c>
      <c r="M959" s="12" t="s">
        <v>18</v>
      </c>
      <c r="N959">
        <v>1</v>
      </c>
      <c r="O959">
        <v>0</v>
      </c>
      <c r="P959" t="s">
        <v>19</v>
      </c>
      <c r="Q959" s="6">
        <v>351</v>
      </c>
      <c r="R959" t="str">
        <f t="shared" si="42"/>
        <v xml:space="preserve"> The Daniels 5 Star Short Let Apartment in Lekki_x000C_</v>
      </c>
      <c r="S959" t="str">
        <f t="shared" si="43"/>
        <v xml:space="preserve"> The Daniels 5 Star Short Let Apartment in Lekki</v>
      </c>
      <c r="T959">
        <f>Table1[[#This Row],[Adults]]+Table1[[#This Row],[Children]]</f>
        <v>1</v>
      </c>
      <c r="U959">
        <f>_xlfn.DAYS(Table1[[#This Row],[Depart]],Table1[[#This Row],[Arrive]])</f>
        <v>3</v>
      </c>
    </row>
    <row r="960" spans="1:21" x14ac:dyDescent="0.25">
      <c r="A960" t="s">
        <v>1125</v>
      </c>
      <c r="B960" t="s">
        <v>1126</v>
      </c>
      <c r="C960" t="s">
        <v>1173</v>
      </c>
      <c r="D960" s="1">
        <v>44201</v>
      </c>
      <c r="E960" s="1">
        <v>44204</v>
      </c>
      <c r="F960">
        <f t="shared" si="44"/>
        <v>3</v>
      </c>
      <c r="G960" s="1">
        <v>44162</v>
      </c>
      <c r="H960" s="2">
        <v>0.33333333333333331</v>
      </c>
      <c r="I960" s="3">
        <v>1</v>
      </c>
      <c r="J960" t="s">
        <v>2125</v>
      </c>
      <c r="K960" t="s">
        <v>2125</v>
      </c>
      <c r="L960" t="s">
        <v>26</v>
      </c>
      <c r="M960" s="12" t="s">
        <v>18</v>
      </c>
      <c r="N960">
        <v>4</v>
      </c>
      <c r="O960">
        <v>0</v>
      </c>
      <c r="P960" t="s">
        <v>19</v>
      </c>
      <c r="Q960" s="6">
        <v>351</v>
      </c>
      <c r="R960" t="str">
        <f t="shared" si="42"/>
        <v xml:space="preserve"> The Daniels 5 Star Short Let Apartment in Lekki_x000C_</v>
      </c>
      <c r="S960" t="str">
        <f t="shared" si="43"/>
        <v xml:space="preserve"> The Daniels 5 Star Short Let Apartment in Lekki</v>
      </c>
      <c r="T960">
        <f>Table1[[#This Row],[Adults]]+Table1[[#This Row],[Children]]</f>
        <v>4</v>
      </c>
      <c r="U960">
        <f>_xlfn.DAYS(Table1[[#This Row],[Depart]],Table1[[#This Row],[Arrive]])</f>
        <v>3</v>
      </c>
    </row>
    <row r="961" spans="1:21" x14ac:dyDescent="0.25">
      <c r="A961" t="s">
        <v>216</v>
      </c>
      <c r="B961" t="s">
        <v>217</v>
      </c>
      <c r="C961" t="s">
        <v>1173</v>
      </c>
      <c r="D961" s="1">
        <v>44202</v>
      </c>
      <c r="E961" s="1">
        <v>44206</v>
      </c>
      <c r="F961">
        <f t="shared" si="44"/>
        <v>4</v>
      </c>
      <c r="G961" s="1">
        <v>43960</v>
      </c>
      <c r="H961" s="2">
        <v>0.33333333333333331</v>
      </c>
      <c r="I961" s="3">
        <v>1</v>
      </c>
      <c r="J961" t="s">
        <v>1331</v>
      </c>
      <c r="K961" t="s">
        <v>1331</v>
      </c>
      <c r="L961" t="s">
        <v>26</v>
      </c>
      <c r="M961" s="12" t="s">
        <v>18</v>
      </c>
      <c r="N961">
        <v>1</v>
      </c>
      <c r="O961">
        <v>0</v>
      </c>
      <c r="P961" t="s">
        <v>19</v>
      </c>
      <c r="Q961" s="6">
        <v>425</v>
      </c>
      <c r="R961" t="str">
        <f t="shared" si="42"/>
        <v xml:space="preserve"> The Daniels 5 Star Short Let Apartment in Lekki_x000C_</v>
      </c>
      <c r="S961" t="str">
        <f t="shared" si="43"/>
        <v xml:space="preserve"> The Daniels 5 Star Short Let Apartment in Lekki</v>
      </c>
      <c r="T961">
        <f>Table1[[#This Row],[Adults]]+Table1[[#This Row],[Children]]</f>
        <v>1</v>
      </c>
      <c r="U961">
        <f>_xlfn.DAYS(Table1[[#This Row],[Depart]],Table1[[#This Row],[Arrive]])</f>
        <v>4</v>
      </c>
    </row>
    <row r="962" spans="1:21" x14ac:dyDescent="0.25">
      <c r="A962" t="s">
        <v>322</v>
      </c>
      <c r="B962" t="s">
        <v>323</v>
      </c>
      <c r="C962" t="s">
        <v>1173</v>
      </c>
      <c r="D962" s="1">
        <v>44211</v>
      </c>
      <c r="E962" s="1">
        <v>44216</v>
      </c>
      <c r="F962">
        <f t="shared" si="44"/>
        <v>5</v>
      </c>
      <c r="G962" s="1">
        <v>43995</v>
      </c>
      <c r="H962" s="2">
        <v>0.33333333333333331</v>
      </c>
      <c r="I962" s="3">
        <v>1</v>
      </c>
      <c r="J962" t="s">
        <v>1417</v>
      </c>
      <c r="K962" t="s">
        <v>1417</v>
      </c>
      <c r="L962" t="s">
        <v>26</v>
      </c>
      <c r="M962" s="12" t="s">
        <v>18</v>
      </c>
      <c r="N962">
        <v>1</v>
      </c>
      <c r="O962">
        <v>0</v>
      </c>
      <c r="P962" t="s">
        <v>19</v>
      </c>
      <c r="Q962" s="6">
        <v>531</v>
      </c>
      <c r="R962" t="str">
        <f t="shared" ref="R962:R1001" si="45">SUBSTITUTE(C:C,"?","'")</f>
        <v xml:space="preserve"> The Daniels 5 Star Short Let Apartment in Lekki_x000C_</v>
      </c>
      <c r="S962" t="str">
        <f t="shared" ref="S962:S1001" si="46">CLEAN(R:R)</f>
        <v xml:space="preserve"> The Daniels 5 Star Short Let Apartment in Lekki</v>
      </c>
      <c r="T962">
        <f>Table1[[#This Row],[Adults]]+Table1[[#This Row],[Children]]</f>
        <v>1</v>
      </c>
      <c r="U962">
        <f>_xlfn.DAYS(Table1[[#This Row],[Depart]],Table1[[#This Row],[Arrive]])</f>
        <v>5</v>
      </c>
    </row>
    <row r="963" spans="1:21" x14ac:dyDescent="0.25">
      <c r="A963" t="s">
        <v>1161</v>
      </c>
      <c r="B963" t="s">
        <v>1162</v>
      </c>
      <c r="C963" t="s">
        <v>1175</v>
      </c>
      <c r="D963" s="1">
        <v>44212</v>
      </c>
      <c r="E963" s="1">
        <v>44215</v>
      </c>
      <c r="F963">
        <f t="shared" ref="F963:F1001" si="47">_xlfn.DAYS(E963,D963)</f>
        <v>3</v>
      </c>
      <c r="G963" s="1">
        <v>44168</v>
      </c>
      <c r="H963" s="2">
        <v>0.5</v>
      </c>
      <c r="I963" s="2">
        <v>0.58333333333333337</v>
      </c>
      <c r="J963" t="s">
        <v>2157</v>
      </c>
      <c r="K963" t="s">
        <v>2157</v>
      </c>
      <c r="L963" t="s">
        <v>22</v>
      </c>
      <c r="M963" s="12" t="s">
        <v>18</v>
      </c>
      <c r="N963">
        <v>4</v>
      </c>
      <c r="O963">
        <v>0</v>
      </c>
      <c r="P963" t="s">
        <v>19</v>
      </c>
      <c r="Q963" s="6">
        <v>255000</v>
      </c>
      <c r="R963" t="str">
        <f t="shared" si="45"/>
        <v>Keji's 5 Star Short let Apartment in Lekki_x000C_</v>
      </c>
      <c r="S963" t="str">
        <f t="shared" si="46"/>
        <v>Keji's 5 Star Short let Apartment in Lekki</v>
      </c>
      <c r="T963">
        <f>Table1[[#This Row],[Adults]]+Table1[[#This Row],[Children]]</f>
        <v>4</v>
      </c>
      <c r="U963">
        <f>_xlfn.DAYS(Table1[[#This Row],[Depart]],Table1[[#This Row],[Arrive]])</f>
        <v>3</v>
      </c>
    </row>
    <row r="964" spans="1:21" x14ac:dyDescent="0.25">
      <c r="A964" t="s">
        <v>739</v>
      </c>
      <c r="B964" t="s">
        <v>740</v>
      </c>
      <c r="C964" t="s">
        <v>1178</v>
      </c>
      <c r="D964" s="1">
        <v>44213</v>
      </c>
      <c r="E964" s="1">
        <v>44225</v>
      </c>
      <c r="F964">
        <f t="shared" si="47"/>
        <v>12</v>
      </c>
      <c r="G964" s="1">
        <v>44082</v>
      </c>
      <c r="H964" s="2">
        <v>0.58333333333333337</v>
      </c>
      <c r="I964" s="2">
        <v>0.45833333333333331</v>
      </c>
      <c r="J964" t="s">
        <v>1748</v>
      </c>
      <c r="K964" t="s">
        <v>1748</v>
      </c>
      <c r="L964" t="s">
        <v>26</v>
      </c>
      <c r="M964" s="12" t="s">
        <v>18</v>
      </c>
      <c r="N964">
        <v>4</v>
      </c>
      <c r="O964">
        <v>0</v>
      </c>
      <c r="P964" t="s">
        <v>19</v>
      </c>
      <c r="Q964" s="6">
        <v>1171</v>
      </c>
      <c r="R964" t="str">
        <f t="shared" si="45"/>
        <v>Ope's 5 Star Short Let Apartment in Lekki_x000C_</v>
      </c>
      <c r="S964" t="str">
        <f t="shared" si="46"/>
        <v>Ope's 5 Star Short Let Apartment in Lekki</v>
      </c>
      <c r="T964">
        <f>Table1[[#This Row],[Adults]]+Table1[[#This Row],[Children]]</f>
        <v>4</v>
      </c>
      <c r="U964">
        <f>_xlfn.DAYS(Table1[[#This Row],[Depart]],Table1[[#This Row],[Arrive]])</f>
        <v>12</v>
      </c>
    </row>
    <row r="965" spans="1:21" x14ac:dyDescent="0.25">
      <c r="A965" t="s">
        <v>1075</v>
      </c>
      <c r="B965" t="s">
        <v>1076</v>
      </c>
      <c r="C965" t="s">
        <v>1175</v>
      </c>
      <c r="D965" s="1">
        <v>44215</v>
      </c>
      <c r="E965" s="1">
        <v>44220</v>
      </c>
      <c r="F965">
        <f t="shared" si="47"/>
        <v>5</v>
      </c>
      <c r="G965" s="1">
        <v>44153</v>
      </c>
      <c r="H965" s="2">
        <v>0.5</v>
      </c>
      <c r="I965" s="2">
        <v>0.58333333333333337</v>
      </c>
      <c r="J965" t="s">
        <v>2079</v>
      </c>
      <c r="K965" t="s">
        <v>2079</v>
      </c>
      <c r="L965" t="s">
        <v>22</v>
      </c>
      <c r="M965" s="12" t="s">
        <v>18</v>
      </c>
      <c r="N965">
        <v>1</v>
      </c>
      <c r="O965">
        <v>0</v>
      </c>
      <c r="P965" t="s">
        <v>19</v>
      </c>
      <c r="Q965" s="6">
        <v>425000</v>
      </c>
      <c r="R965" t="str">
        <f t="shared" si="45"/>
        <v>Keji's 5 Star Short let Apartment in Lekki_x000C_</v>
      </c>
      <c r="S965" t="str">
        <f t="shared" si="46"/>
        <v>Keji's 5 Star Short let Apartment in Lekki</v>
      </c>
      <c r="T965">
        <f>Table1[[#This Row],[Adults]]+Table1[[#This Row],[Children]]</f>
        <v>1</v>
      </c>
      <c r="U965">
        <f>_xlfn.DAYS(Table1[[#This Row],[Depart]],Table1[[#This Row],[Arrive]])</f>
        <v>5</v>
      </c>
    </row>
    <row r="966" spans="1:21" x14ac:dyDescent="0.25">
      <c r="A966" t="s">
        <v>1075</v>
      </c>
      <c r="B966" t="s">
        <v>1076</v>
      </c>
      <c r="C966" t="s">
        <v>1175</v>
      </c>
      <c r="D966" s="1">
        <v>44215</v>
      </c>
      <c r="E966" s="1">
        <v>44220</v>
      </c>
      <c r="F966">
        <f t="shared" si="47"/>
        <v>5</v>
      </c>
      <c r="G966" s="1">
        <v>44153</v>
      </c>
      <c r="H966" s="2">
        <v>0.5</v>
      </c>
      <c r="I966" s="2">
        <v>0.58333333333333337</v>
      </c>
      <c r="J966" t="s">
        <v>2080</v>
      </c>
      <c r="K966" t="s">
        <v>2080</v>
      </c>
      <c r="L966" t="s">
        <v>22</v>
      </c>
      <c r="M966" s="12" t="s">
        <v>18</v>
      </c>
      <c r="N966">
        <v>1</v>
      </c>
      <c r="O966">
        <v>0</v>
      </c>
      <c r="P966" t="s">
        <v>19</v>
      </c>
      <c r="Q966" s="6">
        <v>425000</v>
      </c>
      <c r="R966" t="str">
        <f t="shared" si="45"/>
        <v>Keji's 5 Star Short let Apartment in Lekki_x000C_</v>
      </c>
      <c r="S966" t="str">
        <f t="shared" si="46"/>
        <v>Keji's 5 Star Short let Apartment in Lekki</v>
      </c>
      <c r="T966">
        <f>Table1[[#This Row],[Adults]]+Table1[[#This Row],[Children]]</f>
        <v>1</v>
      </c>
      <c r="U966">
        <f>_xlfn.DAYS(Table1[[#This Row],[Depart]],Table1[[#This Row],[Arrive]])</f>
        <v>5</v>
      </c>
    </row>
    <row r="967" spans="1:21" x14ac:dyDescent="0.25">
      <c r="A967" t="s">
        <v>142</v>
      </c>
      <c r="B967" t="s">
        <v>143</v>
      </c>
      <c r="C967" t="s">
        <v>1178</v>
      </c>
      <c r="D967" s="1">
        <v>44218</v>
      </c>
      <c r="E967" s="1">
        <v>44225</v>
      </c>
      <c r="F967">
        <f t="shared" si="47"/>
        <v>7</v>
      </c>
      <c r="G967" s="1">
        <v>44105</v>
      </c>
      <c r="H967" s="2">
        <v>0.58333333333333337</v>
      </c>
      <c r="I967" s="2">
        <v>0.45833333333333331</v>
      </c>
      <c r="J967" t="s">
        <v>1820</v>
      </c>
      <c r="K967" t="s">
        <v>1820</v>
      </c>
      <c r="L967" t="s">
        <v>22</v>
      </c>
      <c r="M967" s="12" t="s">
        <v>18</v>
      </c>
      <c r="N967">
        <v>6</v>
      </c>
      <c r="O967">
        <v>0</v>
      </c>
      <c r="P967" t="s">
        <v>19</v>
      </c>
      <c r="Q967" s="6">
        <v>903</v>
      </c>
      <c r="R967" t="str">
        <f t="shared" si="45"/>
        <v>Ope's 5 Star Short Let Apartment in Lekki_x000C_</v>
      </c>
      <c r="S967" t="str">
        <f t="shared" si="46"/>
        <v>Ope's 5 Star Short Let Apartment in Lekki</v>
      </c>
      <c r="T967">
        <f>Table1[[#This Row],[Adults]]+Table1[[#This Row],[Children]]</f>
        <v>6</v>
      </c>
      <c r="U967">
        <f>_xlfn.DAYS(Table1[[#This Row],[Depart]],Table1[[#This Row],[Arrive]])</f>
        <v>7</v>
      </c>
    </row>
    <row r="968" spans="1:21" x14ac:dyDescent="0.25">
      <c r="A968" t="s">
        <v>999</v>
      </c>
      <c r="B968" t="s">
        <v>1000</v>
      </c>
      <c r="C968" t="s">
        <v>1175</v>
      </c>
      <c r="D968" s="1">
        <v>44224</v>
      </c>
      <c r="E968" s="1">
        <v>44225</v>
      </c>
      <c r="F968">
        <f t="shared" si="47"/>
        <v>1</v>
      </c>
      <c r="G968" s="1">
        <v>44139</v>
      </c>
      <c r="H968" s="2">
        <v>0.5</v>
      </c>
      <c r="I968" s="2">
        <v>0.58333333333333337</v>
      </c>
      <c r="J968" t="s">
        <v>1987</v>
      </c>
      <c r="K968" t="s">
        <v>1987</v>
      </c>
      <c r="L968" t="s">
        <v>22</v>
      </c>
      <c r="M968" s="12" t="s">
        <v>18</v>
      </c>
      <c r="N968">
        <v>1</v>
      </c>
      <c r="O968">
        <v>0</v>
      </c>
      <c r="P968" t="s">
        <v>19</v>
      </c>
      <c r="Q968" s="6">
        <v>130000</v>
      </c>
      <c r="R968" t="str">
        <f t="shared" si="45"/>
        <v>Keji's 5 Star Short let Apartment in Lekki_x000C_</v>
      </c>
      <c r="S968" t="str">
        <f t="shared" si="46"/>
        <v>Keji's 5 Star Short let Apartment in Lekki</v>
      </c>
      <c r="T968">
        <f>Table1[[#This Row],[Adults]]+Table1[[#This Row],[Children]]</f>
        <v>1</v>
      </c>
      <c r="U968">
        <f>_xlfn.DAYS(Table1[[#This Row],[Depart]],Table1[[#This Row],[Arrive]])</f>
        <v>1</v>
      </c>
    </row>
    <row r="969" spans="1:21" x14ac:dyDescent="0.25">
      <c r="A969" t="s">
        <v>1059</v>
      </c>
      <c r="B969" t="s">
        <v>1060</v>
      </c>
      <c r="C969" t="s">
        <v>1178</v>
      </c>
      <c r="D969" s="1">
        <v>44224</v>
      </c>
      <c r="E969" s="1">
        <v>44227</v>
      </c>
      <c r="F969">
        <f t="shared" si="47"/>
        <v>3</v>
      </c>
      <c r="G969" s="1">
        <v>44149</v>
      </c>
      <c r="H969" s="2">
        <v>0.58333333333333337</v>
      </c>
      <c r="I969" s="2">
        <v>0.45833333333333331</v>
      </c>
      <c r="J969" t="s">
        <v>2060</v>
      </c>
      <c r="K969" t="s">
        <v>2060</v>
      </c>
      <c r="L969" t="s">
        <v>26</v>
      </c>
      <c r="M969" s="12" t="s">
        <v>18</v>
      </c>
      <c r="N969">
        <v>1</v>
      </c>
      <c r="O969">
        <v>0</v>
      </c>
      <c r="P969" t="s">
        <v>19</v>
      </c>
      <c r="Q969" s="6">
        <v>359</v>
      </c>
      <c r="R969" t="str">
        <f t="shared" si="45"/>
        <v>Ope's 5 Star Short Let Apartment in Lekki_x000C_</v>
      </c>
      <c r="S969" t="str">
        <f t="shared" si="46"/>
        <v>Ope's 5 Star Short Let Apartment in Lekki</v>
      </c>
      <c r="T969">
        <f>Table1[[#This Row],[Adults]]+Table1[[#This Row],[Children]]</f>
        <v>1</v>
      </c>
      <c r="U969">
        <f>_xlfn.DAYS(Table1[[#This Row],[Depart]],Table1[[#This Row],[Arrive]])</f>
        <v>3</v>
      </c>
    </row>
    <row r="970" spans="1:21" x14ac:dyDescent="0.25">
      <c r="A970" t="s">
        <v>212</v>
      </c>
      <c r="B970" t="s">
        <v>213</v>
      </c>
      <c r="C970" t="s">
        <v>1175</v>
      </c>
      <c r="D970" s="1">
        <v>44228</v>
      </c>
      <c r="E970" s="1">
        <v>44241</v>
      </c>
      <c r="F970">
        <f t="shared" si="47"/>
        <v>13</v>
      </c>
      <c r="G970" s="1">
        <v>44136</v>
      </c>
      <c r="H970" s="2">
        <v>0.5</v>
      </c>
      <c r="I970" s="2">
        <v>0.58333333333333337</v>
      </c>
      <c r="J970" t="s">
        <v>1967</v>
      </c>
      <c r="K970" t="s">
        <v>1967</v>
      </c>
      <c r="L970" t="s">
        <v>26</v>
      </c>
      <c r="M970" s="12" t="s">
        <v>18</v>
      </c>
      <c r="N970">
        <v>1</v>
      </c>
      <c r="O970">
        <v>0</v>
      </c>
      <c r="P970" t="s">
        <v>19</v>
      </c>
      <c r="Q970" s="6">
        <v>1492</v>
      </c>
      <c r="R970" t="str">
        <f t="shared" si="45"/>
        <v>Keji's 5 Star Short let Apartment in Lekki_x000C_</v>
      </c>
      <c r="S970" t="str">
        <f t="shared" si="46"/>
        <v>Keji's 5 Star Short let Apartment in Lekki</v>
      </c>
      <c r="T970">
        <f>Table1[[#This Row],[Adults]]+Table1[[#This Row],[Children]]</f>
        <v>1</v>
      </c>
      <c r="U970">
        <f>_xlfn.DAYS(Table1[[#This Row],[Depart]],Table1[[#This Row],[Arrive]])</f>
        <v>13</v>
      </c>
    </row>
    <row r="971" spans="1:21" x14ac:dyDescent="0.25">
      <c r="A971" t="s">
        <v>1033</v>
      </c>
      <c r="B971" t="s">
        <v>1034</v>
      </c>
      <c r="C971" t="s">
        <v>1175</v>
      </c>
      <c r="D971" s="1">
        <v>44228</v>
      </c>
      <c r="E971" s="1">
        <v>44229</v>
      </c>
      <c r="F971">
        <f t="shared" si="47"/>
        <v>1</v>
      </c>
      <c r="G971" s="1">
        <v>44144</v>
      </c>
      <c r="H971" s="2">
        <v>0.5</v>
      </c>
      <c r="I971" s="2">
        <v>0.58333333333333337</v>
      </c>
      <c r="J971" t="s">
        <v>2036</v>
      </c>
      <c r="K971" t="s">
        <v>2036</v>
      </c>
      <c r="L971" t="s">
        <v>22</v>
      </c>
      <c r="M971" s="12" t="s">
        <v>18</v>
      </c>
      <c r="N971">
        <v>1</v>
      </c>
      <c r="O971">
        <v>0</v>
      </c>
      <c r="P971" t="s">
        <v>19</v>
      </c>
      <c r="Q971" s="6">
        <v>75000</v>
      </c>
      <c r="R971" t="str">
        <f t="shared" si="45"/>
        <v>Keji's 5 Star Short let Apartment in Lekki_x000C_</v>
      </c>
      <c r="S971" t="str">
        <f t="shared" si="46"/>
        <v>Keji's 5 Star Short let Apartment in Lekki</v>
      </c>
      <c r="T971">
        <f>Table1[[#This Row],[Adults]]+Table1[[#This Row],[Children]]</f>
        <v>1</v>
      </c>
      <c r="U971">
        <f>_xlfn.DAYS(Table1[[#This Row],[Depart]],Table1[[#This Row],[Arrive]])</f>
        <v>1</v>
      </c>
    </row>
    <row r="972" spans="1:21" x14ac:dyDescent="0.25">
      <c r="A972" t="s">
        <v>1069</v>
      </c>
      <c r="B972" t="s">
        <v>1070</v>
      </c>
      <c r="C972" t="s">
        <v>1175</v>
      </c>
      <c r="D972" s="1">
        <v>44238</v>
      </c>
      <c r="E972" s="1">
        <v>44239</v>
      </c>
      <c r="F972">
        <f t="shared" si="47"/>
        <v>1</v>
      </c>
      <c r="G972" s="1">
        <v>44152</v>
      </c>
      <c r="H972" s="2">
        <v>0.5</v>
      </c>
      <c r="I972" s="2">
        <v>0.58333333333333337</v>
      </c>
      <c r="J972" t="s">
        <v>2072</v>
      </c>
      <c r="K972" t="s">
        <v>2072</v>
      </c>
      <c r="L972" t="s">
        <v>22</v>
      </c>
      <c r="M972" s="12" t="s">
        <v>18</v>
      </c>
      <c r="N972">
        <v>1</v>
      </c>
      <c r="O972">
        <v>0</v>
      </c>
      <c r="P972" t="s">
        <v>19</v>
      </c>
      <c r="Q972" s="6">
        <v>85000</v>
      </c>
      <c r="R972" t="str">
        <f t="shared" si="45"/>
        <v>Keji's 5 Star Short let Apartment in Lekki_x000C_</v>
      </c>
      <c r="S972" t="str">
        <f t="shared" si="46"/>
        <v>Keji's 5 Star Short let Apartment in Lekki</v>
      </c>
      <c r="T972">
        <f>Table1[[#This Row],[Adults]]+Table1[[#This Row],[Children]]</f>
        <v>1</v>
      </c>
      <c r="U972">
        <f>_xlfn.DAYS(Table1[[#This Row],[Depart]],Table1[[#This Row],[Arrive]])</f>
        <v>1</v>
      </c>
    </row>
    <row r="973" spans="1:21" x14ac:dyDescent="0.25">
      <c r="A973" t="s">
        <v>1069</v>
      </c>
      <c r="B973" t="s">
        <v>1070</v>
      </c>
      <c r="C973" t="s">
        <v>1175</v>
      </c>
      <c r="D973" s="1">
        <v>44238</v>
      </c>
      <c r="E973" s="1">
        <v>44239</v>
      </c>
      <c r="F973">
        <f t="shared" si="47"/>
        <v>1</v>
      </c>
      <c r="G973" s="1">
        <v>44152</v>
      </c>
      <c r="H973" s="2">
        <v>0.5</v>
      </c>
      <c r="I973" s="2">
        <v>0.58333333333333337</v>
      </c>
      <c r="J973" t="s">
        <v>2073</v>
      </c>
      <c r="K973" t="s">
        <v>2073</v>
      </c>
      <c r="L973" t="s">
        <v>22</v>
      </c>
      <c r="M973" s="12" t="s">
        <v>18</v>
      </c>
      <c r="N973">
        <v>1</v>
      </c>
      <c r="O973">
        <v>0</v>
      </c>
      <c r="P973" t="s">
        <v>19</v>
      </c>
      <c r="Q973" s="6">
        <v>85000</v>
      </c>
      <c r="R973" t="str">
        <f t="shared" si="45"/>
        <v>Keji's 5 Star Short let Apartment in Lekki_x000C_</v>
      </c>
      <c r="S973" t="str">
        <f t="shared" si="46"/>
        <v>Keji's 5 Star Short let Apartment in Lekki</v>
      </c>
      <c r="T973">
        <f>Table1[[#This Row],[Adults]]+Table1[[#This Row],[Children]]</f>
        <v>1</v>
      </c>
      <c r="U973">
        <f>_xlfn.DAYS(Table1[[#This Row],[Depart]],Table1[[#This Row],[Arrive]])</f>
        <v>1</v>
      </c>
    </row>
    <row r="974" spans="1:21" x14ac:dyDescent="0.25">
      <c r="A974" t="s">
        <v>647</v>
      </c>
      <c r="B974" t="s">
        <v>648</v>
      </c>
      <c r="C974" t="s">
        <v>1173</v>
      </c>
      <c r="D974" s="1">
        <v>44239</v>
      </c>
      <c r="E974" s="1">
        <v>44255</v>
      </c>
      <c r="F974">
        <f t="shared" si="47"/>
        <v>16</v>
      </c>
      <c r="G974" s="1">
        <v>44065</v>
      </c>
      <c r="H974" s="2">
        <v>0.33333333333333331</v>
      </c>
      <c r="I974" s="3">
        <v>1</v>
      </c>
      <c r="J974" t="s">
        <v>1661</v>
      </c>
      <c r="K974" t="s">
        <v>1661</v>
      </c>
      <c r="L974" t="s">
        <v>26</v>
      </c>
      <c r="M974" s="12" t="s">
        <v>18</v>
      </c>
      <c r="N974">
        <v>6</v>
      </c>
      <c r="O974">
        <v>0</v>
      </c>
      <c r="P974" t="s">
        <v>19</v>
      </c>
      <c r="Q974" s="6">
        <v>1578</v>
      </c>
      <c r="R974" t="str">
        <f t="shared" si="45"/>
        <v xml:space="preserve"> The Daniels 5 Star Short Let Apartment in Lekki_x000C_</v>
      </c>
      <c r="S974" t="str">
        <f t="shared" si="46"/>
        <v xml:space="preserve"> The Daniels 5 Star Short Let Apartment in Lekki</v>
      </c>
      <c r="T974">
        <f>Table1[[#This Row],[Adults]]+Table1[[#This Row],[Children]]</f>
        <v>6</v>
      </c>
      <c r="U974">
        <f>_xlfn.DAYS(Table1[[#This Row],[Depart]],Table1[[#This Row],[Arrive]])</f>
        <v>16</v>
      </c>
    </row>
    <row r="975" spans="1:21" x14ac:dyDescent="0.25">
      <c r="A975" t="s">
        <v>923</v>
      </c>
      <c r="B975" t="s">
        <v>924</v>
      </c>
      <c r="C975" t="s">
        <v>1175</v>
      </c>
      <c r="D975" s="1">
        <v>44242</v>
      </c>
      <c r="E975" s="1">
        <v>44252</v>
      </c>
      <c r="F975">
        <f t="shared" si="47"/>
        <v>10</v>
      </c>
      <c r="G975" s="1">
        <v>44140</v>
      </c>
      <c r="H975" s="2">
        <v>0.5</v>
      </c>
      <c r="I975" s="2">
        <v>0.58333333333333337</v>
      </c>
      <c r="J975" t="s">
        <v>2015</v>
      </c>
      <c r="K975" t="s">
        <v>2015</v>
      </c>
      <c r="L975" t="s">
        <v>22</v>
      </c>
      <c r="M975" s="12" t="s">
        <v>18</v>
      </c>
      <c r="N975">
        <v>3</v>
      </c>
      <c r="O975">
        <v>0</v>
      </c>
      <c r="P975" t="s">
        <v>19</v>
      </c>
      <c r="Q975" s="6">
        <v>750000</v>
      </c>
      <c r="R975" t="str">
        <f t="shared" si="45"/>
        <v>Keji's 5 Star Short let Apartment in Lekki_x000C_</v>
      </c>
      <c r="S975" t="str">
        <f t="shared" si="46"/>
        <v>Keji's 5 Star Short let Apartment in Lekki</v>
      </c>
      <c r="T975">
        <f>Table1[[#This Row],[Adults]]+Table1[[#This Row],[Children]]</f>
        <v>3</v>
      </c>
      <c r="U975">
        <f>_xlfn.DAYS(Table1[[#This Row],[Depart]],Table1[[#This Row],[Arrive]])</f>
        <v>10</v>
      </c>
    </row>
    <row r="976" spans="1:21" x14ac:dyDescent="0.25">
      <c r="A976" t="s">
        <v>1169</v>
      </c>
      <c r="B976" t="s">
        <v>1170</v>
      </c>
      <c r="C976" t="s">
        <v>1175</v>
      </c>
      <c r="D976" s="1">
        <v>44245</v>
      </c>
      <c r="E976" s="1">
        <v>44255</v>
      </c>
      <c r="F976">
        <f t="shared" si="47"/>
        <v>10</v>
      </c>
      <c r="G976" s="1">
        <v>44170</v>
      </c>
      <c r="H976" s="2">
        <v>0.5</v>
      </c>
      <c r="I976" s="2">
        <v>0.58333333333333337</v>
      </c>
      <c r="J976" t="s">
        <v>2164</v>
      </c>
      <c r="K976" t="s">
        <v>2164</v>
      </c>
      <c r="L976" t="s">
        <v>26</v>
      </c>
      <c r="M976" s="12" t="s">
        <v>18</v>
      </c>
      <c r="N976">
        <v>4</v>
      </c>
      <c r="O976">
        <v>0</v>
      </c>
      <c r="P976" t="s">
        <v>19</v>
      </c>
      <c r="Q976" s="6">
        <v>1073.32</v>
      </c>
      <c r="R976" t="str">
        <f t="shared" si="45"/>
        <v>Keji's 5 Star Short let Apartment in Lekki_x000C_</v>
      </c>
      <c r="S976" t="str">
        <f t="shared" si="46"/>
        <v>Keji's 5 Star Short let Apartment in Lekki</v>
      </c>
      <c r="T976">
        <f>Table1[[#This Row],[Adults]]+Table1[[#This Row],[Children]]</f>
        <v>4</v>
      </c>
      <c r="U976">
        <f>_xlfn.DAYS(Table1[[#This Row],[Depart]],Table1[[#This Row],[Arrive]])</f>
        <v>10</v>
      </c>
    </row>
    <row r="977" spans="1:21" x14ac:dyDescent="0.25">
      <c r="A977" t="s">
        <v>799</v>
      </c>
      <c r="B977" t="s">
        <v>800</v>
      </c>
      <c r="C977" t="s">
        <v>1175</v>
      </c>
      <c r="D977" s="1">
        <v>44256</v>
      </c>
      <c r="E977" s="1">
        <v>44257</v>
      </c>
      <c r="F977">
        <f t="shared" si="47"/>
        <v>1</v>
      </c>
      <c r="G977" s="1">
        <v>44095</v>
      </c>
      <c r="H977" s="2">
        <v>0.5</v>
      </c>
      <c r="I977" s="2">
        <v>0.58333333333333337</v>
      </c>
      <c r="J977" t="s">
        <v>1794</v>
      </c>
      <c r="K977" t="s">
        <v>1794</v>
      </c>
      <c r="L977" t="s">
        <v>22</v>
      </c>
      <c r="M977" s="12" t="s">
        <v>18</v>
      </c>
      <c r="N977">
        <v>1</v>
      </c>
      <c r="O977">
        <v>0</v>
      </c>
      <c r="P977" t="s">
        <v>19</v>
      </c>
      <c r="Q977" s="6">
        <v>132.22999999999999</v>
      </c>
      <c r="R977" t="str">
        <f t="shared" si="45"/>
        <v>Keji's 5 Star Short let Apartment in Lekki_x000C_</v>
      </c>
      <c r="S977" t="str">
        <f t="shared" si="46"/>
        <v>Keji's 5 Star Short let Apartment in Lekki</v>
      </c>
      <c r="T977">
        <f>Table1[[#This Row],[Adults]]+Table1[[#This Row],[Children]]</f>
        <v>1</v>
      </c>
      <c r="U977">
        <f>_xlfn.DAYS(Table1[[#This Row],[Depart]],Table1[[#This Row],[Arrive]])</f>
        <v>1</v>
      </c>
    </row>
    <row r="978" spans="1:21" x14ac:dyDescent="0.25">
      <c r="A978" t="s">
        <v>833</v>
      </c>
      <c r="B978" t="s">
        <v>834</v>
      </c>
      <c r="C978" t="s">
        <v>1179</v>
      </c>
      <c r="D978" s="1">
        <v>44256</v>
      </c>
      <c r="E978" s="1">
        <v>44260</v>
      </c>
      <c r="F978">
        <f t="shared" si="47"/>
        <v>4</v>
      </c>
      <c r="G978" s="1">
        <v>44105</v>
      </c>
      <c r="H978" s="2">
        <v>0.33333333333333331</v>
      </c>
      <c r="I978" s="3">
        <v>1</v>
      </c>
      <c r="J978" t="s">
        <v>2183</v>
      </c>
      <c r="K978" t="s">
        <v>1549</v>
      </c>
      <c r="L978" t="s">
        <v>520</v>
      </c>
      <c r="M978" s="12" t="s">
        <v>18</v>
      </c>
      <c r="N978">
        <v>2</v>
      </c>
      <c r="O978">
        <v>0</v>
      </c>
      <c r="P978" t="s">
        <v>19</v>
      </c>
      <c r="Q978" s="6">
        <v>174200</v>
      </c>
      <c r="R978" t="str">
        <f t="shared" si="45"/>
        <v>Phiola's 5 Star Short Let Apartment in Lekki_x000C_</v>
      </c>
      <c r="S978" t="str">
        <f t="shared" si="46"/>
        <v>Phiola's 5 Star Short Let Apartment in Lekki</v>
      </c>
      <c r="T978">
        <f>Table1[[#This Row],[Adults]]+Table1[[#This Row],[Children]]</f>
        <v>2</v>
      </c>
      <c r="U978">
        <f>_xlfn.DAYS(Table1[[#This Row],[Depart]],Table1[[#This Row],[Arrive]])</f>
        <v>4</v>
      </c>
    </row>
    <row r="979" spans="1:21" x14ac:dyDescent="0.25">
      <c r="A979" t="s">
        <v>799</v>
      </c>
      <c r="B979" t="s">
        <v>800</v>
      </c>
      <c r="C979" t="s">
        <v>1175</v>
      </c>
      <c r="D979" s="1">
        <v>44258</v>
      </c>
      <c r="E979" s="1">
        <v>44259</v>
      </c>
      <c r="F979">
        <f t="shared" si="47"/>
        <v>1</v>
      </c>
      <c r="G979" s="1">
        <v>44095</v>
      </c>
      <c r="H979" s="2">
        <v>0.5</v>
      </c>
      <c r="I979" s="2">
        <v>0.58333333333333337</v>
      </c>
      <c r="J979" t="s">
        <v>1795</v>
      </c>
      <c r="K979" t="s">
        <v>1795</v>
      </c>
      <c r="L979" t="s">
        <v>22</v>
      </c>
      <c r="M979" s="12" t="s">
        <v>18</v>
      </c>
      <c r="N979">
        <v>1</v>
      </c>
      <c r="O979">
        <v>0</v>
      </c>
      <c r="P979" t="s">
        <v>19</v>
      </c>
      <c r="Q979" s="6">
        <v>132.22999999999999</v>
      </c>
      <c r="R979" t="str">
        <f t="shared" si="45"/>
        <v>Keji's 5 Star Short let Apartment in Lekki_x000C_</v>
      </c>
      <c r="S979" t="str">
        <f t="shared" si="46"/>
        <v>Keji's 5 Star Short let Apartment in Lekki</v>
      </c>
      <c r="T979">
        <f>Table1[[#This Row],[Adults]]+Table1[[#This Row],[Children]]</f>
        <v>1</v>
      </c>
      <c r="U979">
        <f>_xlfn.DAYS(Table1[[#This Row],[Depart]],Table1[[#This Row],[Arrive]])</f>
        <v>1</v>
      </c>
    </row>
    <row r="980" spans="1:21" x14ac:dyDescent="0.25">
      <c r="A980" t="s">
        <v>603</v>
      </c>
      <c r="B980" t="s">
        <v>604</v>
      </c>
      <c r="C980" t="s">
        <v>1175</v>
      </c>
      <c r="D980" s="1">
        <v>44278</v>
      </c>
      <c r="E980" s="1">
        <v>44287</v>
      </c>
      <c r="F980">
        <f t="shared" si="47"/>
        <v>9</v>
      </c>
      <c r="G980" s="1">
        <v>44033</v>
      </c>
      <c r="H980" s="2">
        <v>0.33333333333333331</v>
      </c>
      <c r="I980" s="3">
        <v>1</v>
      </c>
      <c r="J980" t="s">
        <v>2180</v>
      </c>
      <c r="K980" t="s">
        <v>1215</v>
      </c>
      <c r="L980" t="s">
        <v>17</v>
      </c>
      <c r="M980" s="12" t="s">
        <v>18</v>
      </c>
      <c r="N980">
        <v>3</v>
      </c>
      <c r="O980">
        <v>0</v>
      </c>
      <c r="P980" t="s">
        <v>19</v>
      </c>
      <c r="Q980" s="6">
        <v>846.45</v>
      </c>
      <c r="R980" t="str">
        <f t="shared" si="45"/>
        <v>Keji's 5 Star Short let Apartment in Lekki_x000C_</v>
      </c>
      <c r="S980" t="str">
        <f t="shared" si="46"/>
        <v>Keji's 5 Star Short let Apartment in Lekki</v>
      </c>
      <c r="T980">
        <f>Table1[[#This Row],[Adults]]+Table1[[#This Row],[Children]]</f>
        <v>3</v>
      </c>
      <c r="U980">
        <f>_xlfn.DAYS(Table1[[#This Row],[Depart]],Table1[[#This Row],[Arrive]])</f>
        <v>9</v>
      </c>
    </row>
    <row r="981" spans="1:21" x14ac:dyDescent="0.25">
      <c r="A981" t="s">
        <v>1129</v>
      </c>
      <c r="B981" t="s">
        <v>1130</v>
      </c>
      <c r="C981" t="s">
        <v>1173</v>
      </c>
      <c r="D981" s="1">
        <v>44284</v>
      </c>
      <c r="E981" s="1">
        <v>44291</v>
      </c>
      <c r="F981">
        <f t="shared" si="47"/>
        <v>7</v>
      </c>
      <c r="G981" s="1">
        <v>44063</v>
      </c>
      <c r="H981" s="2">
        <v>0.33333333333333331</v>
      </c>
      <c r="I981" s="3">
        <v>1</v>
      </c>
      <c r="J981" t="s">
        <v>2128</v>
      </c>
      <c r="K981" t="s">
        <v>2128</v>
      </c>
      <c r="L981" t="s">
        <v>26</v>
      </c>
      <c r="M981" s="12" t="s">
        <v>18</v>
      </c>
      <c r="N981">
        <v>1</v>
      </c>
      <c r="O981">
        <v>0</v>
      </c>
      <c r="P981" t="s">
        <v>19</v>
      </c>
      <c r="Q981" s="6">
        <v>690</v>
      </c>
      <c r="R981" t="str">
        <f t="shared" si="45"/>
        <v xml:space="preserve"> The Daniels 5 Star Short Let Apartment in Lekki_x000C_</v>
      </c>
      <c r="S981" t="str">
        <f t="shared" si="46"/>
        <v xml:space="preserve"> The Daniels 5 Star Short Let Apartment in Lekki</v>
      </c>
      <c r="T981">
        <f>Table1[[#This Row],[Adults]]+Table1[[#This Row],[Children]]</f>
        <v>1</v>
      </c>
      <c r="U981">
        <f>_xlfn.DAYS(Table1[[#This Row],[Depart]],Table1[[#This Row],[Arrive]])</f>
        <v>7</v>
      </c>
    </row>
    <row r="982" spans="1:21" x14ac:dyDescent="0.25">
      <c r="A982" t="s">
        <v>935</v>
      </c>
      <c r="B982" t="s">
        <v>936</v>
      </c>
      <c r="C982" t="s">
        <v>1175</v>
      </c>
      <c r="D982" s="1">
        <v>44285</v>
      </c>
      <c r="E982" s="1">
        <v>44286</v>
      </c>
      <c r="F982">
        <f t="shared" si="47"/>
        <v>1</v>
      </c>
      <c r="G982" s="1">
        <v>44140</v>
      </c>
      <c r="H982" s="2">
        <v>0.5</v>
      </c>
      <c r="I982" s="2">
        <v>0.58333333333333337</v>
      </c>
      <c r="J982" t="s">
        <v>2005</v>
      </c>
      <c r="K982" t="s">
        <v>2005</v>
      </c>
      <c r="L982" t="s">
        <v>22</v>
      </c>
      <c r="M982" s="12" t="s">
        <v>18</v>
      </c>
      <c r="N982">
        <v>1</v>
      </c>
      <c r="O982">
        <v>0</v>
      </c>
      <c r="P982" t="s">
        <v>19</v>
      </c>
      <c r="Q982" s="6">
        <v>130000</v>
      </c>
      <c r="R982" t="str">
        <f t="shared" si="45"/>
        <v>Keji's 5 Star Short let Apartment in Lekki_x000C_</v>
      </c>
      <c r="S982" t="str">
        <f t="shared" si="46"/>
        <v>Keji's 5 Star Short let Apartment in Lekki</v>
      </c>
      <c r="T982">
        <f>Table1[[#This Row],[Adults]]+Table1[[#This Row],[Children]]</f>
        <v>1</v>
      </c>
      <c r="U982">
        <f>_xlfn.DAYS(Table1[[#This Row],[Depart]],Table1[[#This Row],[Arrive]])</f>
        <v>1</v>
      </c>
    </row>
    <row r="983" spans="1:21" x14ac:dyDescent="0.25">
      <c r="A983" t="s">
        <v>1049</v>
      </c>
      <c r="B983" t="s">
        <v>1050</v>
      </c>
      <c r="C983" t="s">
        <v>1175</v>
      </c>
      <c r="D983" s="1">
        <v>44287</v>
      </c>
      <c r="E983" s="1">
        <v>44289</v>
      </c>
      <c r="F983">
        <f t="shared" si="47"/>
        <v>2</v>
      </c>
      <c r="G983" s="1">
        <v>44147</v>
      </c>
      <c r="H983" s="2">
        <v>0.5</v>
      </c>
      <c r="I983" s="2">
        <v>0.58333333333333337</v>
      </c>
      <c r="J983" t="s">
        <v>2050</v>
      </c>
      <c r="K983" t="s">
        <v>2050</v>
      </c>
      <c r="L983" t="s">
        <v>22</v>
      </c>
      <c r="M983" s="12" t="s">
        <v>18</v>
      </c>
      <c r="N983">
        <v>5</v>
      </c>
      <c r="O983">
        <v>0</v>
      </c>
      <c r="P983" t="s">
        <v>19</v>
      </c>
      <c r="Q983" s="6">
        <v>150000</v>
      </c>
      <c r="R983" t="str">
        <f t="shared" si="45"/>
        <v>Keji's 5 Star Short let Apartment in Lekki_x000C_</v>
      </c>
      <c r="S983" t="str">
        <f t="shared" si="46"/>
        <v>Keji's 5 Star Short let Apartment in Lekki</v>
      </c>
      <c r="T983">
        <f>Table1[[#This Row],[Adults]]+Table1[[#This Row],[Children]]</f>
        <v>5</v>
      </c>
      <c r="U983">
        <f>_xlfn.DAYS(Table1[[#This Row],[Depart]],Table1[[#This Row],[Arrive]])</f>
        <v>2</v>
      </c>
    </row>
    <row r="984" spans="1:21" x14ac:dyDescent="0.25">
      <c r="A984" t="s">
        <v>1001</v>
      </c>
      <c r="B984" t="s">
        <v>1002</v>
      </c>
      <c r="C984" t="s">
        <v>1174</v>
      </c>
      <c r="D984" s="1">
        <v>44288</v>
      </c>
      <c r="E984" s="1">
        <v>44291</v>
      </c>
      <c r="F984">
        <f t="shared" si="47"/>
        <v>3</v>
      </c>
      <c r="G984" s="1">
        <v>44139</v>
      </c>
      <c r="H984" s="2">
        <v>0.45833333333333331</v>
      </c>
      <c r="I984" s="2">
        <v>0.41666666666666669</v>
      </c>
      <c r="J984" t="s">
        <v>1988</v>
      </c>
      <c r="K984" t="s">
        <v>1988</v>
      </c>
      <c r="L984" t="s">
        <v>22</v>
      </c>
      <c r="M984" s="12" t="s">
        <v>23</v>
      </c>
      <c r="N984">
        <v>4</v>
      </c>
      <c r="O984">
        <v>0</v>
      </c>
      <c r="P984" t="s">
        <v>19</v>
      </c>
      <c r="Q984" s="6">
        <v>360</v>
      </c>
      <c r="R984" t="str">
        <f t="shared" si="45"/>
        <v>Sophia Luxury Home_x000C_</v>
      </c>
      <c r="S984" t="str">
        <f t="shared" si="46"/>
        <v>Sophia Luxury Home</v>
      </c>
      <c r="T984">
        <f>Table1[[#This Row],[Adults]]+Table1[[#This Row],[Children]]</f>
        <v>4</v>
      </c>
      <c r="U984">
        <f>_xlfn.DAYS(Table1[[#This Row],[Depart]],Table1[[#This Row],[Arrive]])</f>
        <v>3</v>
      </c>
    </row>
    <row r="985" spans="1:21" x14ac:dyDescent="0.25">
      <c r="A985" t="s">
        <v>1001</v>
      </c>
      <c r="B985" t="s">
        <v>1002</v>
      </c>
      <c r="C985" t="s">
        <v>1180</v>
      </c>
      <c r="D985" s="1">
        <v>44288</v>
      </c>
      <c r="E985" s="1">
        <v>44291</v>
      </c>
      <c r="F985">
        <f t="shared" si="47"/>
        <v>3</v>
      </c>
      <c r="G985" s="1">
        <v>44139</v>
      </c>
      <c r="H985" s="2">
        <v>0.58333333333333337</v>
      </c>
      <c r="I985" s="2">
        <v>0.45833333333333331</v>
      </c>
      <c r="J985" t="s">
        <v>1989</v>
      </c>
      <c r="K985" t="s">
        <v>1989</v>
      </c>
      <c r="L985" t="s">
        <v>22</v>
      </c>
      <c r="M985" s="12" t="s">
        <v>23</v>
      </c>
      <c r="N985">
        <v>4</v>
      </c>
      <c r="O985">
        <v>0</v>
      </c>
      <c r="P985" t="s">
        <v>19</v>
      </c>
      <c r="Q985" s="6">
        <v>387</v>
      </c>
      <c r="R985" t="str">
        <f t="shared" si="45"/>
        <v>Zoe's 5 Star Short let Apartment in Lekki_x000C_</v>
      </c>
      <c r="S985" t="str">
        <f t="shared" si="46"/>
        <v>Zoe's 5 Star Short let Apartment in Lekki</v>
      </c>
      <c r="T985">
        <f>Table1[[#This Row],[Adults]]+Table1[[#This Row],[Children]]</f>
        <v>4</v>
      </c>
      <c r="U985">
        <f>_xlfn.DAYS(Table1[[#This Row],[Depart]],Table1[[#This Row],[Arrive]])</f>
        <v>3</v>
      </c>
    </row>
    <row r="986" spans="1:21" x14ac:dyDescent="0.25">
      <c r="A986" t="s">
        <v>1163</v>
      </c>
      <c r="B986" t="s">
        <v>1164</v>
      </c>
      <c r="C986" t="s">
        <v>1175</v>
      </c>
      <c r="D986" s="1">
        <v>44288</v>
      </c>
      <c r="E986" s="1">
        <v>44292</v>
      </c>
      <c r="F986">
        <f t="shared" si="47"/>
        <v>4</v>
      </c>
      <c r="G986" s="1">
        <v>44169</v>
      </c>
      <c r="H986" s="2">
        <v>0.5</v>
      </c>
      <c r="I986" s="2">
        <v>0.58333333333333337</v>
      </c>
      <c r="J986" t="s">
        <v>2159</v>
      </c>
      <c r="K986" t="s">
        <v>2159</v>
      </c>
      <c r="L986" t="s">
        <v>22</v>
      </c>
      <c r="M986" s="12" t="s">
        <v>18</v>
      </c>
      <c r="N986">
        <v>3</v>
      </c>
      <c r="O986">
        <v>0</v>
      </c>
      <c r="P986" t="s">
        <v>19</v>
      </c>
      <c r="Q986" s="6">
        <v>300000</v>
      </c>
      <c r="R986" t="str">
        <f t="shared" si="45"/>
        <v>Keji's 5 Star Short let Apartment in Lekki_x000C_</v>
      </c>
      <c r="S986" t="str">
        <f t="shared" si="46"/>
        <v>Keji's 5 Star Short let Apartment in Lekki</v>
      </c>
      <c r="T986">
        <f>Table1[[#This Row],[Adults]]+Table1[[#This Row],[Children]]</f>
        <v>3</v>
      </c>
      <c r="U986">
        <f>_xlfn.DAYS(Table1[[#This Row],[Depart]],Table1[[#This Row],[Arrive]])</f>
        <v>4</v>
      </c>
    </row>
    <row r="987" spans="1:21" x14ac:dyDescent="0.25">
      <c r="A987" t="s">
        <v>997</v>
      </c>
      <c r="B987" t="s">
        <v>998</v>
      </c>
      <c r="C987" t="s">
        <v>1175</v>
      </c>
      <c r="D987" s="1">
        <v>44321</v>
      </c>
      <c r="E987" s="1">
        <v>44322</v>
      </c>
      <c r="F987">
        <f t="shared" si="47"/>
        <v>1</v>
      </c>
      <c r="G987" s="1">
        <v>44140</v>
      </c>
      <c r="H987" s="2">
        <v>0.5</v>
      </c>
      <c r="I987" s="2">
        <v>0.58333333333333337</v>
      </c>
      <c r="J987" s="4" t="s">
        <v>2002</v>
      </c>
      <c r="K987" s="4" t="s">
        <v>2002</v>
      </c>
      <c r="L987" t="s">
        <v>22</v>
      </c>
      <c r="M987" s="12" t="s">
        <v>18</v>
      </c>
      <c r="N987">
        <v>1</v>
      </c>
      <c r="O987">
        <v>0</v>
      </c>
      <c r="P987" t="s">
        <v>19</v>
      </c>
      <c r="Q987" s="6">
        <v>130000</v>
      </c>
      <c r="R987" t="str">
        <f t="shared" si="45"/>
        <v>Keji's 5 Star Short let Apartment in Lekki_x000C_</v>
      </c>
      <c r="S987" t="str">
        <f t="shared" si="46"/>
        <v>Keji's 5 Star Short let Apartment in Lekki</v>
      </c>
      <c r="T987">
        <f>Table1[[#This Row],[Adults]]+Table1[[#This Row],[Children]]</f>
        <v>1</v>
      </c>
      <c r="U987">
        <f>_xlfn.DAYS(Table1[[#This Row],[Depart]],Table1[[#This Row],[Arrive]])</f>
        <v>1</v>
      </c>
    </row>
    <row r="988" spans="1:21" x14ac:dyDescent="0.25">
      <c r="A988" t="s">
        <v>987</v>
      </c>
      <c r="B988" t="s">
        <v>988</v>
      </c>
      <c r="C988" t="s">
        <v>1173</v>
      </c>
      <c r="D988" s="1">
        <v>44323</v>
      </c>
      <c r="E988" s="1">
        <v>44325</v>
      </c>
      <c r="F988">
        <f t="shared" si="47"/>
        <v>2</v>
      </c>
      <c r="G988" s="1">
        <v>44137</v>
      </c>
      <c r="H988" s="2">
        <v>0.33333333333333331</v>
      </c>
      <c r="I988" s="3">
        <v>1</v>
      </c>
      <c r="J988" t="s">
        <v>1975</v>
      </c>
      <c r="K988" t="s">
        <v>1975</v>
      </c>
      <c r="L988" t="s">
        <v>26</v>
      </c>
      <c r="M988" s="12" t="s">
        <v>18</v>
      </c>
      <c r="N988">
        <v>6</v>
      </c>
      <c r="O988">
        <v>0</v>
      </c>
      <c r="P988" t="s">
        <v>19</v>
      </c>
      <c r="Q988" s="6">
        <v>234</v>
      </c>
      <c r="R988" t="str">
        <f t="shared" si="45"/>
        <v xml:space="preserve"> The Daniels 5 Star Short Let Apartment in Lekki_x000C_</v>
      </c>
      <c r="S988" t="str">
        <f t="shared" si="46"/>
        <v xml:space="preserve"> The Daniels 5 Star Short Let Apartment in Lekki</v>
      </c>
      <c r="T988">
        <f>Table1[[#This Row],[Adults]]+Table1[[#This Row],[Children]]</f>
        <v>6</v>
      </c>
      <c r="U988">
        <f>_xlfn.DAYS(Table1[[#This Row],[Depart]],Table1[[#This Row],[Arrive]])</f>
        <v>2</v>
      </c>
    </row>
    <row r="989" spans="1:21" x14ac:dyDescent="0.25">
      <c r="A989" t="s">
        <v>1157</v>
      </c>
      <c r="B989" t="s">
        <v>1158</v>
      </c>
      <c r="C989" t="s">
        <v>1175</v>
      </c>
      <c r="D989" s="1">
        <v>44337</v>
      </c>
      <c r="E989" s="1">
        <v>44341</v>
      </c>
      <c r="F989">
        <f t="shared" si="47"/>
        <v>4</v>
      </c>
      <c r="G989" s="1">
        <v>44168</v>
      </c>
      <c r="H989" s="2">
        <v>0.5</v>
      </c>
      <c r="I989" s="2">
        <v>0.58333333333333337</v>
      </c>
      <c r="J989" t="s">
        <v>2153</v>
      </c>
      <c r="K989" t="s">
        <v>2153</v>
      </c>
      <c r="L989" t="s">
        <v>22</v>
      </c>
      <c r="M989" s="12" t="s">
        <v>18</v>
      </c>
      <c r="N989">
        <v>6</v>
      </c>
      <c r="O989">
        <v>0</v>
      </c>
      <c r="P989" t="s">
        <v>19</v>
      </c>
      <c r="Q989" s="6">
        <v>0</v>
      </c>
      <c r="R989" t="str">
        <f t="shared" si="45"/>
        <v>Keji's 5 Star Short let Apartment in Lekki_x000C_</v>
      </c>
      <c r="S989" t="str">
        <f t="shared" si="46"/>
        <v>Keji's 5 Star Short let Apartment in Lekki</v>
      </c>
      <c r="T989">
        <f>Table1[[#This Row],[Adults]]+Table1[[#This Row],[Children]]</f>
        <v>6</v>
      </c>
      <c r="U989">
        <f>_xlfn.DAYS(Table1[[#This Row],[Depart]],Table1[[#This Row],[Arrive]])</f>
        <v>4</v>
      </c>
    </row>
    <row r="990" spans="1:21" x14ac:dyDescent="0.25">
      <c r="A990" t="s">
        <v>871</v>
      </c>
      <c r="B990" t="s">
        <v>872</v>
      </c>
      <c r="C990" t="s">
        <v>1175</v>
      </c>
      <c r="D990" s="1">
        <v>44344</v>
      </c>
      <c r="E990" s="1">
        <v>44347</v>
      </c>
      <c r="F990">
        <f t="shared" si="47"/>
        <v>3</v>
      </c>
      <c r="G990" s="1">
        <v>44140</v>
      </c>
      <c r="H990" s="2">
        <v>0.5</v>
      </c>
      <c r="I990" s="2">
        <v>0.58333333333333337</v>
      </c>
      <c r="J990" t="s">
        <v>1998</v>
      </c>
      <c r="K990" t="s">
        <v>1998</v>
      </c>
      <c r="L990" t="s">
        <v>22</v>
      </c>
      <c r="M990" s="12" t="s">
        <v>18</v>
      </c>
      <c r="N990">
        <v>1</v>
      </c>
      <c r="O990">
        <v>0</v>
      </c>
      <c r="P990" t="s">
        <v>19</v>
      </c>
      <c r="Q990" s="6">
        <v>390000</v>
      </c>
      <c r="R990" t="str">
        <f t="shared" si="45"/>
        <v>Keji's 5 Star Short let Apartment in Lekki_x000C_</v>
      </c>
      <c r="S990" t="str">
        <f t="shared" si="46"/>
        <v>Keji's 5 Star Short let Apartment in Lekki</v>
      </c>
      <c r="T990">
        <f>Table1[[#This Row],[Adults]]+Table1[[#This Row],[Children]]</f>
        <v>1</v>
      </c>
      <c r="U990">
        <f>_xlfn.DAYS(Table1[[#This Row],[Depart]],Table1[[#This Row],[Arrive]])</f>
        <v>3</v>
      </c>
    </row>
    <row r="991" spans="1:21" x14ac:dyDescent="0.25">
      <c r="A991" t="s">
        <v>871</v>
      </c>
      <c r="B991" t="s">
        <v>872</v>
      </c>
      <c r="C991" t="s">
        <v>1175</v>
      </c>
      <c r="D991" s="1">
        <v>44344</v>
      </c>
      <c r="E991" s="1">
        <v>44347</v>
      </c>
      <c r="F991">
        <f t="shared" si="47"/>
        <v>3</v>
      </c>
      <c r="G991" s="1">
        <v>44142</v>
      </c>
      <c r="H991" s="2">
        <v>0.5</v>
      </c>
      <c r="I991" s="2">
        <v>0.58333333333333337</v>
      </c>
      <c r="J991" t="s">
        <v>2026</v>
      </c>
      <c r="K991" t="s">
        <v>2026</v>
      </c>
      <c r="L991" t="s">
        <v>22</v>
      </c>
      <c r="M991" s="12" t="s">
        <v>18</v>
      </c>
      <c r="N991">
        <v>1</v>
      </c>
      <c r="O991">
        <v>0</v>
      </c>
      <c r="P991" t="s">
        <v>19</v>
      </c>
      <c r="Q991" s="6">
        <v>255000</v>
      </c>
      <c r="R991" t="str">
        <f t="shared" si="45"/>
        <v>Keji's 5 Star Short let Apartment in Lekki_x000C_</v>
      </c>
      <c r="S991" t="str">
        <f t="shared" si="46"/>
        <v>Keji's 5 Star Short let Apartment in Lekki</v>
      </c>
      <c r="T991">
        <f>Table1[[#This Row],[Adults]]+Table1[[#This Row],[Children]]</f>
        <v>1</v>
      </c>
      <c r="U991">
        <f>_xlfn.DAYS(Table1[[#This Row],[Depart]],Table1[[#This Row],[Arrive]])</f>
        <v>3</v>
      </c>
    </row>
    <row r="992" spans="1:21" x14ac:dyDescent="0.25">
      <c r="A992" t="s">
        <v>871</v>
      </c>
      <c r="B992" t="s">
        <v>872</v>
      </c>
      <c r="C992" t="s">
        <v>1175</v>
      </c>
      <c r="D992" s="1">
        <v>44344</v>
      </c>
      <c r="E992" s="1">
        <v>44346</v>
      </c>
      <c r="F992">
        <f t="shared" si="47"/>
        <v>2</v>
      </c>
      <c r="G992" s="1">
        <v>44144</v>
      </c>
      <c r="H992" s="2">
        <v>0.5</v>
      </c>
      <c r="I992" s="2">
        <v>0.58333333333333337</v>
      </c>
      <c r="J992" t="s">
        <v>2035</v>
      </c>
      <c r="K992" t="s">
        <v>2035</v>
      </c>
      <c r="L992" t="s">
        <v>22</v>
      </c>
      <c r="M992" s="12" t="s">
        <v>18</v>
      </c>
      <c r="N992">
        <v>1</v>
      </c>
      <c r="O992">
        <v>0</v>
      </c>
      <c r="P992" t="s">
        <v>19</v>
      </c>
      <c r="Q992" s="6">
        <v>150000</v>
      </c>
      <c r="R992" t="str">
        <f t="shared" si="45"/>
        <v>Keji's 5 Star Short let Apartment in Lekki_x000C_</v>
      </c>
      <c r="S992" t="str">
        <f t="shared" si="46"/>
        <v>Keji's 5 Star Short let Apartment in Lekki</v>
      </c>
      <c r="T992">
        <f>Table1[[#This Row],[Adults]]+Table1[[#This Row],[Children]]</f>
        <v>1</v>
      </c>
      <c r="U992">
        <f>_xlfn.DAYS(Table1[[#This Row],[Depart]],Table1[[#This Row],[Arrive]])</f>
        <v>2</v>
      </c>
    </row>
    <row r="993" spans="1:21" x14ac:dyDescent="0.25">
      <c r="A993" t="s">
        <v>1171</v>
      </c>
      <c r="B993" t="s">
        <v>1172</v>
      </c>
      <c r="C993" t="s">
        <v>1175</v>
      </c>
      <c r="D993" s="1">
        <v>44358</v>
      </c>
      <c r="E993" s="1">
        <v>44360</v>
      </c>
      <c r="F993">
        <f t="shared" si="47"/>
        <v>2</v>
      </c>
      <c r="G993" s="1">
        <v>44172</v>
      </c>
      <c r="H993" s="2">
        <v>0.5</v>
      </c>
      <c r="I993" s="2">
        <v>0.58333333333333337</v>
      </c>
      <c r="J993" t="s">
        <v>2165</v>
      </c>
      <c r="K993" t="s">
        <v>2165</v>
      </c>
      <c r="L993" t="s">
        <v>22</v>
      </c>
      <c r="M993" s="12" t="s">
        <v>18</v>
      </c>
      <c r="N993">
        <v>10</v>
      </c>
      <c r="O993">
        <v>0</v>
      </c>
      <c r="P993" t="s">
        <v>19</v>
      </c>
      <c r="Q993" s="6">
        <v>150000</v>
      </c>
      <c r="R993" t="str">
        <f t="shared" si="45"/>
        <v>Keji's 5 Star Short let Apartment in Lekki_x000C_</v>
      </c>
      <c r="S993" t="str">
        <f t="shared" si="46"/>
        <v>Keji's 5 Star Short let Apartment in Lekki</v>
      </c>
      <c r="T993">
        <f>Table1[[#This Row],[Adults]]+Table1[[#This Row],[Children]]</f>
        <v>10</v>
      </c>
      <c r="U993">
        <f>_xlfn.DAYS(Table1[[#This Row],[Depart]],Table1[[#This Row],[Arrive]])</f>
        <v>2</v>
      </c>
    </row>
    <row r="994" spans="1:21" x14ac:dyDescent="0.25">
      <c r="A994" t="s">
        <v>1093</v>
      </c>
      <c r="B994" t="s">
        <v>1094</v>
      </c>
      <c r="C994" t="s">
        <v>1177</v>
      </c>
      <c r="D994" s="1">
        <v>44364</v>
      </c>
      <c r="E994" s="1">
        <v>44385</v>
      </c>
      <c r="F994">
        <f t="shared" si="47"/>
        <v>21</v>
      </c>
      <c r="G994" s="1">
        <v>44157</v>
      </c>
      <c r="H994" s="2">
        <v>0.58333333333333337</v>
      </c>
      <c r="I994" s="2">
        <v>0.5</v>
      </c>
      <c r="J994" t="s">
        <v>2098</v>
      </c>
      <c r="K994" t="s">
        <v>2098</v>
      </c>
      <c r="L994" t="s">
        <v>26</v>
      </c>
      <c r="M994" s="12" t="s">
        <v>18</v>
      </c>
      <c r="N994">
        <v>5</v>
      </c>
      <c r="O994">
        <v>0</v>
      </c>
      <c r="P994" t="s">
        <v>19</v>
      </c>
      <c r="Q994" s="6">
        <v>3505</v>
      </c>
      <c r="R994" t="str">
        <f t="shared" si="45"/>
        <v>Achikare 's Luxury Home Away from Home_x000C_</v>
      </c>
      <c r="S994" t="str">
        <f t="shared" si="46"/>
        <v>Achikare 's Luxury Home Away from Home</v>
      </c>
      <c r="T994">
        <f>Table1[[#This Row],[Adults]]+Table1[[#This Row],[Children]]</f>
        <v>5</v>
      </c>
      <c r="U994">
        <f>_xlfn.DAYS(Table1[[#This Row],[Depart]],Table1[[#This Row],[Arrive]])</f>
        <v>21</v>
      </c>
    </row>
    <row r="995" spans="1:21" x14ac:dyDescent="0.25">
      <c r="A995" t="s">
        <v>871</v>
      </c>
      <c r="B995" t="s">
        <v>872</v>
      </c>
      <c r="C995" t="s">
        <v>1175</v>
      </c>
      <c r="D995" s="1">
        <v>44372</v>
      </c>
      <c r="E995" s="1">
        <v>44375</v>
      </c>
      <c r="F995">
        <f t="shared" si="47"/>
        <v>3</v>
      </c>
      <c r="G995" s="1">
        <v>44140</v>
      </c>
      <c r="H995" s="2">
        <v>0.5</v>
      </c>
      <c r="I995" s="2">
        <v>0.58333333333333337</v>
      </c>
      <c r="J995" t="s">
        <v>2013</v>
      </c>
      <c r="K995" t="s">
        <v>2013</v>
      </c>
      <c r="L995" t="s">
        <v>22</v>
      </c>
      <c r="M995" s="12" t="s">
        <v>18</v>
      </c>
      <c r="N995">
        <v>2</v>
      </c>
      <c r="O995">
        <v>0</v>
      </c>
      <c r="P995" t="s">
        <v>19</v>
      </c>
      <c r="Q995" s="6">
        <v>225000</v>
      </c>
      <c r="R995" t="str">
        <f t="shared" si="45"/>
        <v>Keji's 5 Star Short let Apartment in Lekki_x000C_</v>
      </c>
      <c r="S995" t="str">
        <f t="shared" si="46"/>
        <v>Keji's 5 Star Short let Apartment in Lekki</v>
      </c>
      <c r="T995">
        <f>Table1[[#This Row],[Adults]]+Table1[[#This Row],[Children]]</f>
        <v>2</v>
      </c>
      <c r="U995">
        <f>_xlfn.DAYS(Table1[[#This Row],[Depart]],Table1[[#This Row],[Arrive]])</f>
        <v>3</v>
      </c>
    </row>
    <row r="996" spans="1:21" x14ac:dyDescent="0.25">
      <c r="A996" t="s">
        <v>955</v>
      </c>
      <c r="B996" t="s">
        <v>956</v>
      </c>
      <c r="C996" t="s">
        <v>1175</v>
      </c>
      <c r="D996" s="1">
        <v>44409</v>
      </c>
      <c r="E996" s="1">
        <v>44470</v>
      </c>
      <c r="F996">
        <f t="shared" si="47"/>
        <v>61</v>
      </c>
      <c r="G996" s="1">
        <v>44131</v>
      </c>
      <c r="H996" s="2">
        <v>0.5</v>
      </c>
      <c r="I996" s="2">
        <v>0.58333333333333337</v>
      </c>
      <c r="J996" t="s">
        <v>1941</v>
      </c>
      <c r="K996" t="s">
        <v>1941</v>
      </c>
      <c r="L996" t="s">
        <v>22</v>
      </c>
      <c r="M996" s="12" t="s">
        <v>18</v>
      </c>
      <c r="N996">
        <v>4</v>
      </c>
      <c r="O996">
        <v>0</v>
      </c>
      <c r="P996" t="s">
        <v>19</v>
      </c>
      <c r="Q996" s="6">
        <v>150000</v>
      </c>
      <c r="R996" t="str">
        <f t="shared" si="45"/>
        <v>Keji's 5 Star Short let Apartment in Lekki_x000C_</v>
      </c>
      <c r="S996" t="str">
        <f t="shared" si="46"/>
        <v>Keji's 5 Star Short let Apartment in Lekki</v>
      </c>
      <c r="T996">
        <f>Table1[[#This Row],[Adults]]+Table1[[#This Row],[Children]]</f>
        <v>4</v>
      </c>
      <c r="U996">
        <f>_xlfn.DAYS(Table1[[#This Row],[Depart]],Table1[[#This Row],[Arrive]])</f>
        <v>61</v>
      </c>
    </row>
    <row r="997" spans="1:21" x14ac:dyDescent="0.25">
      <c r="A997" t="s">
        <v>1053</v>
      </c>
      <c r="B997" t="s">
        <v>1054</v>
      </c>
      <c r="C997" t="s">
        <v>1175</v>
      </c>
      <c r="D997" s="1">
        <v>44410</v>
      </c>
      <c r="E997" s="1">
        <v>44417</v>
      </c>
      <c r="F997">
        <f t="shared" si="47"/>
        <v>7</v>
      </c>
      <c r="G997" s="1">
        <v>44147</v>
      </c>
      <c r="H997" s="2">
        <v>0.5</v>
      </c>
      <c r="I997" s="2">
        <v>0.58333333333333337</v>
      </c>
      <c r="J997" t="s">
        <v>2052</v>
      </c>
      <c r="K997" t="s">
        <v>2052</v>
      </c>
      <c r="L997" t="s">
        <v>22</v>
      </c>
      <c r="M997" s="12" t="s">
        <v>18</v>
      </c>
      <c r="N997">
        <v>8</v>
      </c>
      <c r="O997">
        <v>0</v>
      </c>
      <c r="P997" t="s">
        <v>19</v>
      </c>
      <c r="Q997" s="6">
        <v>910000</v>
      </c>
      <c r="R997" t="str">
        <f t="shared" si="45"/>
        <v>Keji's 5 Star Short let Apartment in Lekki_x000C_</v>
      </c>
      <c r="S997" t="str">
        <f t="shared" si="46"/>
        <v>Keji's 5 Star Short let Apartment in Lekki</v>
      </c>
      <c r="T997">
        <f>Table1[[#This Row],[Adults]]+Table1[[#This Row],[Children]]</f>
        <v>8</v>
      </c>
      <c r="U997">
        <f>_xlfn.DAYS(Table1[[#This Row],[Depart]],Table1[[#This Row],[Arrive]])</f>
        <v>7</v>
      </c>
    </row>
    <row r="998" spans="1:21" x14ac:dyDescent="0.25">
      <c r="A998" t="s">
        <v>1053</v>
      </c>
      <c r="B998" t="s">
        <v>1054</v>
      </c>
      <c r="C998" t="s">
        <v>1175</v>
      </c>
      <c r="D998" s="1">
        <v>44410</v>
      </c>
      <c r="E998" s="1">
        <v>44417</v>
      </c>
      <c r="F998">
        <f t="shared" si="47"/>
        <v>7</v>
      </c>
      <c r="G998" s="1">
        <v>44151</v>
      </c>
      <c r="H998" s="2">
        <v>0.5</v>
      </c>
      <c r="I998" s="2">
        <v>0.58333333333333337</v>
      </c>
      <c r="J998" t="s">
        <v>2071</v>
      </c>
      <c r="K998" t="s">
        <v>2071</v>
      </c>
      <c r="L998" t="s">
        <v>22</v>
      </c>
      <c r="M998" s="12" t="s">
        <v>18</v>
      </c>
      <c r="N998">
        <v>7</v>
      </c>
      <c r="O998">
        <v>0</v>
      </c>
      <c r="P998" t="s">
        <v>19</v>
      </c>
      <c r="Q998" s="6">
        <v>525000</v>
      </c>
      <c r="R998" t="str">
        <f t="shared" si="45"/>
        <v>Keji's 5 Star Short let Apartment in Lekki_x000C_</v>
      </c>
      <c r="S998" t="str">
        <f t="shared" si="46"/>
        <v>Keji's 5 Star Short let Apartment in Lekki</v>
      </c>
      <c r="T998">
        <f>Table1[[#This Row],[Adults]]+Table1[[#This Row],[Children]]</f>
        <v>7</v>
      </c>
      <c r="U998">
        <f>_xlfn.DAYS(Table1[[#This Row],[Depart]],Table1[[#This Row],[Arrive]])</f>
        <v>7</v>
      </c>
    </row>
    <row r="999" spans="1:21" x14ac:dyDescent="0.25">
      <c r="A999" t="s">
        <v>915</v>
      </c>
      <c r="B999" t="s">
        <v>916</v>
      </c>
      <c r="C999" t="s">
        <v>1175</v>
      </c>
      <c r="D999" s="1">
        <v>44412</v>
      </c>
      <c r="E999" s="1">
        <v>44473</v>
      </c>
      <c r="F999">
        <f t="shared" si="47"/>
        <v>61</v>
      </c>
      <c r="G999" s="1">
        <v>44138</v>
      </c>
      <c r="H999" s="2">
        <v>0.5</v>
      </c>
      <c r="I999" s="2">
        <v>0.58333333333333337</v>
      </c>
      <c r="J999" t="s">
        <v>1976</v>
      </c>
      <c r="K999" t="s">
        <v>1976</v>
      </c>
      <c r="L999" t="s">
        <v>22</v>
      </c>
      <c r="M999" s="12" t="s">
        <v>18</v>
      </c>
      <c r="N999">
        <v>1</v>
      </c>
      <c r="O999">
        <v>0</v>
      </c>
      <c r="P999" t="s">
        <v>19</v>
      </c>
      <c r="Q999" s="6">
        <v>260000</v>
      </c>
      <c r="R999" t="str">
        <f t="shared" si="45"/>
        <v>Keji's 5 Star Short let Apartment in Lekki_x000C_</v>
      </c>
      <c r="S999" t="str">
        <f t="shared" si="46"/>
        <v>Keji's 5 Star Short let Apartment in Lekki</v>
      </c>
      <c r="T999">
        <f>Table1[[#This Row],[Adults]]+Table1[[#This Row],[Children]]</f>
        <v>1</v>
      </c>
      <c r="U999">
        <f>_xlfn.DAYS(Table1[[#This Row],[Depart]],Table1[[#This Row],[Arrive]])</f>
        <v>61</v>
      </c>
    </row>
    <row r="1000" spans="1:21" x14ac:dyDescent="0.25">
      <c r="A1000" t="s">
        <v>1141</v>
      </c>
      <c r="B1000" t="s">
        <v>1142</v>
      </c>
      <c r="C1000" t="s">
        <v>1178</v>
      </c>
      <c r="D1000" s="1">
        <v>44511</v>
      </c>
      <c r="E1000" s="1">
        <v>44518</v>
      </c>
      <c r="F1000">
        <f t="shared" si="47"/>
        <v>7</v>
      </c>
      <c r="G1000" s="1">
        <v>44166</v>
      </c>
      <c r="H1000" s="2">
        <v>0.58333333333333337</v>
      </c>
      <c r="I1000" s="2">
        <v>0.45833333333333331</v>
      </c>
      <c r="J1000" t="s">
        <v>2134</v>
      </c>
      <c r="K1000" t="s">
        <v>2134</v>
      </c>
      <c r="L1000" t="s">
        <v>26</v>
      </c>
      <c r="M1000" s="12" t="s">
        <v>18</v>
      </c>
      <c r="N1000">
        <v>6</v>
      </c>
      <c r="O1000">
        <v>0</v>
      </c>
      <c r="P1000" t="s">
        <v>19</v>
      </c>
      <c r="Q1000" s="6">
        <v>794</v>
      </c>
      <c r="R1000" t="str">
        <f t="shared" si="45"/>
        <v>Ope's 5 Star Short Let Apartment in Lekki_x000C_</v>
      </c>
      <c r="S1000" t="str">
        <f t="shared" si="46"/>
        <v>Ope's 5 Star Short Let Apartment in Lekki</v>
      </c>
      <c r="T1000">
        <f>Table1[[#This Row],[Adults]]+Table1[[#This Row],[Children]]</f>
        <v>6</v>
      </c>
      <c r="U1000">
        <f>_xlfn.DAYS(Table1[[#This Row],[Depart]],Table1[[#This Row],[Arrive]])</f>
        <v>7</v>
      </c>
    </row>
    <row r="1001" spans="1:21" x14ac:dyDescent="0.25">
      <c r="A1001" t="s">
        <v>997</v>
      </c>
      <c r="B1001" t="s">
        <v>998</v>
      </c>
      <c r="C1001" t="s">
        <v>1175</v>
      </c>
      <c r="D1001" s="1">
        <v>44692</v>
      </c>
      <c r="E1001" s="1">
        <v>44723</v>
      </c>
      <c r="F1001">
        <f t="shared" si="47"/>
        <v>31</v>
      </c>
      <c r="G1001" s="1">
        <v>44139</v>
      </c>
      <c r="H1001" s="2">
        <v>0.5</v>
      </c>
      <c r="I1001" s="2">
        <v>0.58333333333333337</v>
      </c>
      <c r="J1001" t="s">
        <v>1986</v>
      </c>
      <c r="K1001" t="s">
        <v>1986</v>
      </c>
      <c r="L1001" t="s">
        <v>22</v>
      </c>
      <c r="M1001" s="12" t="s">
        <v>18</v>
      </c>
      <c r="N1001">
        <v>1</v>
      </c>
      <c r="O1001">
        <v>0</v>
      </c>
      <c r="P1001" t="s">
        <v>19</v>
      </c>
      <c r="Q1001" s="6">
        <v>130000</v>
      </c>
      <c r="R1001" t="str">
        <f t="shared" si="45"/>
        <v>Keji's 5 Star Short let Apartment in Lekki_x000C_</v>
      </c>
      <c r="S1001" t="str">
        <f t="shared" si="46"/>
        <v>Keji's 5 Star Short let Apartment in Lekki</v>
      </c>
      <c r="T1001">
        <f>Table1[[#This Row],[Adults]]+Table1[[#This Row],[Children]]</f>
        <v>1</v>
      </c>
      <c r="U1001">
        <f>_xlfn.DAYS(Table1[[#This Row],[Depart]],Table1[[#This Row],[Arrive]])</f>
        <v>31</v>
      </c>
    </row>
  </sheetData>
  <sortState xmlns:xlrd2="http://schemas.microsoft.com/office/spreadsheetml/2017/richdata2" ref="A2:S1001">
    <sortCondition ref="D2:D1001"/>
  </sortState>
  <hyperlinks>
    <hyperlink ref="B624" r:id="rId1" xr:uid="{0ED60746-E5F0-4C50-91BA-F997F2D822DA}"/>
  </hyperlinks>
  <pageMargins left="0.7" right="0.7" top="0.75" bottom="0.75" header="0.3" footer="0.3"/>
  <pageSetup paperSize="9"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8AEE-0205-4EA3-A10B-580FB5DC4710}">
  <dimension ref="B1:C36"/>
  <sheetViews>
    <sheetView showGridLines="0" topLeftCell="A21" workbookViewId="0">
      <selection activeCell="F17" sqref="F17"/>
    </sheetView>
  </sheetViews>
  <sheetFormatPr defaultRowHeight="15" x14ac:dyDescent="0.25"/>
  <cols>
    <col min="1" max="1" width="1.140625" customWidth="1"/>
    <col min="2" max="2" width="73.5703125" style="11" customWidth="1"/>
    <col min="3" max="3" width="14" bestFit="1" customWidth="1"/>
    <col min="4" max="4" width="12.28515625" bestFit="1" customWidth="1"/>
    <col min="5" max="5" width="11.28515625" bestFit="1" customWidth="1"/>
    <col min="6" max="6" width="19.28515625" bestFit="1" customWidth="1"/>
  </cols>
  <sheetData>
    <row r="1" spans="2:3" ht="22.5" x14ac:dyDescent="0.35">
      <c r="B1" s="27" t="s">
        <v>2184</v>
      </c>
      <c r="C1" s="27"/>
    </row>
    <row r="2" spans="2:3" ht="31.9" customHeight="1" x14ac:dyDescent="0.25">
      <c r="B2" s="25" t="s">
        <v>2185</v>
      </c>
      <c r="C2" s="25"/>
    </row>
    <row r="3" spans="2:3" x14ac:dyDescent="0.25">
      <c r="B3" s="25"/>
      <c r="C3" s="25"/>
    </row>
    <row r="4" spans="2:3" x14ac:dyDescent="0.25">
      <c r="B4" s="25" t="s">
        <v>2186</v>
      </c>
      <c r="C4" s="25"/>
    </row>
    <row r="5" spans="2:3" ht="27.6" customHeight="1" x14ac:dyDescent="0.25">
      <c r="B5" s="28" t="s">
        <v>2187</v>
      </c>
      <c r="C5" s="28"/>
    </row>
    <row r="6" spans="2:3" ht="6" customHeight="1" x14ac:dyDescent="0.25">
      <c r="B6" s="7"/>
      <c r="C6" s="7"/>
    </row>
    <row r="7" spans="2:3" x14ac:dyDescent="0.25">
      <c r="B7" s="26" t="s">
        <v>2188</v>
      </c>
      <c r="C7" s="26"/>
    </row>
    <row r="8" spans="2:3" x14ac:dyDescent="0.25">
      <c r="B8" s="8" t="s">
        <v>2189</v>
      </c>
      <c r="C8" s="9">
        <f>COUNT(Table13[Received])</f>
        <v>949</v>
      </c>
    </row>
    <row r="9" spans="2:3" ht="15.75" x14ac:dyDescent="0.25">
      <c r="B9" s="8" t="s">
        <v>2214</v>
      </c>
      <c r="C9" s="9">
        <f>COUNTIF(Table13[Booked],"No")</f>
        <v>557</v>
      </c>
    </row>
    <row r="10" spans="2:3" x14ac:dyDescent="0.25">
      <c r="B10" s="8" t="s">
        <v>2190</v>
      </c>
      <c r="C10" s="9">
        <f>COUNTIF(Table13[Booked],"Yes")</f>
        <v>392</v>
      </c>
    </row>
    <row r="11" spans="2:3" ht="16.149999999999999" customHeight="1" x14ac:dyDescent="0.25">
      <c r="B11" s="10" t="s">
        <v>2191</v>
      </c>
      <c r="C11" s="9">
        <f>COUNTIFS(Table13[Arrive],"&lt;7/1/2020",Table13[Booked],"Yes")</f>
        <v>97</v>
      </c>
    </row>
    <row r="12" spans="2:3" x14ac:dyDescent="0.25">
      <c r="B12" s="8" t="s">
        <v>2192</v>
      </c>
      <c r="C12" s="9">
        <f>COUNTIFS(Table13[Arrive],"&gt;=7/1/2020",Table13[Booked],"Yes")</f>
        <v>295</v>
      </c>
    </row>
    <row r="13" spans="2:3" x14ac:dyDescent="0.25">
      <c r="B13" s="10" t="s">
        <v>2193</v>
      </c>
      <c r="C13" s="9">
        <f>COUNTIFS(Table13[Booked],"Yes",Table13[Source],"Airbnb")</f>
        <v>2</v>
      </c>
    </row>
    <row r="14" spans="2:3" x14ac:dyDescent="0.25">
      <c r="B14" s="10" t="s">
        <v>2194</v>
      </c>
      <c r="C14" s="9">
        <f>SUMIFS(Table13[Revenue],Table13[Booked],"Yes")</f>
        <v>139207.01</v>
      </c>
    </row>
    <row r="15" spans="2:3" x14ac:dyDescent="0.25">
      <c r="B15" s="10" t="s">
        <v>2195</v>
      </c>
      <c r="C15" s="9">
        <f>SUMIF(Table13[Booked],"yes",Table13[Occupation])</f>
        <v>1822</v>
      </c>
    </row>
    <row r="16" spans="2:3" ht="16.899999999999999" customHeight="1" x14ac:dyDescent="0.25">
      <c r="B16" s="10" t="s">
        <v>2196</v>
      </c>
      <c r="C16" s="9">
        <f>C14/C15</f>
        <v>76.403408342480802</v>
      </c>
    </row>
    <row r="17" spans="2:3" x14ac:dyDescent="0.25">
      <c r="B17" s="10" t="s">
        <v>2197</v>
      </c>
      <c r="C17" s="9">
        <f>SUMIF(Table13[Booked],"Yes",Table13[Duration])</f>
        <v>1083</v>
      </c>
    </row>
    <row r="18" spans="2:3" x14ac:dyDescent="0.25">
      <c r="B18" s="10" t="s">
        <v>2198</v>
      </c>
      <c r="C18" s="9">
        <f>AVERAGEIF(Table13[Booked],"yes",Table13[Duration])</f>
        <v>2.7627551020408165</v>
      </c>
    </row>
    <row r="19" spans="2:3" x14ac:dyDescent="0.25">
      <c r="B19" s="13"/>
      <c r="C19" s="14"/>
    </row>
    <row r="20" spans="2:3" ht="94.5" x14ac:dyDescent="0.25">
      <c r="B20" s="15" t="s">
        <v>2215</v>
      </c>
    </row>
    <row r="22" spans="2:3" ht="22.5" x14ac:dyDescent="0.35">
      <c r="B22" s="27" t="s">
        <v>2199</v>
      </c>
      <c r="C22" s="27"/>
    </row>
    <row r="23" spans="2:3" ht="28.15" customHeight="1" x14ac:dyDescent="0.25">
      <c r="B23" s="25" t="s">
        <v>2216</v>
      </c>
      <c r="C23" s="25"/>
    </row>
    <row r="24" spans="2:3" x14ac:dyDescent="0.25">
      <c r="B24" s="25" t="s">
        <v>2200</v>
      </c>
      <c r="C24" s="25"/>
    </row>
    <row r="25" spans="2:3" x14ac:dyDescent="0.25">
      <c r="B25" s="25" t="s">
        <v>2201</v>
      </c>
      <c r="C25" s="25"/>
    </row>
    <row r="26" spans="2:3" x14ac:dyDescent="0.25">
      <c r="B26" s="25" t="s">
        <v>2202</v>
      </c>
      <c r="C26" s="25"/>
    </row>
    <row r="27" spans="2:3" x14ac:dyDescent="0.25">
      <c r="B27" s="25" t="s">
        <v>2203</v>
      </c>
      <c r="C27" s="25"/>
    </row>
    <row r="28" spans="2:3" x14ac:dyDescent="0.25">
      <c r="B28" s="25" t="s">
        <v>2204</v>
      </c>
      <c r="C28" s="25"/>
    </row>
    <row r="29" spans="2:3" x14ac:dyDescent="0.25">
      <c r="B29" s="25" t="s">
        <v>2205</v>
      </c>
      <c r="C29" s="25"/>
    </row>
    <row r="30" spans="2:3" x14ac:dyDescent="0.25">
      <c r="B30" s="25" t="s">
        <v>2206</v>
      </c>
      <c r="C30" s="25"/>
    </row>
    <row r="31" spans="2:3" x14ac:dyDescent="0.25">
      <c r="B31" s="25" t="s">
        <v>2207</v>
      </c>
      <c r="C31" s="25"/>
    </row>
    <row r="32" spans="2:3" x14ac:dyDescent="0.25">
      <c r="B32" s="25" t="s">
        <v>2208</v>
      </c>
      <c r="C32" s="25"/>
    </row>
    <row r="33" spans="2:3" x14ac:dyDescent="0.25">
      <c r="B33" s="25" t="s">
        <v>2209</v>
      </c>
      <c r="C33" s="25"/>
    </row>
    <row r="34" spans="2:3" x14ac:dyDescent="0.25">
      <c r="B34" s="25" t="s">
        <v>2210</v>
      </c>
      <c r="C34" s="25"/>
    </row>
    <row r="35" spans="2:3" x14ac:dyDescent="0.25">
      <c r="B35" s="25" t="s">
        <v>2211</v>
      </c>
      <c r="C35" s="25"/>
    </row>
    <row r="36" spans="2:3" x14ac:dyDescent="0.25">
      <c r="B36" s="24" t="s">
        <v>2212</v>
      </c>
      <c r="C36" s="24"/>
    </row>
  </sheetData>
  <mergeCells count="21">
    <mergeCell ref="B1:C1"/>
    <mergeCell ref="B2:C2"/>
    <mergeCell ref="B3:C3"/>
    <mergeCell ref="B4:C4"/>
    <mergeCell ref="B5:C5"/>
    <mergeCell ref="B36:C36"/>
    <mergeCell ref="B30:C30"/>
    <mergeCell ref="B7:C7"/>
    <mergeCell ref="B22:C22"/>
    <mergeCell ref="B23:C23"/>
    <mergeCell ref="B24:C24"/>
    <mergeCell ref="B25:C25"/>
    <mergeCell ref="B26:C26"/>
    <mergeCell ref="B27:C27"/>
    <mergeCell ref="B28:C28"/>
    <mergeCell ref="B29:C29"/>
    <mergeCell ref="B31:C31"/>
    <mergeCell ref="B32:C32"/>
    <mergeCell ref="B33:C33"/>
    <mergeCell ref="B34:C34"/>
    <mergeCell ref="B35:C3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Visualization</vt:lpstr>
      <vt:lpstr>Inquiries (2)</vt:lpstr>
      <vt:lpstr>Inquiries</vt:lpstr>
      <vt:lpstr>Task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Ifedayo</dc:creator>
  <cp:lastModifiedBy>Administrator</cp:lastModifiedBy>
  <dcterms:created xsi:type="dcterms:W3CDTF">2021-01-26T17:00:24Z</dcterms:created>
  <dcterms:modified xsi:type="dcterms:W3CDTF">2024-08-05T19:36:17Z</dcterms:modified>
</cp:coreProperties>
</file>